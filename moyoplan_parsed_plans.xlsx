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5" autoFilterDateGrouping="1"/>
  </bookViews>
  <sheets>
    <sheet name="페이백 포함" sheetId="1" state="visible" r:id="rId1"/>
    <sheet name="페이백 미포함" sheetId="2" state="visible" r:id="rId2"/>
    <sheet name="가이드 위반" sheetId="3" state="visible" r:id="rId3"/>
    <sheet name="전일 대비 변동" sheetId="4" state="visible" r:id="rId4"/>
    <sheet name="요약 및 통계" sheetId="5" state="visible" r:id="rId5"/>
    <sheet name="모요 판가" sheetId="6" state="visible" r:id="rId6"/>
    <sheet name="참조" sheetId="7" state="visible" r:id="rId7"/>
  </sheets>
  <definedNames>
    <definedName name="_xlnm._FilterDatabase" localSheetId="0" hidden="1">'페이백 포함'!$A$1:$K$1987</definedName>
    <definedName name="_xlnm._FilterDatabase" localSheetId="1" hidden="1">'페이백 미포함'!$A$1:$K$1987</definedName>
    <definedName name="_xlnm._FilterDatabase" localSheetId="3" hidden="1">'전일 대비 변동'!$A$1:$K$311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4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17365D"/>
      <sz val="10"/>
      <scheme val="minor"/>
    </font>
    <font>
      <b val="1"/>
      <sz val="12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0">
    <border>
      <left/>
      <right/>
      <top/>
      <bottom/>
      <diagonal/>
    </border>
    <border>
      <left style="thin">
        <color rgb="FF7F8C8D"/>
      </left>
      <right style="thin">
        <color rgb="FFC8D0D8"/>
      </right>
      <top style="thin">
        <color rgb="FF7F8C8D"/>
      </top>
      <bottom style="thin">
        <color rgb="FFC8D0D8"/>
      </bottom>
      <diagonal/>
    </border>
    <border>
      <left style="thin">
        <color rgb="FFC8D0D8"/>
      </left>
      <right style="thin">
        <color rgb="FFC8D0D8"/>
      </right>
      <top style="thin">
        <color rgb="FF7F8C8D"/>
      </top>
      <bottom style="thin">
        <color rgb="FFC8D0D8"/>
      </bottom>
      <diagonal/>
    </border>
    <border>
      <left style="thin">
        <color rgb="FF5B9BD5"/>
      </left>
      <right style="thin">
        <color rgb="FFC8D0D8"/>
      </right>
      <top style="thin">
        <color rgb="FF7F8C8D"/>
      </top>
      <bottom style="thin">
        <color rgb="FFC8D0D8"/>
      </bottom>
      <diagonal/>
    </border>
    <border>
      <left style="thin">
        <color rgb="FFC8D0D8"/>
      </left>
      <right style="thin">
        <color rgb="FF7F8C8D"/>
      </right>
      <top style="thin">
        <color rgb="FF7F8C8D"/>
      </top>
      <bottom style="thin">
        <color rgb="FFC8D0D8"/>
      </bottom>
      <diagonal/>
    </border>
    <border>
      <left style="thin">
        <color rgb="FF7F8C8D"/>
      </left>
      <right style="thin">
        <color rgb="FFC8D0D8"/>
      </right>
      <top style="thin">
        <color rgb="FFC8D0D8"/>
      </top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/>
      <diagonal/>
    </border>
    <border>
      <left style="thin">
        <color rgb="FF5B9BD5"/>
      </left>
      <right style="thin">
        <color rgb="FFC8D0D8"/>
      </right>
      <top style="thin">
        <color rgb="FFC8D0D8"/>
      </top>
      <bottom/>
      <diagonal/>
    </border>
    <border>
      <left style="thin">
        <color rgb="FFC8D0D8"/>
      </left>
      <right style="thin">
        <color rgb="FF7F8C8D"/>
      </right>
      <top style="thin">
        <color rgb="FFC8D0D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7F8C8D"/>
      </top>
      <bottom/>
      <diagonal/>
    </border>
    <border>
      <left/>
      <right style="thin">
        <color rgb="FFC8D0D8"/>
      </right>
      <top style="thin">
        <color rgb="FF7F8C8D"/>
      </top>
      <bottom/>
      <diagonal/>
    </border>
    <border>
      <left/>
      <right/>
      <top style="thin">
        <color rgb="FF7F8C8D"/>
      </top>
      <bottom style="thin">
        <color rgb="FFC8D0D8"/>
      </bottom>
      <diagonal/>
    </border>
    <border>
      <left/>
      <right style="thin">
        <color rgb="FFC8D0D8"/>
      </right>
      <top style="thin">
        <color rgb="FF7F8C8D"/>
      </top>
      <bottom style="thin">
        <color rgb="FFC8D0D8"/>
      </bottom>
      <diagonal/>
    </border>
    <border>
      <left style="thin">
        <color rgb="FF7F8C8D"/>
      </left>
      <right/>
      <top/>
      <bottom/>
      <diagonal/>
    </border>
    <border>
      <left style="thin">
        <color rgb="FF7F8C8D"/>
      </left>
      <right style="thin">
        <color rgb="FFC8D0D8"/>
      </right>
      <top/>
      <bottom/>
      <diagonal/>
    </border>
    <border>
      <left style="thin">
        <color rgb="FF7F8C8D"/>
      </left>
      <right style="thin">
        <color rgb="FFC8D0D8"/>
      </right>
      <top/>
      <bottom style="thin">
        <color rgb="FFC8D0D8"/>
      </bottom>
      <diagonal/>
    </border>
    <border>
      <left style="thin">
        <color rgb="FFC8D0D8"/>
      </left>
      <right/>
      <top/>
      <bottom/>
      <diagonal/>
    </border>
    <border>
      <left style="thin">
        <color rgb="FFC8D0D8"/>
      </left>
      <right style="thin">
        <color rgb="FFC8D0D8"/>
      </right>
      <top/>
      <bottom/>
      <diagonal/>
    </border>
    <border>
      <left style="thin">
        <color rgb="FFC8D0D8"/>
      </left>
      <right style="thin">
        <color rgb="FFC8D0D8"/>
      </right>
      <top/>
      <bottom style="thin">
        <color rgb="FFC8D0D8"/>
      </bottom>
      <diagonal/>
    </border>
  </borders>
  <cellStyleXfs count="3">
    <xf numFmtId="0" fontId="5" fillId="0" borderId="0"/>
    <xf numFmtId="0" fontId="5" fillId="0" borderId="0"/>
    <xf numFmtId="41" fontId="5" fillId="0" borderId="0" applyAlignment="1">
      <alignment vertical="center"/>
    </xf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2" fillId="2" borderId="0" pivotButton="0" quotePrefix="0" xfId="0"/>
    <xf numFmtId="0" fontId="1" fillId="3" borderId="0" applyAlignment="1" pivotButton="0" quotePrefix="0" xfId="0">
      <alignment horizontal="center"/>
    </xf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pivotButton="0" quotePrefix="0" xfId="0"/>
    <xf numFmtId="0" fontId="1" fillId="0" borderId="0" pivotButton="0" quotePrefix="0" xfId="0"/>
    <xf numFmtId="164" fontId="0" fillId="0" borderId="0" pivotButton="0" quotePrefix="0" xfId="2"/>
    <xf numFmtId="0" fontId="6" fillId="4" borderId="3" applyAlignment="1" pivotButton="0" quotePrefix="0" xfId="1">
      <alignment horizontal="center" vertical="center" wrapText="1"/>
    </xf>
    <xf numFmtId="0" fontId="6" fillId="4" borderId="2" applyAlignment="1" pivotButton="0" quotePrefix="0" xfId="1">
      <alignment horizontal="center" vertical="center" wrapText="1"/>
    </xf>
    <xf numFmtId="0" fontId="6" fillId="4" borderId="4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9" fillId="5" borderId="7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0" fillId="0" borderId="10" pivotButton="0" quotePrefix="0" xfId="2"/>
    <xf numFmtId="164" fontId="0" fillId="0" borderId="11" pivotButton="0" quotePrefix="0" xfId="2"/>
    <xf numFmtId="0" fontId="0" fillId="0" borderId="12" pivotButton="0" quotePrefix="0" xfId="0"/>
    <xf numFmtId="0" fontId="0" fillId="0" borderId="0" pivotButton="0" quotePrefix="0" xfId="0"/>
    <xf numFmtId="164" fontId="0" fillId="0" borderId="0" pivotButton="0" quotePrefix="0" xfId="2"/>
    <xf numFmtId="164" fontId="0" fillId="0" borderId="13" pivotButton="0" quotePrefix="0" xfId="2"/>
    <xf numFmtId="0" fontId="0" fillId="0" borderId="14" pivotButton="0" quotePrefix="0" xfId="0"/>
    <xf numFmtId="0" fontId="0" fillId="0" borderId="15" pivotButton="0" quotePrefix="0" xfId="0"/>
    <xf numFmtId="164" fontId="0" fillId="0" borderId="15" pivotButton="0" quotePrefix="0" xfId="2"/>
    <xf numFmtId="164" fontId="0" fillId="0" borderId="16" pivotButton="0" quotePrefix="0" xfId="2"/>
    <xf numFmtId="164" fontId="0" fillId="0" borderId="9" pivotButton="0" quotePrefix="0" xfId="2"/>
    <xf numFmtId="164" fontId="0" fillId="0" borderId="12" pivotButton="0" quotePrefix="0" xfId="2"/>
    <xf numFmtId="164" fontId="0" fillId="0" borderId="14" pivotButton="0" quotePrefix="0" xfId="2"/>
    <xf numFmtId="0" fontId="0" fillId="0" borderId="11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4" fontId="0" fillId="0" borderId="17" pivotButton="0" quotePrefix="0" xfId="2"/>
    <xf numFmtId="164" fontId="0" fillId="0" borderId="19" pivotButton="0" quotePrefix="0" xfId="2"/>
    <xf numFmtId="164" fontId="0" fillId="0" borderId="18" pivotButton="0" quotePrefix="0" xfId="2"/>
    <xf numFmtId="0" fontId="0" fillId="6" borderId="0" pivotButton="0" quotePrefix="0" xfId="0"/>
    <xf numFmtId="0" fontId="0" fillId="7" borderId="0" pivotButton="0" quotePrefix="0" xfId="0"/>
    <xf numFmtId="0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0" fontId="10" fillId="8" borderId="0" pivotButton="0" quotePrefix="0" xfId="0"/>
    <xf numFmtId="0" fontId="11" fillId="9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2" fillId="8" borderId="0" pivotButton="0" quotePrefix="0" xfId="0"/>
    <xf numFmtId="0" fontId="11" fillId="0" borderId="0" pivotButton="0" quotePrefix="0" xfId="0"/>
    <xf numFmtId="164" fontId="0" fillId="0" borderId="0" pivotButton="0" quotePrefix="0" xfId="2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9" pivotButton="0" quotePrefix="0" xfId="0"/>
    <xf numFmtId="164" fontId="0" fillId="0" borderId="9" pivotButton="0" quotePrefix="0" xfId="2"/>
    <xf numFmtId="164" fontId="0" fillId="0" borderId="10" pivotButton="0" quotePrefix="0" xfId="2"/>
    <xf numFmtId="164" fontId="0" fillId="0" borderId="11" pivotButton="0" quotePrefix="0" xfId="2"/>
    <xf numFmtId="164" fontId="0" fillId="0" borderId="12" pivotButton="0" quotePrefix="0" xfId="2"/>
    <xf numFmtId="164" fontId="0" fillId="0" borderId="13" pivotButton="0" quotePrefix="0" xfId="2"/>
    <xf numFmtId="164" fontId="0" fillId="0" borderId="14" pivotButton="0" quotePrefix="0" xfId="2"/>
    <xf numFmtId="164" fontId="0" fillId="0" borderId="15" pivotButton="0" quotePrefix="0" xfId="2"/>
    <xf numFmtId="164" fontId="0" fillId="0" borderId="16" pivotButton="0" quotePrefix="0" xfId="2"/>
    <xf numFmtId="164" fontId="0" fillId="0" borderId="17" pivotButton="0" quotePrefix="0" xfId="2"/>
    <xf numFmtId="164" fontId="0" fillId="0" borderId="19" pivotButton="0" quotePrefix="0" xfId="2"/>
    <xf numFmtId="164" fontId="0" fillId="0" borderId="18" pivotButton="0" quotePrefix="0" xfId="2"/>
  </cellXfs>
  <cellStyles count="3">
    <cellStyle name="표준" xfId="0" builtinId="0"/>
    <cellStyle name="표준 2" xfId="1"/>
    <cellStyle name="쉼표 [0]" xfId="2" builtinId="6"/>
  </cellStyles>
  <dxfs count="16"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  <dxf>
      <font>
        <b val="1"/>
        <color rgb="FF006100"/>
      </font>
      <fill>
        <patternFill patternType="solid">
          <fgColor indexed="64"/>
          <bgColor rgb="FFC6EFCE"/>
        </patternFill>
      </fill>
    </dxf>
    <dxf>
      <font>
        <b val="1"/>
        <color rgb="FF9C5700"/>
      </font>
      <fill>
        <patternFill patternType="solid">
          <fgColor indexed="64"/>
          <bgColor rgb="FF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2061"/>
  <sheetViews>
    <sheetView showGridLines="0" workbookViewId="0">
      <pane ySplit="1" topLeftCell="A6" activePane="bottomLeft" state="frozen"/>
      <selection pane="bottomLeft" activeCell="D571" sqref="D571"/>
    </sheetView>
  </sheetViews>
  <sheetFormatPr baseColWidth="8" defaultRowHeight="16.5"/>
  <cols>
    <col width="18" customWidth="1" style="27" min="1" max="1"/>
    <col width="42" customWidth="1" style="27" min="2" max="2"/>
    <col width="14" customWidth="1" style="27" min="3" max="4"/>
    <col width="30" customWidth="1" style="27" min="5" max="5"/>
    <col width="12" customWidth="1" style="27" min="6" max="6"/>
    <col width="13" customWidth="1" style="27" min="7" max="7"/>
    <col width="14" customWidth="1" style="27" min="8" max="8"/>
    <col width="12" customWidth="1" style="27" min="9" max="9"/>
    <col width="16" customWidth="1" style="27" min="10" max="10"/>
    <col width="12" customWidth="1" style="27" min="11" max="11"/>
  </cols>
  <sheetData>
    <row r="1">
      <c r="A1" s="1" t="inlineStr">
        <is>
          <t>사업자</t>
        </is>
      </c>
      <c r="B1" s="1" t="inlineStr">
        <is>
          <t>요금제</t>
        </is>
      </c>
      <c r="C1" s="1" t="inlineStr">
        <is>
          <t>통화제공량</t>
        </is>
      </c>
      <c r="D1" s="1" t="inlineStr">
        <is>
          <t>문자제공량</t>
        </is>
      </c>
      <c r="E1" s="1" t="inlineStr">
        <is>
          <t>데이터 제공량</t>
        </is>
      </c>
      <c r="F1" s="1" t="inlineStr">
        <is>
          <t>망정보</t>
        </is>
      </c>
      <c r="G1" s="1" t="inlineStr">
        <is>
          <t>LTE/5G 구분</t>
        </is>
      </c>
      <c r="H1" s="1" t="inlineStr">
        <is>
          <t>월 요금</t>
        </is>
      </c>
      <c r="I1" s="1" t="inlineStr">
        <is>
          <t>할인 기간</t>
        </is>
      </c>
      <c r="J1" s="1" t="inlineStr">
        <is>
          <t>기간 이후 요금</t>
        </is>
      </c>
      <c r="K1" s="1" t="inlineStr">
        <is>
          <t>요금구분</t>
        </is>
      </c>
    </row>
    <row r="2" hidden="1" s="27">
      <c r="A2" s="47" t="inlineStr">
        <is>
          <t>LG U+</t>
        </is>
      </c>
      <c r="B2" s="47" t="inlineStr">
        <is>
          <t>너겟49</t>
        </is>
      </c>
      <c r="C2" s="47" t="inlineStr">
        <is>
          <t>무제한</t>
        </is>
      </c>
      <c r="D2" s="47" t="inlineStr">
        <is>
          <t>무제한</t>
        </is>
      </c>
      <c r="E2" s="47" t="inlineStr">
        <is>
          <t>월 120GB + 5Mbps</t>
        </is>
      </c>
      <c r="F2" s="47" t="inlineStr">
        <is>
          <t>LG U+</t>
        </is>
      </c>
      <c r="G2" s="47" t="inlineStr">
        <is>
          <t>5G</t>
        </is>
      </c>
      <c r="H2" s="48" t="n">
        <v>9000</v>
      </c>
      <c r="I2" s="48" t="n">
        <v>6</v>
      </c>
      <c r="J2" s="48" t="n">
        <v>41000</v>
      </c>
      <c r="K2" s="47">
        <f t="array" ref="K2">_xlfn.XLOOKUP(1,(참조!$B$2:$B$15=E2)*(참조!$D$2:$D$15=C2)*(참조!$E$2:$E$15=D2),참조!$C$2:$C$15,"")</f>
        <v/>
      </c>
    </row>
    <row r="3" hidden="1" s="27">
      <c r="A3" s="47" t="inlineStr">
        <is>
          <t>U+유모바일</t>
        </is>
      </c>
      <c r="B3" s="47" t="inlineStr">
        <is>
          <t>[평생할인] 5G 15GB+/300분</t>
        </is>
      </c>
      <c r="C3" s="47" t="inlineStr">
        <is>
          <t>300분</t>
        </is>
      </c>
      <c r="D3" s="47" t="inlineStr">
        <is>
          <t>300건</t>
        </is>
      </c>
      <c r="E3" s="47" t="inlineStr">
        <is>
          <t>월 15GB + 1Mbps</t>
        </is>
      </c>
      <c r="F3" s="47" t="inlineStr">
        <is>
          <t>LG U+</t>
        </is>
      </c>
      <c r="G3" s="47" t="inlineStr">
        <is>
          <t>5G</t>
        </is>
      </c>
      <c r="H3" s="48" t="n">
        <v>0</v>
      </c>
      <c r="I3" s="48" t="n">
        <v>7</v>
      </c>
      <c r="J3" s="48" t="n">
        <v>16900</v>
      </c>
      <c r="K3" s="47">
        <f t="array" ref="K3">_xlfn.XLOOKUP(1,(참조!$B$2:$B$15=E3)*(참조!$D$2:$D$15=C3)*(참조!$E$2:$E$15=D3),참조!$C$2:$C$15,"")</f>
        <v/>
      </c>
    </row>
    <row r="4" hidden="1" s="27">
      <c r="A4" s="47" t="inlineStr">
        <is>
          <t>LG U+</t>
        </is>
      </c>
      <c r="B4" s="47" t="inlineStr">
        <is>
          <t>너겟49</t>
        </is>
      </c>
      <c r="C4" s="47" t="inlineStr">
        <is>
          <t>무제한</t>
        </is>
      </c>
      <c r="D4" s="47" t="inlineStr">
        <is>
          <t>무제한</t>
        </is>
      </c>
      <c r="E4" s="47" t="inlineStr">
        <is>
          <t>월 120GB + 5Mbps</t>
        </is>
      </c>
      <c r="F4" s="47" t="inlineStr">
        <is>
          <t>LG U+</t>
        </is>
      </c>
      <c r="G4" s="47" t="inlineStr">
        <is>
          <t>5G</t>
        </is>
      </c>
      <c r="H4" s="48" t="n">
        <v>9000</v>
      </c>
      <c r="I4" s="48" t="n">
        <v>6</v>
      </c>
      <c r="J4" s="48" t="n">
        <v>41000</v>
      </c>
      <c r="K4" s="47">
        <f t="array" ref="K4">_xlfn.XLOOKUP(1,(참조!$B$2:$B$15=E4)*(참조!$D$2:$D$15=C4)*(참조!$E$2:$E$15=D4),참조!$C$2:$C$15,"")</f>
        <v/>
      </c>
    </row>
    <row r="5" hidden="1" s="27">
      <c r="A5" s="47" t="inlineStr">
        <is>
          <t>찬스모바일</t>
        </is>
      </c>
      <c r="B5" s="47" t="inlineStr">
        <is>
          <t>5G 음성기본 125GB+5Mbps</t>
        </is>
      </c>
      <c r="C5" s="47" t="inlineStr">
        <is>
          <t>무제한</t>
        </is>
      </c>
      <c r="D5" s="47" t="inlineStr">
        <is>
          <t>무제한</t>
        </is>
      </c>
      <c r="E5" s="47" t="inlineStr">
        <is>
          <t>월 125GB + 5Mbps</t>
        </is>
      </c>
      <c r="F5" s="47" t="inlineStr">
        <is>
          <t>LG U+</t>
        </is>
      </c>
      <c r="G5" s="47" t="inlineStr">
        <is>
          <t>5G</t>
        </is>
      </c>
      <c r="H5" s="48" t="n">
        <v>9800</v>
      </c>
      <c r="I5" s="48" t="n">
        <v>7</v>
      </c>
      <c r="J5" s="48" t="n">
        <v>55000</v>
      </c>
      <c r="K5" s="47">
        <f t="array" ref="K5">_xlfn.XLOOKUP(1,(참조!$B$2:$B$15=E5)*(참조!$D$2:$D$15=C5)*(참조!$E$2:$E$15=D5),참조!$C$2:$C$15,"")</f>
        <v/>
      </c>
    </row>
    <row r="6">
      <c r="A6" s="47" t="inlineStr">
        <is>
          <t>찬스모바일</t>
        </is>
      </c>
      <c r="B6" s="47" t="inlineStr">
        <is>
          <t>음성기본 맥스150GB+</t>
        </is>
      </c>
      <c r="C6" s="47" t="inlineStr">
        <is>
          <t>무제한</t>
        </is>
      </c>
      <c r="D6" s="47" t="inlineStr">
        <is>
          <t>무제한</t>
        </is>
      </c>
      <c r="E6" s="47" t="inlineStr">
        <is>
          <t>월 150GB + 5Mbps</t>
        </is>
      </c>
      <c r="F6" s="47" t="inlineStr">
        <is>
          <t>LG U+</t>
        </is>
      </c>
      <c r="G6" s="47" t="inlineStr">
        <is>
          <t>5G</t>
        </is>
      </c>
      <c r="H6" s="48" t="n">
        <v>10800</v>
      </c>
      <c r="I6" s="48" t="n">
        <v>7</v>
      </c>
      <c r="J6" s="48" t="n">
        <v>64900</v>
      </c>
      <c r="K6" s="47">
        <f t="array" ref="K6">_xlfn.XLOOKUP(1,(참조!$B$2:$B$15=E6)*(참조!$D$2:$D$15=C6)*(참조!$E$2:$E$15=D6),참조!$C$2:$C$15,"")</f>
        <v/>
      </c>
    </row>
    <row r="7" hidden="1" s="27">
      <c r="A7" s="47" t="inlineStr">
        <is>
          <t>핀다이렉트</t>
        </is>
      </c>
      <c r="B7" s="47" t="inlineStr">
        <is>
          <t>[모요only] [K] 핀다이렉트Z 100GB+(네이버페이) _PAY</t>
        </is>
      </c>
      <c r="C7" s="47" t="inlineStr">
        <is>
          <t>무제한</t>
        </is>
      </c>
      <c r="D7" s="47" t="inlineStr">
        <is>
          <t>무제한</t>
        </is>
      </c>
      <c r="E7" s="47" t="inlineStr">
        <is>
          <t>월 100GB + 5Mbps</t>
        </is>
      </c>
      <c r="F7" s="47" t="inlineStr">
        <is>
          <t>KT</t>
        </is>
      </c>
      <c r="G7" s="47" t="inlineStr">
        <is>
          <t>LTE</t>
        </is>
      </c>
      <c r="H7" s="48" t="n">
        <v>4000</v>
      </c>
      <c r="I7" s="48" t="n">
        <v>7</v>
      </c>
      <c r="J7" s="48" t="n">
        <v>43400</v>
      </c>
      <c r="K7" s="47">
        <f t="array" ref="K7">_xlfn.XLOOKUP(1,(참조!$B$2:$B$15=E7)*(참조!$D$2:$D$15=C7)*(참조!$E$2:$E$15=D7),참조!$C$2:$C$15,"")</f>
        <v/>
      </c>
    </row>
    <row r="8">
      <c r="A8" s="47" t="inlineStr">
        <is>
          <t>LG U+</t>
        </is>
      </c>
      <c r="B8" s="47" t="inlineStr">
        <is>
          <t>데일리 너겟59</t>
        </is>
      </c>
      <c r="C8" s="47" t="inlineStr">
        <is>
          <t>무제한</t>
        </is>
      </c>
      <c r="D8" s="47" t="inlineStr">
        <is>
          <t>무제한</t>
        </is>
      </c>
      <c r="E8" s="47" t="inlineStr">
        <is>
          <t>무제한</t>
        </is>
      </c>
      <c r="F8" s="47" t="inlineStr">
        <is>
          <t>LG U+</t>
        </is>
      </c>
      <c r="G8" s="47" t="inlineStr">
        <is>
          <t>5G</t>
        </is>
      </c>
      <c r="H8" s="48" t="n">
        <v>29000</v>
      </c>
      <c r="I8" s="48" t="n">
        <v>6</v>
      </c>
      <c r="J8" s="48" t="n">
        <v>34000</v>
      </c>
      <c r="K8" s="47">
        <f t="array" ref="K8">_xlfn.XLOOKUP(1,(참조!$B$2:$B$15=E8)*(참조!$D$2:$D$15=C8)*(참조!$E$2:$E$15=D8),참조!$C$2:$C$15,"")</f>
        <v/>
      </c>
    </row>
    <row r="9" hidden="1" s="27">
      <c r="A9" s="47" t="inlineStr">
        <is>
          <t>U+유모바일</t>
        </is>
      </c>
      <c r="B9" s="47" t="inlineStr">
        <is>
          <t>[평생할인] 15GB+/통화기본</t>
        </is>
      </c>
      <c r="C9" s="47" t="inlineStr">
        <is>
          <t>무제한</t>
        </is>
      </c>
      <c r="D9" s="47" t="inlineStr">
        <is>
          <t>무제한</t>
        </is>
      </c>
      <c r="E9" s="47" t="inlineStr">
        <is>
          <t>월 15GB + 1Mbps</t>
        </is>
      </c>
      <c r="F9" s="47" t="inlineStr">
        <is>
          <t>LG U+</t>
        </is>
      </c>
      <c r="G9" s="47" t="inlineStr">
        <is>
          <t>LTE</t>
        </is>
      </c>
      <c r="H9" s="48" t="n">
        <v>0</v>
      </c>
      <c r="I9" s="48" t="n">
        <v>7</v>
      </c>
      <c r="J9" s="48" t="n">
        <v>20900</v>
      </c>
      <c r="K9" s="47">
        <f t="array" ref="K9">_xlfn.XLOOKUP(1,(참조!$B$2:$B$15=E9)*(참조!$D$2:$D$15=C9)*(참조!$E$2:$E$15=D9),참조!$C$2:$C$15,"")</f>
        <v/>
      </c>
    </row>
    <row r="10" hidden="1" s="27">
      <c r="A10" s="47" t="inlineStr">
        <is>
          <t>모나</t>
        </is>
      </c>
      <c r="B10" s="47" t="inlineStr">
        <is>
          <t>5G_코나아이데이터125G안심5</t>
        </is>
      </c>
      <c r="C10" s="47" t="inlineStr">
        <is>
          <t>무제한</t>
        </is>
      </c>
      <c r="D10" s="47" t="inlineStr">
        <is>
          <t>무제한</t>
        </is>
      </c>
      <c r="E10" s="47" t="inlineStr">
        <is>
          <t>월 125GB + 5Mbps</t>
        </is>
      </c>
      <c r="F10" s="47" t="inlineStr">
        <is>
          <t>LG U+</t>
        </is>
      </c>
      <c r="G10" s="47" t="inlineStr">
        <is>
          <t>5G</t>
        </is>
      </c>
      <c r="H10" s="48" t="n">
        <v>4400</v>
      </c>
      <c r="I10" s="48" t="n">
        <v>7</v>
      </c>
      <c r="J10" s="48" t="n">
        <v>57200</v>
      </c>
      <c r="K10" s="47">
        <f t="array" ref="K10">_xlfn.XLOOKUP(1,(참조!$B$2:$B$15=E10)*(참조!$D$2:$D$15=C10)*(참조!$E$2:$E$15=D10),참조!$C$2:$C$15,"")</f>
        <v/>
      </c>
    </row>
    <row r="11" hidden="1" s="27">
      <c r="A11" s="47" t="inlineStr">
        <is>
          <t>핀다이렉트</t>
        </is>
      </c>
      <c r="B11" s="47" t="inlineStr">
        <is>
          <t>[모요only] [S] 핀다이렉트Z Max(네이버페이) _PAY</t>
        </is>
      </c>
      <c r="C11" s="47" t="inlineStr">
        <is>
          <t>무제한</t>
        </is>
      </c>
      <c r="D11" s="47" t="inlineStr">
        <is>
          <t>무제한</t>
        </is>
      </c>
      <c r="E11" s="47" t="inlineStr">
        <is>
          <t>월 100GB + 5Mbps</t>
        </is>
      </c>
      <c r="F11" s="47" t="inlineStr">
        <is>
          <t>SKT</t>
        </is>
      </c>
      <c r="G11" s="47" t="inlineStr">
        <is>
          <t>LTE</t>
        </is>
      </c>
      <c r="H11" s="48" t="n">
        <v>4900</v>
      </c>
      <c r="I11" s="48" t="n">
        <v>7</v>
      </c>
      <c r="J11" s="48" t="n">
        <v>42900</v>
      </c>
      <c r="K11" s="47">
        <f t="array" ref="K11">_xlfn.XLOOKUP(1,(참조!$B$2:$B$15=E11)*(참조!$D$2:$D$15=C11)*(참조!$E$2:$E$15=D11),참조!$C$2:$C$15,"")</f>
        <v/>
      </c>
    </row>
    <row r="12" hidden="1" s="27">
      <c r="A12" s="47" t="inlineStr">
        <is>
          <t>LG헬로모바일</t>
        </is>
      </c>
      <c r="B12" s="47" t="inlineStr">
        <is>
          <t>쿠폰팩 유심 11GB</t>
        </is>
      </c>
      <c r="C12" s="47" t="inlineStr">
        <is>
          <t>무제한</t>
        </is>
      </c>
      <c r="D12" s="47" t="inlineStr">
        <is>
          <t>무제한</t>
        </is>
      </c>
      <c r="E12" s="47" t="inlineStr">
        <is>
          <t>월 11GB + 매일 2GB + 3Mbps</t>
        </is>
      </c>
      <c r="F12" s="47" t="inlineStr">
        <is>
          <t>LG U+</t>
        </is>
      </c>
      <c r="G12" s="47" t="inlineStr">
        <is>
          <t>LTE</t>
        </is>
      </c>
      <c r="H12" s="48" t="n">
        <v>7730</v>
      </c>
      <c r="I12" s="48" t="n">
        <v>7</v>
      </c>
      <c r="J12" s="48" t="n">
        <v>30730</v>
      </c>
      <c r="K12" s="47">
        <f t="array" ref="K12">_xlfn.XLOOKUP(1,(참조!$B$2:$B$15=E12)*(참조!$D$2:$D$15=C12)*(참조!$E$2:$E$15=D12),참조!$C$2:$C$15,"")</f>
        <v/>
      </c>
    </row>
    <row r="13" hidden="1" s="27">
      <c r="A13" s="47" t="inlineStr">
        <is>
          <t>핀다이렉트</t>
        </is>
      </c>
      <c r="B13" s="47" t="inlineStr">
        <is>
          <t>[모요only] [L] 핀다이렉트Z 100GB+(네이버페이) _PAY</t>
        </is>
      </c>
      <c r="C13" s="47" t="inlineStr">
        <is>
          <t>무제한</t>
        </is>
      </c>
      <c r="D13" s="47" t="inlineStr">
        <is>
          <t>무제한</t>
        </is>
      </c>
      <c r="E13" s="47" t="inlineStr">
        <is>
          <t>월 100GB + 5Mbps</t>
        </is>
      </c>
      <c r="F13" s="47" t="inlineStr">
        <is>
          <t>LG U+</t>
        </is>
      </c>
      <c r="G13" s="47" t="inlineStr">
        <is>
          <t>LTE</t>
        </is>
      </c>
      <c r="H13" s="48" t="n">
        <v>4900</v>
      </c>
      <c r="I13" s="48" t="n">
        <v>7</v>
      </c>
      <c r="J13" s="48" t="n">
        <v>44000</v>
      </c>
      <c r="K13" s="47">
        <f t="array" ref="K13">_xlfn.XLOOKUP(1,(참조!$B$2:$B$15=E13)*(참조!$D$2:$D$15=C13)*(참조!$E$2:$E$15=D13),참조!$C$2:$C$15,"")</f>
        <v/>
      </c>
    </row>
    <row r="14" hidden="1" s="27">
      <c r="A14" s="47" t="inlineStr">
        <is>
          <t>U+유모바일</t>
        </is>
      </c>
      <c r="B14" s="47" t="inlineStr">
        <is>
          <t>[평생할인] 7GB+/통화기본</t>
        </is>
      </c>
      <c r="C14" s="47" t="inlineStr">
        <is>
          <t>무제한</t>
        </is>
      </c>
      <c r="D14" s="47" t="inlineStr">
        <is>
          <t>무제한</t>
        </is>
      </c>
      <c r="E14" s="47" t="inlineStr">
        <is>
          <t>월 7GB + 1Mbps</t>
        </is>
      </c>
      <c r="F14" s="47" t="inlineStr">
        <is>
          <t>LG U+</t>
        </is>
      </c>
      <c r="G14" s="47" t="inlineStr">
        <is>
          <t>LTE</t>
        </is>
      </c>
      <c r="H14" s="48" t="n">
        <v>0</v>
      </c>
      <c r="I14" s="48" t="n">
        <v>7</v>
      </c>
      <c r="J14" s="48" t="n">
        <v>15900</v>
      </c>
      <c r="K14" s="47">
        <f t="array" ref="K14">_xlfn.XLOOKUP(1,(참조!$B$2:$B$15=E14)*(참조!$D$2:$D$15=C14)*(참조!$E$2:$E$15=D14),참조!$C$2:$C$15,"")</f>
        <v/>
      </c>
    </row>
    <row r="15">
      <c r="A15" s="47" t="inlineStr">
        <is>
          <t>U+유모바일</t>
        </is>
      </c>
      <c r="B15" s="47" t="inlineStr">
        <is>
          <t>[평생할인] 1.5GB/통화기본</t>
        </is>
      </c>
      <c r="C15" s="47" t="inlineStr">
        <is>
          <t>무제한</t>
        </is>
      </c>
      <c r="D15" s="47" t="inlineStr">
        <is>
          <t>무제한</t>
        </is>
      </c>
      <c r="E15" s="47" t="inlineStr">
        <is>
          <t>월 1.5GB</t>
        </is>
      </c>
      <c r="F15" s="47" t="inlineStr">
        <is>
          <t>LG U+</t>
        </is>
      </c>
      <c r="G15" s="47" t="inlineStr">
        <is>
          <t>LTE</t>
        </is>
      </c>
      <c r="H15" s="48" t="n">
        <v>0</v>
      </c>
      <c r="I15" s="48" t="n">
        <v>7</v>
      </c>
      <c r="J15" s="48" t="n">
        <v>5900</v>
      </c>
      <c r="K15" s="47">
        <f t="array" ref="K15">_xlfn.XLOOKUP(1,(참조!$B$2:$B$15=E15)*(참조!$D$2:$D$15=C15)*(참조!$E$2:$E$15=D15),참조!$C$2:$C$15,"")</f>
        <v/>
      </c>
    </row>
    <row r="16" hidden="1" s="27">
      <c r="A16" s="47" t="inlineStr">
        <is>
          <t>U+유모바일</t>
        </is>
      </c>
      <c r="B16" s="47" t="inlineStr">
        <is>
          <t>[평생할인] 5G 10GB/200분</t>
        </is>
      </c>
      <c r="C16" s="47" t="inlineStr">
        <is>
          <t>200분</t>
        </is>
      </c>
      <c r="D16" s="47" t="inlineStr">
        <is>
          <t>100건</t>
        </is>
      </c>
      <c r="E16" s="47" t="inlineStr">
        <is>
          <t>월 10GB</t>
        </is>
      </c>
      <c r="F16" s="47" t="inlineStr">
        <is>
          <t>LG U+</t>
        </is>
      </c>
      <c r="G16" s="47" t="inlineStr">
        <is>
          <t>5G</t>
        </is>
      </c>
      <c r="H16" s="48" t="n">
        <v>0</v>
      </c>
      <c r="I16" s="48" t="n">
        <v>7</v>
      </c>
      <c r="J16" s="48" t="n">
        <v>9900</v>
      </c>
      <c r="K16" s="47">
        <f t="array" ref="K16">_xlfn.XLOOKUP(1,(참조!$B$2:$B$15=E16)*(참조!$D$2:$D$15=C16)*(참조!$E$2:$E$15=D16),참조!$C$2:$C$15,"")</f>
        <v/>
      </c>
    </row>
    <row r="17" hidden="1" s="27">
      <c r="A17" s="47" t="inlineStr">
        <is>
          <t>KT스카이라이프</t>
        </is>
      </c>
      <c r="B17" s="47" t="inlineStr">
        <is>
          <t>통화 충분 15GB</t>
        </is>
      </c>
      <c r="C17" s="47" t="inlineStr">
        <is>
          <t>무제한</t>
        </is>
      </c>
      <c r="D17" s="47" t="inlineStr">
        <is>
          <t>무제한</t>
        </is>
      </c>
      <c r="E17" s="47" t="inlineStr">
        <is>
          <t>월 15GB</t>
        </is>
      </c>
      <c r="F17" s="47" t="inlineStr">
        <is>
          <t>KT</t>
        </is>
      </c>
      <c r="G17" s="47" t="inlineStr">
        <is>
          <t>LTE</t>
        </is>
      </c>
      <c r="H17" s="48" t="n">
        <v>0</v>
      </c>
      <c r="I17" s="48" t="n">
        <v>6</v>
      </c>
      <c r="J17" s="48" t="n">
        <v>16900</v>
      </c>
      <c r="K17" s="47">
        <f t="array" ref="K17">_xlfn.XLOOKUP(1,(참조!$B$2:$B$15=E17)*(참조!$D$2:$D$15=C17)*(참조!$E$2:$E$15=D17),참조!$C$2:$C$15,"")</f>
        <v/>
      </c>
    </row>
    <row r="18" hidden="1" s="27">
      <c r="A18" s="47" t="inlineStr">
        <is>
          <t>더원모바일</t>
        </is>
      </c>
      <c r="B18" s="47" t="inlineStr">
        <is>
          <t>TOP 100GB 기본 (네이버페이)</t>
        </is>
      </c>
      <c r="C18" s="47" t="inlineStr">
        <is>
          <t>무제한</t>
        </is>
      </c>
      <c r="D18" s="47" t="inlineStr">
        <is>
          <t>무제한</t>
        </is>
      </c>
      <c r="E18" s="47" t="inlineStr">
        <is>
          <t>월 100GB + 5Mbps</t>
        </is>
      </c>
      <c r="F18" s="47" t="inlineStr">
        <is>
          <t>KT</t>
        </is>
      </c>
      <c r="G18" s="47" t="inlineStr">
        <is>
          <t>LTE</t>
        </is>
      </c>
      <c r="H18" s="48" t="n">
        <v>17990</v>
      </c>
      <c r="I18" s="48" t="n">
        <v>12</v>
      </c>
      <c r="J18" s="48" t="n">
        <v>41200</v>
      </c>
      <c r="K18" s="47">
        <f t="array" ref="K18">_xlfn.XLOOKUP(1,(참조!$B$2:$B$15=E18)*(참조!$D$2:$D$15=C18)*(참조!$E$2:$E$15=D18),참조!$C$2:$C$15,"")</f>
        <v/>
      </c>
    </row>
    <row r="19" hidden="1" s="27">
      <c r="A19" s="47" t="inlineStr">
        <is>
          <t>KT스카이라이프</t>
        </is>
      </c>
      <c r="B19" s="47" t="inlineStr">
        <is>
          <t>모두 충분 1.5GB+</t>
        </is>
      </c>
      <c r="C19" s="47" t="inlineStr">
        <is>
          <t>무제한</t>
        </is>
      </c>
      <c r="D19" s="47" t="inlineStr">
        <is>
          <t>무제한</t>
        </is>
      </c>
      <c r="E19" s="47" t="inlineStr">
        <is>
          <t>월 1.5GB + 400Kbps</t>
        </is>
      </c>
      <c r="F19" s="47" t="inlineStr">
        <is>
          <t>KT</t>
        </is>
      </c>
      <c r="G19" s="47" t="inlineStr">
        <is>
          <t>LTE</t>
        </is>
      </c>
      <c r="H19" s="48" t="n">
        <v>0</v>
      </c>
      <c r="I19" s="48" t="n">
        <v>6</v>
      </c>
      <c r="J19" s="48" t="n">
        <v>6900</v>
      </c>
      <c r="K19" s="47">
        <f t="array" ref="K19">_xlfn.XLOOKUP(1,(참조!$B$2:$B$15=E19)*(참조!$D$2:$D$15=C19)*(참조!$E$2:$E$15=D19),참조!$C$2:$C$15,"")</f>
        <v/>
      </c>
    </row>
    <row r="20" hidden="1" s="27">
      <c r="A20" s="47" t="inlineStr">
        <is>
          <t>KT엠모바일</t>
        </is>
      </c>
      <c r="B20" s="47" t="inlineStr">
        <is>
          <t>5G 모두다 맘껏 안심 20GB+</t>
        </is>
      </c>
      <c r="C20" s="47" t="inlineStr">
        <is>
          <t>무제한</t>
        </is>
      </c>
      <c r="D20" s="47" t="inlineStr">
        <is>
          <t>무제한</t>
        </is>
      </c>
      <c r="E20" s="47" t="inlineStr">
        <is>
          <t>월 20GB + 400Kbps</t>
        </is>
      </c>
      <c r="F20" s="47" t="inlineStr">
        <is>
          <t>KT</t>
        </is>
      </c>
      <c r="G20" s="47" t="inlineStr">
        <is>
          <t>5G</t>
        </is>
      </c>
      <c r="H20" s="48" t="n">
        <v>0</v>
      </c>
      <c r="I20" s="48" t="n">
        <v>6</v>
      </c>
      <c r="J20" s="48" t="n">
        <v>19900</v>
      </c>
      <c r="K20" s="47">
        <f t="array" ref="K20">_xlfn.XLOOKUP(1,(참조!$B$2:$B$15=E20)*(참조!$D$2:$D$15=C20)*(참조!$E$2:$E$15=D20),참조!$C$2:$C$15,"")</f>
        <v/>
      </c>
    </row>
    <row r="21" hidden="1" s="27">
      <c r="A21" s="47" t="inlineStr">
        <is>
          <t>LG헬로모바일</t>
        </is>
      </c>
      <c r="B21" s="47" t="inlineStr">
        <is>
          <t>쿠폰팩 유심 7GB</t>
        </is>
      </c>
      <c r="C21" s="47" t="inlineStr">
        <is>
          <t>무제한</t>
        </is>
      </c>
      <c r="D21" s="47" t="inlineStr">
        <is>
          <t>무제한</t>
        </is>
      </c>
      <c r="E21" s="47" t="inlineStr">
        <is>
          <t>월 7GB + 1Mbps</t>
        </is>
      </c>
      <c r="F21" s="47" t="inlineStr">
        <is>
          <t>LG U+</t>
        </is>
      </c>
      <c r="G21" s="47" t="inlineStr">
        <is>
          <t>LTE</t>
        </is>
      </c>
      <c r="H21" s="48" t="n">
        <v>2330</v>
      </c>
      <c r="I21" s="48" t="n">
        <v>7</v>
      </c>
      <c r="J21" s="48" t="n">
        <v>13330</v>
      </c>
      <c r="K21" s="47">
        <f t="array" ref="K21">_xlfn.XLOOKUP(1,(참조!$B$2:$B$15=E21)*(참조!$D$2:$D$15=C21)*(참조!$E$2:$E$15=D21),참조!$C$2:$C$15,"")</f>
        <v/>
      </c>
    </row>
    <row r="22" hidden="1" s="27">
      <c r="A22" s="47" t="inlineStr">
        <is>
          <t>LG헬로모바일</t>
        </is>
      </c>
      <c r="B22" s="47" t="inlineStr">
        <is>
          <t>DATA 걱정없는 유심 100GB</t>
        </is>
      </c>
      <c r="C22" s="47" t="inlineStr">
        <is>
          <t>무제한</t>
        </is>
      </c>
      <c r="D22" s="47" t="inlineStr">
        <is>
          <t>무제한</t>
        </is>
      </c>
      <c r="E22" s="47" t="inlineStr">
        <is>
          <t>월 100GB + 5Mbps</t>
        </is>
      </c>
      <c r="F22" s="47" t="inlineStr">
        <is>
          <t>LG U+</t>
        </is>
      </c>
      <c r="G22" s="47" t="inlineStr">
        <is>
          <t>LTE</t>
        </is>
      </c>
      <c r="H22" s="48" t="n">
        <v>18200</v>
      </c>
      <c r="I22" s="48" t="n">
        <v>7</v>
      </c>
      <c r="J22" s="48" t="n">
        <v>38200</v>
      </c>
      <c r="K22" s="47">
        <f t="array" ref="K22">_xlfn.XLOOKUP(1,(참조!$B$2:$B$15=E22)*(참조!$D$2:$D$15=C22)*(참조!$E$2:$E$15=D22),참조!$C$2:$C$15,"")</f>
        <v/>
      </c>
    </row>
    <row r="23" hidden="1" s="27">
      <c r="A23" s="47" t="inlineStr">
        <is>
          <t>LG헬로모바일</t>
        </is>
      </c>
      <c r="B23" s="47" t="inlineStr">
        <is>
          <t>쿠폰팩 유심 15GB</t>
        </is>
      </c>
      <c r="C23" s="47" t="inlineStr">
        <is>
          <t>무제한</t>
        </is>
      </c>
      <c r="D23" s="47" t="inlineStr">
        <is>
          <t>무제한</t>
        </is>
      </c>
      <c r="E23" s="47" t="inlineStr">
        <is>
          <t>월 15GB + 1Mbps</t>
        </is>
      </c>
      <c r="F23" s="47" t="inlineStr">
        <is>
          <t>LG U+</t>
        </is>
      </c>
      <c r="G23" s="47" t="inlineStr">
        <is>
          <t>LTE</t>
        </is>
      </c>
      <c r="H23" s="48" t="n">
        <v>7350</v>
      </c>
      <c r="I23" s="48" t="n">
        <v>7</v>
      </c>
      <c r="J23" s="48" t="n">
        <v>18350</v>
      </c>
      <c r="K23" s="47">
        <f t="array" ref="K23">_xlfn.XLOOKUP(1,(참조!$B$2:$B$15=E23)*(참조!$D$2:$D$15=C23)*(참조!$E$2:$E$15=D23),참조!$C$2:$C$15,"")</f>
        <v/>
      </c>
    </row>
    <row r="24" hidden="1" s="27">
      <c r="A24" s="47" t="inlineStr">
        <is>
          <t>LG헬로모바일</t>
        </is>
      </c>
      <c r="B24" s="47" t="inlineStr">
        <is>
          <t>쿠폰팩 유심 15GB 100분</t>
        </is>
      </c>
      <c r="C24" s="47" t="inlineStr">
        <is>
          <t>100분</t>
        </is>
      </c>
      <c r="D24" s="47" t="inlineStr">
        <is>
          <t>100건</t>
        </is>
      </c>
      <c r="E24" s="47" t="inlineStr">
        <is>
          <t>월 15GB + 3Mbps</t>
        </is>
      </c>
      <c r="F24" s="47" t="inlineStr">
        <is>
          <t>LG U+</t>
        </is>
      </c>
      <c r="G24" s="47" t="inlineStr">
        <is>
          <t>LTE</t>
        </is>
      </c>
      <c r="H24" s="48" t="n">
        <v>6220</v>
      </c>
      <c r="I24" s="48" t="n">
        <v>7</v>
      </c>
      <c r="J24" s="48" t="n">
        <v>26220</v>
      </c>
      <c r="K24" s="47">
        <f t="array" ref="K24">_xlfn.XLOOKUP(1,(참조!$B$2:$B$15=E24)*(참조!$D$2:$D$15=C24)*(참조!$E$2:$E$15=D24),참조!$C$2:$C$15,"")</f>
        <v/>
      </c>
    </row>
    <row r="25" hidden="1" s="27">
      <c r="A25" s="47" t="inlineStr">
        <is>
          <t>LG헬로모바일</t>
        </is>
      </c>
      <c r="B25" s="47" t="inlineStr">
        <is>
          <t>The 착한 데이터 유심 11GB</t>
        </is>
      </c>
      <c r="C25" s="47" t="inlineStr">
        <is>
          <t>무제한</t>
        </is>
      </c>
      <c r="D25" s="47" t="inlineStr">
        <is>
          <t>무제한</t>
        </is>
      </c>
      <c r="E25" s="47" t="inlineStr">
        <is>
          <t>월 11GB + 매일 2GB + 3Mbps</t>
        </is>
      </c>
      <c r="F25" s="47" t="inlineStr">
        <is>
          <t>LG U+</t>
        </is>
      </c>
      <c r="G25" s="47" t="inlineStr">
        <is>
          <t>LTE</t>
        </is>
      </c>
      <c r="H25" s="48" t="n">
        <v>12990</v>
      </c>
      <c r="I25" s="48" t="n">
        <v>7</v>
      </c>
      <c r="J25" s="48" t="n">
        <v>32990</v>
      </c>
      <c r="K25" s="47">
        <f t="array" ref="K25">_xlfn.XLOOKUP(1,(참조!$B$2:$B$15=E25)*(참조!$D$2:$D$15=C25)*(참조!$E$2:$E$15=D25),참조!$C$2:$C$15,"")</f>
        <v/>
      </c>
    </row>
    <row r="26" hidden="1" s="27">
      <c r="A26" s="47" t="inlineStr">
        <is>
          <t>고고모바일</t>
        </is>
      </c>
      <c r="B26" s="47" t="inlineStr">
        <is>
          <t>[모요only] 고고딜 무제한 100GB+5M(Npay 5000P)_12개월</t>
        </is>
      </c>
      <c r="C26" s="47" t="inlineStr">
        <is>
          <t>무제한</t>
        </is>
      </c>
      <c r="D26" s="47" t="inlineStr">
        <is>
          <t>무제한</t>
        </is>
      </c>
      <c r="E26" s="47" t="inlineStr">
        <is>
          <t>월 100GB + 5Mbps</t>
        </is>
      </c>
      <c r="F26" s="47" t="inlineStr">
        <is>
          <t>KT</t>
        </is>
      </c>
      <c r="G26" s="47" t="inlineStr">
        <is>
          <t>LTE</t>
        </is>
      </c>
      <c r="H26" s="48" t="n">
        <v>19000</v>
      </c>
      <c r="I26" s="48" t="n">
        <v>12</v>
      </c>
      <c r="J26" s="48" t="n">
        <v>43400</v>
      </c>
      <c r="K26" s="47">
        <f t="array" ref="K26">_xlfn.XLOOKUP(1,(참조!$B$2:$B$15=E26)*(참조!$D$2:$D$15=C26)*(참조!$E$2:$E$15=D26),참조!$C$2:$C$15,"")</f>
        <v/>
      </c>
    </row>
    <row r="27" hidden="1" s="27">
      <c r="A27" s="47" t="inlineStr">
        <is>
          <t>LG헬로모바일</t>
        </is>
      </c>
      <c r="B27" s="47" t="inlineStr">
        <is>
          <t>쿠폰팩 유심 일5GB</t>
        </is>
      </c>
      <c r="C27" s="47" t="inlineStr">
        <is>
          <t>무제한</t>
        </is>
      </c>
      <c r="D27" s="47" t="inlineStr">
        <is>
          <t>무제한</t>
        </is>
      </c>
      <c r="E27" s="47" t="inlineStr">
        <is>
          <t>매일 5GB + 5Mbps</t>
        </is>
      </c>
      <c r="F27" s="47" t="inlineStr">
        <is>
          <t>LG U+</t>
        </is>
      </c>
      <c r="G27" s="47" t="inlineStr">
        <is>
          <t>LTE</t>
        </is>
      </c>
      <c r="H27" s="48" t="n">
        <v>16390</v>
      </c>
      <c r="I27" s="48" t="n">
        <v>7</v>
      </c>
      <c r="J27" s="48" t="n">
        <v>36390</v>
      </c>
      <c r="K27" s="47">
        <f t="array" ref="K27">_xlfn.XLOOKUP(1,(참조!$B$2:$B$15=E27)*(참조!$D$2:$D$15=C27)*(참조!$E$2:$E$15=D27),참조!$C$2:$C$15,"")</f>
        <v/>
      </c>
    </row>
    <row r="28" hidden="1" s="27">
      <c r="A28" s="47" t="inlineStr">
        <is>
          <t>KT엠모바일</t>
        </is>
      </c>
      <c r="B28" s="47" t="inlineStr">
        <is>
          <t>모두다 맘껏 10GB+(밀리의 서재 FREE)</t>
        </is>
      </c>
      <c r="C28" s="47" t="inlineStr">
        <is>
          <t>무제한</t>
        </is>
      </c>
      <c r="D28" s="47" t="inlineStr">
        <is>
          <t>무제한</t>
        </is>
      </c>
      <c r="E28" s="47" t="inlineStr">
        <is>
          <t>월 10GB + 1Mbps</t>
        </is>
      </c>
      <c r="F28" s="47" t="inlineStr">
        <is>
          <t>KT</t>
        </is>
      </c>
      <c r="G28" s="47" t="inlineStr">
        <is>
          <t>LTE</t>
        </is>
      </c>
      <c r="H28" s="48" t="n">
        <v>0</v>
      </c>
      <c r="I28" s="48" t="n">
        <v>6</v>
      </c>
      <c r="J28" s="48" t="n">
        <v>19000</v>
      </c>
      <c r="K28" s="47">
        <f t="array" ref="K28">_xlfn.XLOOKUP(1,(참조!$B$2:$B$15=E28)*(참조!$D$2:$D$15=C28)*(참조!$E$2:$E$15=D28),참조!$C$2:$C$15,"")</f>
        <v/>
      </c>
    </row>
    <row r="29" hidden="1" s="27">
      <c r="A29" s="47" t="inlineStr">
        <is>
          <t>LG헬로모바일</t>
        </is>
      </c>
      <c r="B29" s="47" t="inlineStr">
        <is>
          <t>보편 안심 유심 15GB 100분</t>
        </is>
      </c>
      <c r="C29" s="47" t="inlineStr">
        <is>
          <t>100분</t>
        </is>
      </c>
      <c r="D29" s="47" t="inlineStr">
        <is>
          <t>100건</t>
        </is>
      </c>
      <c r="E29" s="47" t="inlineStr">
        <is>
          <t>월 15GB + 3Mbps</t>
        </is>
      </c>
      <c r="F29" s="47" t="inlineStr">
        <is>
          <t>LG U+</t>
        </is>
      </c>
      <c r="G29" s="47" t="inlineStr">
        <is>
          <t>LTE</t>
        </is>
      </c>
      <c r="H29" s="48" t="n">
        <v>8820</v>
      </c>
      <c r="I29" s="48" t="n">
        <v>7</v>
      </c>
      <c r="J29" s="48" t="n">
        <v>28820</v>
      </c>
      <c r="K29" s="47">
        <f t="array" ref="K29">_xlfn.XLOOKUP(1,(참조!$B$2:$B$15=E29)*(참조!$D$2:$D$15=C29)*(참조!$E$2:$E$15=D29),참조!$C$2:$C$15,"")</f>
        <v/>
      </c>
    </row>
    <row r="30" hidden="1" s="27">
      <c r="A30" s="47" t="inlineStr">
        <is>
          <t>모나</t>
        </is>
      </c>
      <c r="B30" s="47" t="inlineStr">
        <is>
          <t>수다맘껏데이터71G+</t>
        </is>
      </c>
      <c r="C30" s="47" t="inlineStr">
        <is>
          <t>무제한</t>
        </is>
      </c>
      <c r="D30" s="47" t="inlineStr">
        <is>
          <t>무제한</t>
        </is>
      </c>
      <c r="E30" s="47" t="inlineStr">
        <is>
          <t>월 11GB + 매일 2GB + 3Mbps</t>
        </is>
      </c>
      <c r="F30" s="47" t="inlineStr">
        <is>
          <t>LG U+</t>
        </is>
      </c>
      <c r="G30" s="47" t="inlineStr">
        <is>
          <t>LTE</t>
        </is>
      </c>
      <c r="H30" s="48" t="n">
        <v>7900</v>
      </c>
      <c r="I30" s="48" t="n">
        <v>7</v>
      </c>
      <c r="J30" s="48" t="n">
        <v>39600</v>
      </c>
      <c r="K30" s="47">
        <f t="array" ref="K30">_xlfn.XLOOKUP(1,(참조!$B$2:$B$15=E30)*(참조!$D$2:$D$15=C30)*(참조!$E$2:$E$15=D30),참조!$C$2:$C$15,"")</f>
        <v/>
      </c>
    </row>
    <row r="31" hidden="1" s="27">
      <c r="A31" s="47" t="inlineStr">
        <is>
          <t>쉐이크모바일</t>
        </is>
      </c>
      <c r="B31" s="47" t="inlineStr">
        <is>
          <t>[모요only] 쉐이크 5G 110GB+_네이버페이 매 월 5,000원</t>
        </is>
      </c>
      <c r="C31" s="47" t="inlineStr">
        <is>
          <t>무제한</t>
        </is>
      </c>
      <c r="D31" s="47" t="inlineStr">
        <is>
          <t>무제한</t>
        </is>
      </c>
      <c r="E31" s="47" t="inlineStr">
        <is>
          <t>월 110GB + 5Mbps</t>
        </is>
      </c>
      <c r="F31" s="47" t="inlineStr">
        <is>
          <t>KT</t>
        </is>
      </c>
      <c r="G31" s="47" t="inlineStr">
        <is>
          <t>5G</t>
        </is>
      </c>
      <c r="H31" s="48" t="n">
        <v>4900</v>
      </c>
      <c r="I31" s="48" t="n">
        <v>7</v>
      </c>
      <c r="J31" s="48" t="n">
        <v>50000</v>
      </c>
      <c r="K31" s="47">
        <f t="array" ref="K31">_xlfn.XLOOKUP(1,(참조!$B$2:$B$15=E31)*(참조!$D$2:$D$15=C31)*(참조!$E$2:$E$15=D31),참조!$C$2:$C$15,"")</f>
        <v/>
      </c>
    </row>
    <row r="32" hidden="1" s="27">
      <c r="A32" s="47" t="inlineStr">
        <is>
          <t>모나</t>
        </is>
      </c>
      <c r="B32" s="47" t="inlineStr">
        <is>
          <t>5G_코나아이데이터180G안심10</t>
        </is>
      </c>
      <c r="C32" s="47" t="inlineStr">
        <is>
          <t>무제한</t>
        </is>
      </c>
      <c r="D32" s="47" t="inlineStr">
        <is>
          <t>무제한</t>
        </is>
      </c>
      <c r="E32" s="47" t="inlineStr">
        <is>
          <t>월 180GB + 10Mbps</t>
        </is>
      </c>
      <c r="F32" s="47" t="inlineStr">
        <is>
          <t>LG U+</t>
        </is>
      </c>
      <c r="G32" s="47" t="inlineStr">
        <is>
          <t>5G</t>
        </is>
      </c>
      <c r="H32" s="48" t="n">
        <v>9900</v>
      </c>
      <c r="I32" s="48" t="n">
        <v>7</v>
      </c>
      <c r="J32" s="48" t="n">
        <v>66000</v>
      </c>
      <c r="K32" s="47">
        <f t="array" ref="K32">_xlfn.XLOOKUP(1,(참조!$B$2:$B$15=E32)*(참조!$D$2:$D$15=C32)*(참조!$E$2:$E$15=D32),참조!$C$2:$C$15,"")</f>
        <v/>
      </c>
    </row>
    <row r="33" hidden="1" s="27">
      <c r="A33" s="47" t="inlineStr">
        <is>
          <t>LG헬로모바일</t>
        </is>
      </c>
      <c r="B33" s="47" t="inlineStr">
        <is>
          <t>DATA 걱정없는 유심 일5GB</t>
        </is>
      </c>
      <c r="C33" s="47" t="inlineStr">
        <is>
          <t>무제한</t>
        </is>
      </c>
      <c r="D33" s="47" t="inlineStr">
        <is>
          <t>무제한</t>
        </is>
      </c>
      <c r="E33" s="47" t="inlineStr">
        <is>
          <t>매일 5GB + 5Mbps</t>
        </is>
      </c>
      <c r="F33" s="47" t="inlineStr">
        <is>
          <t>LG U+</t>
        </is>
      </c>
      <c r="G33" s="47" t="inlineStr">
        <is>
          <t>LTE</t>
        </is>
      </c>
      <c r="H33" s="48" t="n">
        <v>18990</v>
      </c>
      <c r="I33" s="48" t="n">
        <v>7</v>
      </c>
      <c r="J33" s="48" t="n">
        <v>38990</v>
      </c>
      <c r="K33" s="47">
        <f t="array" ref="K33">_xlfn.XLOOKUP(1,(참조!$B$2:$B$15=E33)*(참조!$D$2:$D$15=C33)*(참조!$E$2:$E$15=D33),참조!$C$2:$C$15,"")</f>
        <v/>
      </c>
    </row>
    <row r="34" hidden="1" s="27">
      <c r="A34" s="47" t="inlineStr">
        <is>
          <t>LG헬로모바일</t>
        </is>
      </c>
      <c r="B34" s="47" t="inlineStr">
        <is>
          <t>쿠폰팩 유심 10GB</t>
        </is>
      </c>
      <c r="C34" s="47" t="inlineStr">
        <is>
          <t>무제한</t>
        </is>
      </c>
      <c r="D34" s="47" t="inlineStr">
        <is>
          <t>무제한</t>
        </is>
      </c>
      <c r="E34" s="47" t="inlineStr">
        <is>
          <t>월 10GB + 1Mbps</t>
        </is>
      </c>
      <c r="F34" s="47" t="inlineStr">
        <is>
          <t>LG U+</t>
        </is>
      </c>
      <c r="G34" s="47" t="inlineStr">
        <is>
          <t>LTE</t>
        </is>
      </c>
      <c r="H34" s="48" t="n">
        <v>5300</v>
      </c>
      <c r="I34" s="48" t="n">
        <v>7</v>
      </c>
      <c r="J34" s="48" t="n">
        <v>16300</v>
      </c>
      <c r="K34" s="47">
        <f t="array" ref="K34">_xlfn.XLOOKUP(1,(참조!$B$2:$B$15=E34)*(참조!$D$2:$D$15=C34)*(참조!$E$2:$E$15=D34),참조!$C$2:$C$15,"")</f>
        <v/>
      </c>
    </row>
    <row r="35" hidden="1" s="27">
      <c r="A35" s="47" t="inlineStr">
        <is>
          <t>LG헬로모바일</t>
        </is>
      </c>
      <c r="B35" s="47" t="inlineStr">
        <is>
          <t>DATA 걱정없는 유심 7GB</t>
        </is>
      </c>
      <c r="C35" s="47" t="inlineStr">
        <is>
          <t>무제한</t>
        </is>
      </c>
      <c r="D35" s="47" t="inlineStr">
        <is>
          <t>무제한</t>
        </is>
      </c>
      <c r="E35" s="47" t="inlineStr">
        <is>
          <t>월 7GB + 1Mbps</t>
        </is>
      </c>
      <c r="F35" s="47" t="inlineStr">
        <is>
          <t>LG U+</t>
        </is>
      </c>
      <c r="G35" s="47" t="inlineStr">
        <is>
          <t>LTE</t>
        </is>
      </c>
      <c r="H35" s="48" t="n">
        <v>4900</v>
      </c>
      <c r="I35" s="48" t="n">
        <v>7</v>
      </c>
      <c r="J35" s="48" t="n">
        <v>15900</v>
      </c>
      <c r="K35" s="47">
        <f t="array" ref="K35">_xlfn.XLOOKUP(1,(참조!$B$2:$B$15=E35)*(참조!$D$2:$D$15=C35)*(참조!$E$2:$E$15=D35),참조!$C$2:$C$15,"")</f>
        <v/>
      </c>
    </row>
    <row r="36" hidden="1" s="27">
      <c r="A36" s="47" t="inlineStr">
        <is>
          <t>LG헬로모바일</t>
        </is>
      </c>
      <c r="B36" s="47" t="inlineStr">
        <is>
          <t>슬림 유심 500MB 50분</t>
        </is>
      </c>
      <c r="C36" s="47" t="inlineStr">
        <is>
          <t>50분</t>
        </is>
      </c>
      <c r="D36" s="47" t="inlineStr">
        <is>
          <t>50건</t>
        </is>
      </c>
      <c r="E36" s="47" t="inlineStr">
        <is>
          <t>월 500MB</t>
        </is>
      </c>
      <c r="F36" s="47" t="inlineStr">
        <is>
          <t>LG U+</t>
        </is>
      </c>
      <c r="G36" s="47" t="inlineStr">
        <is>
          <t>LTE</t>
        </is>
      </c>
      <c r="H36" s="48" t="n">
        <v>0</v>
      </c>
      <c r="I36" s="48" t="n">
        <v>6</v>
      </c>
      <c r="J36" s="48" t="n">
        <v>1700</v>
      </c>
      <c r="K36" s="47">
        <f t="array" ref="K36">_xlfn.XLOOKUP(1,(참조!$B$2:$B$15=E36)*(참조!$D$2:$D$15=C36)*(참조!$E$2:$E$15=D36),참조!$C$2:$C$15,"")</f>
        <v/>
      </c>
    </row>
    <row r="37" hidden="1" s="27">
      <c r="A37" s="47" t="inlineStr">
        <is>
          <t>모나</t>
        </is>
      </c>
      <c r="B37" s="47" t="inlineStr">
        <is>
          <t>5G_코나아이데이터150G안심5</t>
        </is>
      </c>
      <c r="C37" s="47" t="inlineStr">
        <is>
          <t>무제한</t>
        </is>
      </c>
      <c r="D37" s="47" t="inlineStr">
        <is>
          <t>무제한</t>
        </is>
      </c>
      <c r="E37" s="47" t="inlineStr">
        <is>
          <t>월 150GB + 5Mbps</t>
        </is>
      </c>
      <c r="F37" s="47" t="inlineStr">
        <is>
          <t>LG U+</t>
        </is>
      </c>
      <c r="G37" s="47" t="inlineStr">
        <is>
          <t>5G</t>
        </is>
      </c>
      <c r="H37" s="48" t="n">
        <v>8900</v>
      </c>
      <c r="I37" s="48" t="n">
        <v>7</v>
      </c>
      <c r="J37" s="48" t="n">
        <v>62700</v>
      </c>
      <c r="K37" s="47">
        <f t="array" ref="K37">_xlfn.XLOOKUP(1,(참조!$B$2:$B$15=E37)*(참조!$D$2:$D$15=C37)*(참조!$E$2:$E$15=D37),참조!$C$2:$C$15,"")</f>
        <v/>
      </c>
    </row>
    <row r="38" hidden="1" s="27">
      <c r="A38" s="47" t="inlineStr">
        <is>
          <t>LG헬로모바일</t>
        </is>
      </c>
      <c r="B38" s="47" t="inlineStr">
        <is>
          <t>슬림 유심 1GB 100분</t>
        </is>
      </c>
      <c r="C38" s="47" t="inlineStr">
        <is>
          <t>100분</t>
        </is>
      </c>
      <c r="D38" s="47" t="inlineStr">
        <is>
          <t>50건</t>
        </is>
      </c>
      <c r="E38" s="47" t="inlineStr">
        <is>
          <t>월 1GB</t>
        </is>
      </c>
      <c r="F38" s="47" t="inlineStr">
        <is>
          <t>LG U+</t>
        </is>
      </c>
      <c r="G38" s="47" t="inlineStr">
        <is>
          <t>LTE</t>
        </is>
      </c>
      <c r="H38" s="48" t="n">
        <v>0</v>
      </c>
      <c r="I38" s="48" t="n">
        <v>6</v>
      </c>
      <c r="J38" s="48" t="n">
        <v>2700</v>
      </c>
      <c r="K38" s="47">
        <f t="array" ref="K38">_xlfn.XLOOKUP(1,(참조!$B$2:$B$15=E38)*(참조!$D$2:$D$15=C38)*(참조!$E$2:$E$15=D38),참조!$C$2:$C$15,"")</f>
        <v/>
      </c>
    </row>
    <row r="39" hidden="1" s="27">
      <c r="A39" s="47" t="inlineStr">
        <is>
          <t>LG헬로모바일</t>
        </is>
      </c>
      <c r="B39" s="47" t="inlineStr">
        <is>
          <t>보편 안심 유심 15GB 300분</t>
        </is>
      </c>
      <c r="C39" s="47" t="inlineStr">
        <is>
          <t>300분</t>
        </is>
      </c>
      <c r="D39" s="47" t="inlineStr">
        <is>
          <t>300건</t>
        </is>
      </c>
      <c r="E39" s="47" t="inlineStr">
        <is>
          <t>월 15GB + 3Mbps</t>
        </is>
      </c>
      <c r="F39" s="47" t="inlineStr">
        <is>
          <t>LG U+</t>
        </is>
      </c>
      <c r="G39" s="47" t="inlineStr">
        <is>
          <t>LTE</t>
        </is>
      </c>
      <c r="H39" s="48" t="n">
        <v>11900</v>
      </c>
      <c r="I39" s="48" t="n">
        <v>7</v>
      </c>
      <c r="J39" s="48" t="n">
        <v>31900</v>
      </c>
      <c r="K39" s="47">
        <f t="array" ref="K39">_xlfn.XLOOKUP(1,(참조!$B$2:$B$15=E39)*(참조!$D$2:$D$15=C39)*(참조!$E$2:$E$15=D39),참조!$C$2:$C$15,"")</f>
        <v/>
      </c>
    </row>
    <row r="40" hidden="1" s="27">
      <c r="A40" s="47" t="inlineStr">
        <is>
          <t>KT스카이라이프</t>
        </is>
      </c>
      <c r="B40" s="47" t="inlineStr">
        <is>
          <t>슬림 1GB/100분</t>
        </is>
      </c>
      <c r="C40" s="47" t="inlineStr">
        <is>
          <t>100분</t>
        </is>
      </c>
      <c r="D40" s="47" t="inlineStr">
        <is>
          <t>100건</t>
        </is>
      </c>
      <c r="E40" s="47" t="inlineStr">
        <is>
          <t>월 1GB</t>
        </is>
      </c>
      <c r="F40" s="47" t="inlineStr">
        <is>
          <t>KT</t>
        </is>
      </c>
      <c r="G40" s="47" t="inlineStr">
        <is>
          <t>LTE</t>
        </is>
      </c>
      <c r="H40" s="48" t="n">
        <v>2900</v>
      </c>
      <c r="I40" s="48" t="n"/>
      <c r="J40" s="48" t="n"/>
      <c r="K40" s="47">
        <f t="array" ref="K40">_xlfn.XLOOKUP(1,(참조!$B$2:$B$15=E40)*(참조!$D$2:$D$15=C40)*(참조!$E$2:$E$15=D40),참조!$C$2:$C$15,"")</f>
        <v/>
      </c>
    </row>
    <row r="41" hidden="1" s="27">
      <c r="A41" s="47" t="inlineStr">
        <is>
          <t>더원모바일</t>
        </is>
      </c>
      <c r="B41" s="47" t="inlineStr">
        <is>
          <t>TOP 7GB 기본 (네이버페이)</t>
        </is>
      </c>
      <c r="C41" s="47" t="inlineStr">
        <is>
          <t>무제한</t>
        </is>
      </c>
      <c r="D41" s="47" t="inlineStr">
        <is>
          <t>무제한</t>
        </is>
      </c>
      <c r="E41" s="47" t="inlineStr">
        <is>
          <t>월 7GB + 1Mbps</t>
        </is>
      </c>
      <c r="F41" s="47" t="inlineStr">
        <is>
          <t>KT</t>
        </is>
      </c>
      <c r="G41" s="47" t="inlineStr">
        <is>
          <t>LTE</t>
        </is>
      </c>
      <c r="H41" s="48" t="n">
        <v>0</v>
      </c>
      <c r="I41" s="48" t="n">
        <v>7</v>
      </c>
      <c r="J41" s="48" t="n">
        <v>21400</v>
      </c>
      <c r="K41" s="47">
        <f t="array" ref="K41">_xlfn.XLOOKUP(1,(참조!$B$2:$B$15=E41)*(참조!$D$2:$D$15=C41)*(참조!$E$2:$E$15=D41),참조!$C$2:$C$15,"")</f>
        <v/>
      </c>
    </row>
    <row r="42" hidden="1" s="27">
      <c r="A42" s="47" t="inlineStr">
        <is>
          <t>LG헬로모바일</t>
        </is>
      </c>
      <c r="B42" s="47" t="inlineStr">
        <is>
          <t>보편 안심 유심 15GB 180분</t>
        </is>
      </c>
      <c r="C42" s="47" t="inlineStr">
        <is>
          <t>180분</t>
        </is>
      </c>
      <c r="D42" s="47" t="inlineStr">
        <is>
          <t>100건</t>
        </is>
      </c>
      <c r="E42" s="47" t="inlineStr">
        <is>
          <t>월 15GB + 3Mbps</t>
        </is>
      </c>
      <c r="F42" s="47" t="inlineStr">
        <is>
          <t>LG U+</t>
        </is>
      </c>
      <c r="G42" s="47" t="inlineStr">
        <is>
          <t>LTE</t>
        </is>
      </c>
      <c r="H42" s="48" t="n">
        <v>10800</v>
      </c>
      <c r="I42" s="48" t="n">
        <v>7</v>
      </c>
      <c r="J42" s="48" t="n">
        <v>30800</v>
      </c>
      <c r="K42" s="47">
        <f t="array" ref="K42">_xlfn.XLOOKUP(1,(참조!$B$2:$B$15=E42)*(참조!$D$2:$D$15=C42)*(참조!$E$2:$E$15=D42),참조!$C$2:$C$15,"")</f>
        <v/>
      </c>
    </row>
    <row r="43" hidden="1" s="27">
      <c r="A43" s="47" t="inlineStr">
        <is>
          <t>쉐이크모바일</t>
        </is>
      </c>
      <c r="B43" s="47" t="inlineStr">
        <is>
          <t>[모요only] 쉐이크딜 LTE 100GB+_네이버페이(5,000)</t>
        </is>
      </c>
      <c r="C43" s="47" t="inlineStr">
        <is>
          <t>무제한</t>
        </is>
      </c>
      <c r="D43" s="47" t="inlineStr">
        <is>
          <t>무제한</t>
        </is>
      </c>
      <c r="E43" s="47" t="inlineStr">
        <is>
          <t>월 100GB + 5Mbps</t>
        </is>
      </c>
      <c r="F43" s="47" t="inlineStr">
        <is>
          <t>KT</t>
        </is>
      </c>
      <c r="G43" s="47" t="inlineStr">
        <is>
          <t>LTE</t>
        </is>
      </c>
      <c r="H43" s="48" t="n">
        <v>4900</v>
      </c>
      <c r="I43" s="48" t="n">
        <v>7</v>
      </c>
      <c r="J43" s="48" t="n">
        <v>44500</v>
      </c>
      <c r="K43" s="47">
        <f t="array" ref="K43">_xlfn.XLOOKUP(1,(참조!$B$2:$B$15=E43)*(참조!$D$2:$D$15=C43)*(참조!$E$2:$E$15=D43),참조!$C$2:$C$15,"")</f>
        <v/>
      </c>
    </row>
    <row r="44" hidden="1" s="27">
      <c r="A44" s="47" t="inlineStr">
        <is>
          <t>LG헬로모바일</t>
        </is>
      </c>
      <c r="B44" s="47" t="inlineStr">
        <is>
          <t>DATA 걱정없는 유심 15GB</t>
        </is>
      </c>
      <c r="C44" s="47" t="inlineStr">
        <is>
          <t>무제한</t>
        </is>
      </c>
      <c r="D44" s="47" t="inlineStr">
        <is>
          <t>무제한</t>
        </is>
      </c>
      <c r="E44" s="47" t="inlineStr">
        <is>
          <t>월 15GB + 1Mbps</t>
        </is>
      </c>
      <c r="F44" s="47" t="inlineStr">
        <is>
          <t>LG U+</t>
        </is>
      </c>
      <c r="G44" s="47" t="inlineStr">
        <is>
          <t>LTE</t>
        </is>
      </c>
      <c r="H44" s="48" t="n">
        <v>9950</v>
      </c>
      <c r="I44" s="48" t="n">
        <v>7</v>
      </c>
      <c r="J44" s="48" t="n">
        <v>20950</v>
      </c>
      <c r="K44" s="47">
        <f t="array" ref="K44">_xlfn.XLOOKUP(1,(참조!$B$2:$B$15=E44)*(참조!$D$2:$D$15=C44)*(참조!$E$2:$E$15=D44),참조!$C$2:$C$15,"")</f>
        <v/>
      </c>
    </row>
    <row r="45" hidden="1" s="27">
      <c r="A45" s="47" t="inlineStr">
        <is>
          <t>고고모바일</t>
        </is>
      </c>
      <c r="B45" s="47" t="inlineStr">
        <is>
          <t>[모요only] 고고딜 무제한 11GB+3M(Npay 5000P)_12개월</t>
        </is>
      </c>
      <c r="C45" s="47" t="inlineStr">
        <is>
          <t>무제한</t>
        </is>
      </c>
      <c r="D45" s="47" t="inlineStr">
        <is>
          <t>무제한</t>
        </is>
      </c>
      <c r="E45" s="47" t="inlineStr">
        <is>
          <t>월 11GB + 매일 2GB + 3Mbps</t>
        </is>
      </c>
      <c r="F45" s="47" t="inlineStr">
        <is>
          <t>KT</t>
        </is>
      </c>
      <c r="G45" s="47" t="inlineStr">
        <is>
          <t>LTE</t>
        </is>
      </c>
      <c r="H45" s="48" t="n">
        <v>17000</v>
      </c>
      <c r="I45" s="48" t="n">
        <v>12</v>
      </c>
      <c r="J45" s="48" t="n">
        <v>34600</v>
      </c>
      <c r="K45" s="47">
        <f t="array" ref="K45">_xlfn.XLOOKUP(1,(참조!$B$2:$B$15=E45)*(참조!$D$2:$D$15=C45)*(참조!$E$2:$E$15=D45),참조!$C$2:$C$15,"")</f>
        <v/>
      </c>
    </row>
    <row r="46" hidden="1" s="27">
      <c r="A46" s="47" t="inlineStr">
        <is>
          <t>고고모바일</t>
        </is>
      </c>
      <c r="B46" s="47" t="inlineStr">
        <is>
          <t>[모요only] 고고딜 무제한 7GB+1M(Npay 5000P)_12개월</t>
        </is>
      </c>
      <c r="C46" s="47" t="inlineStr">
        <is>
          <t>무제한</t>
        </is>
      </c>
      <c r="D46" s="47" t="inlineStr">
        <is>
          <t>무제한</t>
        </is>
      </c>
      <c r="E46" s="47" t="inlineStr">
        <is>
          <t>월 7GB + 1Mbps</t>
        </is>
      </c>
      <c r="F46" s="47" t="inlineStr">
        <is>
          <t>KT</t>
        </is>
      </c>
      <c r="G46" s="47" t="inlineStr">
        <is>
          <t>LTE</t>
        </is>
      </c>
      <c r="H46" s="48" t="n">
        <v>5000</v>
      </c>
      <c r="I46" s="48" t="n">
        <v>12</v>
      </c>
      <c r="J46" s="48" t="n">
        <v>19200</v>
      </c>
      <c r="K46" s="47">
        <f t="array" ref="K46">_xlfn.XLOOKUP(1,(참조!$B$2:$B$15=E46)*(참조!$D$2:$D$15=C46)*(참조!$E$2:$E$15=D46),참조!$C$2:$C$15,"")</f>
        <v/>
      </c>
    </row>
    <row r="47" hidden="1" s="27">
      <c r="A47" s="47" t="inlineStr">
        <is>
          <t>쉐이크모바일</t>
        </is>
      </c>
      <c r="B47" s="47" t="inlineStr">
        <is>
          <t>[모요only] 쉐이크 LTE 11GB+_네이버페이 매 월 5,000원</t>
        </is>
      </c>
      <c r="C47" s="47" t="inlineStr">
        <is>
          <t>무제한</t>
        </is>
      </c>
      <c r="D47" s="47" t="inlineStr">
        <is>
          <t>무제한</t>
        </is>
      </c>
      <c r="E47" s="47" t="inlineStr">
        <is>
          <t>월 11GB + 매일 2GB + 3Mbps</t>
        </is>
      </c>
      <c r="F47" s="47" t="inlineStr">
        <is>
          <t>KT</t>
        </is>
      </c>
      <c r="G47" s="47" t="inlineStr">
        <is>
          <t>LTE</t>
        </is>
      </c>
      <c r="H47" s="48" t="n">
        <v>4800</v>
      </c>
      <c r="I47" s="48" t="n">
        <v>7</v>
      </c>
      <c r="J47" s="48" t="n">
        <v>37900</v>
      </c>
      <c r="K47" s="47">
        <f t="array" ref="K47">_xlfn.XLOOKUP(1,(참조!$B$2:$B$15=E47)*(참조!$D$2:$D$15=C47)*(참조!$E$2:$E$15=D47),참조!$C$2:$C$15,"")</f>
        <v/>
      </c>
    </row>
    <row r="48" hidden="1" s="27">
      <c r="A48" s="47" t="inlineStr">
        <is>
          <t>LG헬로모바일</t>
        </is>
      </c>
      <c r="B48" s="47" t="inlineStr">
        <is>
          <t>5G 유심 중간요금제 95GB</t>
        </is>
      </c>
      <c r="C48" s="47" t="inlineStr">
        <is>
          <t>무제한</t>
        </is>
      </c>
      <c r="D48" s="47" t="inlineStr">
        <is>
          <t>무제한</t>
        </is>
      </c>
      <c r="E48" s="47" t="inlineStr">
        <is>
          <t>월 95GB + 3Mbps</t>
        </is>
      </c>
      <c r="F48" s="47" t="inlineStr">
        <is>
          <t>LG U+</t>
        </is>
      </c>
      <c r="G48" s="47" t="inlineStr">
        <is>
          <t>5G</t>
        </is>
      </c>
      <c r="H48" s="48" t="n">
        <v>24000</v>
      </c>
      <c r="I48" s="48" t="n">
        <v>7</v>
      </c>
      <c r="J48" s="48" t="n">
        <v>44000</v>
      </c>
      <c r="K48" s="47">
        <f t="array" ref="K48">_xlfn.XLOOKUP(1,(참조!$B$2:$B$15=E48)*(참조!$D$2:$D$15=C48)*(참조!$E$2:$E$15=D48),참조!$C$2:$C$15,"")</f>
        <v/>
      </c>
    </row>
    <row r="49" hidden="1" s="27">
      <c r="A49" s="47" t="inlineStr">
        <is>
          <t>U+유모바일</t>
        </is>
      </c>
      <c r="B49" s="47" t="inlineStr">
        <is>
          <t>데이터 플러스 7GB(평생+10GB 추가 제공 프로모션)</t>
        </is>
      </c>
      <c r="C49" s="47" t="inlineStr">
        <is>
          <t>무제한</t>
        </is>
      </c>
      <c r="D49" s="47" t="inlineStr">
        <is>
          <t>무제한</t>
        </is>
      </c>
      <c r="E49" s="47" t="inlineStr">
        <is>
          <t>월 17GB + 1Mbps</t>
        </is>
      </c>
      <c r="F49" s="47" t="inlineStr">
        <is>
          <t>LG U+</t>
        </is>
      </c>
      <c r="G49" s="47" t="inlineStr">
        <is>
          <t>LTE</t>
        </is>
      </c>
      <c r="H49" s="48" t="n">
        <v>17500</v>
      </c>
      <c r="I49" s="48" t="n"/>
      <c r="J49" s="48" t="n"/>
      <c r="K49" s="47">
        <f t="array" ref="K49">_xlfn.XLOOKUP(1,(참조!$B$2:$B$15=E49)*(참조!$D$2:$D$15=C49)*(참조!$E$2:$E$15=D49),참조!$C$2:$C$15,"")</f>
        <v/>
      </c>
    </row>
    <row r="50" hidden="1" s="27">
      <c r="A50" s="47" t="inlineStr">
        <is>
          <t>쉐이크모바일</t>
        </is>
      </c>
      <c r="B50" s="47" t="inlineStr">
        <is>
          <t>[모요only] 쉐이크 LTE 7GB+_네이버페이 매 월 5,000원</t>
        </is>
      </c>
      <c r="C50" s="47" t="inlineStr">
        <is>
          <t>무제한</t>
        </is>
      </c>
      <c r="D50" s="47" t="inlineStr">
        <is>
          <t>무제한</t>
        </is>
      </c>
      <c r="E50" s="47" t="inlineStr">
        <is>
          <t>월 7GB + 1Mbps</t>
        </is>
      </c>
      <c r="F50" s="47" t="inlineStr">
        <is>
          <t>KT</t>
        </is>
      </c>
      <c r="G50" s="47" t="inlineStr">
        <is>
          <t>LTE</t>
        </is>
      </c>
      <c r="H50" s="48" t="n">
        <v>0</v>
      </c>
      <c r="I50" s="48" t="n">
        <v>7</v>
      </c>
      <c r="J50" s="48" t="n">
        <v>34600</v>
      </c>
      <c r="K50" s="47">
        <f t="array" ref="K50">_xlfn.XLOOKUP(1,(참조!$B$2:$B$15=E50)*(참조!$D$2:$D$15=C50)*(참조!$E$2:$E$15=D50),참조!$C$2:$C$15,"")</f>
        <v/>
      </c>
    </row>
    <row r="51" hidden="1" s="27">
      <c r="A51" s="47" t="inlineStr">
        <is>
          <t>LG헬로모바일</t>
        </is>
      </c>
      <c r="B51" s="47" t="inlineStr">
        <is>
          <t>보편 안심 유심 10GB 200분</t>
        </is>
      </c>
      <c r="C51" s="47" t="inlineStr">
        <is>
          <t>200분</t>
        </is>
      </c>
      <c r="D51" s="47" t="inlineStr">
        <is>
          <t>100건</t>
        </is>
      </c>
      <c r="E51" s="47" t="inlineStr">
        <is>
          <t>월 10GB + 1Mbps</t>
        </is>
      </c>
      <c r="F51" s="47" t="inlineStr">
        <is>
          <t>LG U+</t>
        </is>
      </c>
      <c r="G51" s="47" t="inlineStr">
        <is>
          <t>LTE</t>
        </is>
      </c>
      <c r="H51" s="48" t="n">
        <v>7900</v>
      </c>
      <c r="I51" s="48" t="n">
        <v>7</v>
      </c>
      <c r="J51" s="48" t="n">
        <v>18900</v>
      </c>
      <c r="K51" s="47">
        <f t="array" ref="K51">_xlfn.XLOOKUP(1,(참조!$B$2:$B$15=E51)*(참조!$D$2:$D$15=C51)*(참조!$E$2:$E$15=D51),참조!$C$2:$C$15,"")</f>
        <v/>
      </c>
    </row>
    <row r="52" hidden="1" s="27">
      <c r="A52" s="47" t="inlineStr">
        <is>
          <t>더원모바일</t>
        </is>
      </c>
      <c r="B52" s="47" t="inlineStr">
        <is>
          <t>TOP 11GB 기본 (네이버페이)</t>
        </is>
      </c>
      <c r="C52" s="47" t="inlineStr">
        <is>
          <t>무제한</t>
        </is>
      </c>
      <c r="D52" s="47" t="inlineStr">
        <is>
          <t>무제한</t>
        </is>
      </c>
      <c r="E52" s="47" t="inlineStr">
        <is>
          <t>월 11GB + 매일 2GB + 3Mbps</t>
        </is>
      </c>
      <c r="F52" s="47" t="inlineStr">
        <is>
          <t>KT</t>
        </is>
      </c>
      <c r="G52" s="47" t="inlineStr">
        <is>
          <t>LTE</t>
        </is>
      </c>
      <c r="H52" s="48" t="n">
        <v>4900</v>
      </c>
      <c r="I52" s="48" t="n">
        <v>7</v>
      </c>
      <c r="J52" s="48" t="n">
        <v>35700</v>
      </c>
      <c r="K52" s="47">
        <f t="array" ref="K52">_xlfn.XLOOKUP(1,(참조!$B$2:$B$15=E52)*(참조!$D$2:$D$15=C52)*(참조!$E$2:$E$15=D52),참조!$C$2:$C$15,"")</f>
        <v/>
      </c>
    </row>
    <row r="53" hidden="1" s="27">
      <c r="A53" s="47" t="inlineStr">
        <is>
          <t>고고모바일</t>
        </is>
      </c>
      <c r="B53" s="47" t="inlineStr">
        <is>
          <t>[모요only] 무제한 11GB+3M(매월 네이버페이5000P)</t>
        </is>
      </c>
      <c r="C53" s="47" t="inlineStr">
        <is>
          <t>무제한</t>
        </is>
      </c>
      <c r="D53" s="47" t="inlineStr">
        <is>
          <t>무제한</t>
        </is>
      </c>
      <c r="E53" s="47" t="inlineStr">
        <is>
          <t>월 11GB + 매일 2GB + 3Mbps</t>
        </is>
      </c>
      <c r="F53" s="47" t="inlineStr">
        <is>
          <t>KT</t>
        </is>
      </c>
      <c r="G53" s="47" t="inlineStr">
        <is>
          <t>LTE</t>
        </is>
      </c>
      <c r="H53" s="48" t="n">
        <v>11000</v>
      </c>
      <c r="I53" s="48" t="n">
        <v>7</v>
      </c>
      <c r="J53" s="48" t="n">
        <v>35700</v>
      </c>
      <c r="K53" s="47">
        <f t="array" ref="K53">_xlfn.XLOOKUP(1,(참조!$B$2:$B$15=E53)*(참조!$D$2:$D$15=C53)*(참조!$E$2:$E$15=D53),참조!$C$2:$C$15,"")</f>
        <v/>
      </c>
    </row>
    <row r="54" hidden="1" s="27">
      <c r="A54" s="47" t="inlineStr">
        <is>
          <t>모나</t>
        </is>
      </c>
      <c r="B54" s="47" t="inlineStr">
        <is>
          <t>코나아이데이터11G+일2G</t>
        </is>
      </c>
      <c r="C54" s="47" t="inlineStr">
        <is>
          <t>무제한</t>
        </is>
      </c>
      <c r="D54" s="47" t="inlineStr">
        <is>
          <t>무제한</t>
        </is>
      </c>
      <c r="E54" s="47" t="inlineStr">
        <is>
          <t>월 11GB + 매일 2GB + 3Mbps</t>
        </is>
      </c>
      <c r="F54" s="47" t="inlineStr">
        <is>
          <t>LG U+</t>
        </is>
      </c>
      <c r="G54" s="47" t="inlineStr">
        <is>
          <t>LTE</t>
        </is>
      </c>
      <c r="H54" s="48" t="n">
        <v>27900</v>
      </c>
      <c r="I54" s="48" t="n"/>
      <c r="J54" s="48" t="n"/>
      <c r="K54" s="47">
        <f t="array" ref="K54">_xlfn.XLOOKUP(1,(참조!$B$2:$B$15=E54)*(참조!$D$2:$D$15=C54)*(참조!$E$2:$E$15=D54),참조!$C$2:$C$15,"")</f>
        <v/>
      </c>
    </row>
    <row r="55" hidden="1" s="27">
      <c r="A55" s="47" t="inlineStr">
        <is>
          <t>모나</t>
        </is>
      </c>
      <c r="B55" s="47" t="inlineStr">
        <is>
          <t>5G_모나알뜰125G안심5</t>
        </is>
      </c>
      <c r="C55" s="47" t="inlineStr">
        <is>
          <t>무제한</t>
        </is>
      </c>
      <c r="D55" s="47" t="inlineStr">
        <is>
          <t>무제한</t>
        </is>
      </c>
      <c r="E55" s="47" t="inlineStr">
        <is>
          <t>월 125GB + 5Mbps</t>
        </is>
      </c>
      <c r="F55" s="47" t="inlineStr">
        <is>
          <t>LG U+</t>
        </is>
      </c>
      <c r="G55" s="47" t="inlineStr">
        <is>
          <t>5G</t>
        </is>
      </c>
      <c r="H55" s="48" t="n">
        <v>27100</v>
      </c>
      <c r="I55" s="48" t="n">
        <v>24</v>
      </c>
      <c r="J55" s="48" t="n">
        <v>52200</v>
      </c>
      <c r="K55" s="47">
        <f t="array" ref="K55">_xlfn.XLOOKUP(1,(참조!$B$2:$B$15=E55)*(참조!$D$2:$D$15=C55)*(참조!$E$2:$E$15=D55),참조!$C$2:$C$15,"")</f>
        <v/>
      </c>
    </row>
    <row r="56" hidden="1" s="27">
      <c r="A56" s="47" t="inlineStr">
        <is>
          <t>모나</t>
        </is>
      </c>
      <c r="B56" s="47" t="inlineStr">
        <is>
          <t>코나아이데이터15G+(+10G)1M</t>
        </is>
      </c>
      <c r="C56" s="47" t="inlineStr">
        <is>
          <t>무제한</t>
        </is>
      </c>
      <c r="D56" s="47" t="inlineStr">
        <is>
          <t>무제한</t>
        </is>
      </c>
      <c r="E56" s="47" t="inlineStr">
        <is>
          <t>월 25GB + 1Mbps</t>
        </is>
      </c>
      <c r="F56" s="47" t="inlineStr">
        <is>
          <t>LG U+</t>
        </is>
      </c>
      <c r="G56" s="47" t="inlineStr">
        <is>
          <t>LTE</t>
        </is>
      </c>
      <c r="H56" s="48" t="n">
        <v>17990</v>
      </c>
      <c r="I56" s="48" t="n"/>
      <c r="J56" s="48" t="n"/>
      <c r="K56" s="47">
        <f t="array" ref="K56">_xlfn.XLOOKUP(1,(참조!$B$2:$B$15=E56)*(참조!$D$2:$D$15=C56)*(참조!$E$2:$E$15=D56),참조!$C$2:$C$15,"")</f>
        <v/>
      </c>
    </row>
    <row r="57" hidden="1" s="27">
      <c r="A57" s="47" t="inlineStr">
        <is>
          <t>LG헬로모바일</t>
        </is>
      </c>
      <c r="B57" s="47" t="inlineStr">
        <is>
          <t>5G 유심 중간요금제 80GB</t>
        </is>
      </c>
      <c r="C57" s="47" t="inlineStr">
        <is>
          <t>무제한</t>
        </is>
      </c>
      <c r="D57" s="47" t="inlineStr">
        <is>
          <t>무제한</t>
        </is>
      </c>
      <c r="E57" s="47" t="inlineStr">
        <is>
          <t>월 80GB + 1Mbps</t>
        </is>
      </c>
      <c r="F57" s="47" t="inlineStr">
        <is>
          <t>LG U+</t>
        </is>
      </c>
      <c r="G57" s="47" t="inlineStr">
        <is>
          <t>5G</t>
        </is>
      </c>
      <c r="H57" s="48" t="n">
        <v>22680</v>
      </c>
      <c r="I57" s="48" t="n">
        <v>7</v>
      </c>
      <c r="J57" s="48" t="n">
        <v>42680</v>
      </c>
      <c r="K57" s="47">
        <f t="array" ref="K57">_xlfn.XLOOKUP(1,(참조!$B$2:$B$15=E57)*(참조!$D$2:$D$15=C57)*(참조!$E$2:$E$15=D57),참조!$C$2:$C$15,"")</f>
        <v/>
      </c>
    </row>
    <row r="58" hidden="1" s="27">
      <c r="A58" s="47" t="inlineStr">
        <is>
          <t>U+유모바일</t>
        </is>
      </c>
      <c r="B58" s="47" t="inlineStr">
        <is>
          <t>[Npay 12만 기본제공] 7GB+/통화기본</t>
        </is>
      </c>
      <c r="C58" s="47" t="inlineStr">
        <is>
          <t>무제한</t>
        </is>
      </c>
      <c r="D58" s="47" t="inlineStr">
        <is>
          <t>무제한</t>
        </is>
      </c>
      <c r="E58" s="47" t="inlineStr">
        <is>
          <t>월 7GB + 1Mbps</t>
        </is>
      </c>
      <c r="F58" s="47" t="inlineStr">
        <is>
          <t>LG U+</t>
        </is>
      </c>
      <c r="G58" s="47" t="inlineStr">
        <is>
          <t>LTE</t>
        </is>
      </c>
      <c r="H58" s="48" t="n">
        <v>13300</v>
      </c>
      <c r="I58" s="48" t="n">
        <v>24</v>
      </c>
      <c r="J58" s="48" t="n">
        <v>18300</v>
      </c>
      <c r="K58" s="47">
        <f t="array" ref="K58">_xlfn.XLOOKUP(1,(참조!$B$2:$B$15=E58)*(참조!$D$2:$D$15=C58)*(참조!$E$2:$E$15=D58),참조!$C$2:$C$15,"")</f>
        <v/>
      </c>
    </row>
    <row r="59" hidden="1" s="27">
      <c r="A59" s="47" t="inlineStr">
        <is>
          <t>모나</t>
        </is>
      </c>
      <c r="B59" s="47" t="inlineStr">
        <is>
          <t>코나아이데이터10G(+10G)+1M</t>
        </is>
      </c>
      <c r="C59" s="47" t="inlineStr">
        <is>
          <t>무제한</t>
        </is>
      </c>
      <c r="D59" s="47" t="inlineStr">
        <is>
          <t>무제한</t>
        </is>
      </c>
      <c r="E59" s="47" t="inlineStr">
        <is>
          <t>월 20GB + 1Mbps</t>
        </is>
      </c>
      <c r="F59" s="47" t="inlineStr">
        <is>
          <t>LG U+</t>
        </is>
      </c>
      <c r="G59" s="47" t="inlineStr">
        <is>
          <t>LTE</t>
        </is>
      </c>
      <c r="H59" s="48" t="n">
        <v>16990</v>
      </c>
      <c r="I59" s="48" t="n"/>
      <c r="J59" s="48" t="n"/>
      <c r="K59" s="47">
        <f t="array" ref="K59">_xlfn.XLOOKUP(1,(참조!$B$2:$B$15=E59)*(참조!$D$2:$D$15=C59)*(참조!$E$2:$E$15=D59),참조!$C$2:$C$15,"")</f>
        <v/>
      </c>
    </row>
    <row r="60" hidden="1" s="27">
      <c r="A60" s="47" t="inlineStr">
        <is>
          <t>U+유모바일</t>
        </is>
      </c>
      <c r="B60" s="47" t="inlineStr">
        <is>
          <t>[Npay 12만 기본제공] 17GB+/통화기본</t>
        </is>
      </c>
      <c r="C60" s="47" t="inlineStr">
        <is>
          <t>무제한</t>
        </is>
      </c>
      <c r="D60" s="47" t="inlineStr">
        <is>
          <t>무제한</t>
        </is>
      </c>
      <c r="E60" s="47" t="inlineStr">
        <is>
          <t>월 17GB + 1Mbps</t>
        </is>
      </c>
      <c r="F60" s="47" t="inlineStr">
        <is>
          <t>LG U+</t>
        </is>
      </c>
      <c r="G60" s="47" t="inlineStr">
        <is>
          <t>LTE</t>
        </is>
      </c>
      <c r="H60" s="48" t="n">
        <v>14900</v>
      </c>
      <c r="I60" s="48" t="n">
        <v>24</v>
      </c>
      <c r="J60" s="48" t="n">
        <v>19900</v>
      </c>
      <c r="K60" s="47">
        <f t="array" ref="K60">_xlfn.XLOOKUP(1,(참조!$B$2:$B$15=E60)*(참조!$D$2:$D$15=C60)*(참조!$E$2:$E$15=D60),참조!$C$2:$C$15,"")</f>
        <v/>
      </c>
    </row>
    <row r="61" hidden="1" s="27">
      <c r="A61" s="47" t="inlineStr">
        <is>
          <t>LG헬로모바일</t>
        </is>
      </c>
      <c r="B61" s="47" t="inlineStr">
        <is>
          <t>슬림 유심 2GB 200분</t>
        </is>
      </c>
      <c r="C61" s="47" t="inlineStr">
        <is>
          <t>200분</t>
        </is>
      </c>
      <c r="D61" s="47" t="inlineStr">
        <is>
          <t>150건</t>
        </is>
      </c>
      <c r="E61" s="47" t="inlineStr">
        <is>
          <t>월 2GB</t>
        </is>
      </c>
      <c r="F61" s="47" t="inlineStr">
        <is>
          <t>LG U+</t>
        </is>
      </c>
      <c r="G61" s="47" t="inlineStr">
        <is>
          <t>LTE</t>
        </is>
      </c>
      <c r="H61" s="48" t="n">
        <v>0</v>
      </c>
      <c r="I61" s="48" t="n">
        <v>6</v>
      </c>
      <c r="J61" s="48" t="n">
        <v>3700</v>
      </c>
      <c r="K61" s="47">
        <f t="array" ref="K61">_xlfn.XLOOKUP(1,(참조!$B$2:$B$15=E61)*(참조!$D$2:$D$15=C61)*(참조!$E$2:$E$15=D61),참조!$C$2:$C$15,"")</f>
        <v/>
      </c>
    </row>
    <row r="62" hidden="1" s="27">
      <c r="A62" s="47" t="inlineStr">
        <is>
          <t>LG헬로모바일</t>
        </is>
      </c>
      <c r="B62" s="47" t="inlineStr">
        <is>
          <t>5G 유심 중간요금제 31GB</t>
        </is>
      </c>
      <c r="C62" s="47" t="inlineStr">
        <is>
          <t>무제한</t>
        </is>
      </c>
      <c r="D62" s="47" t="inlineStr">
        <is>
          <t>무제한</t>
        </is>
      </c>
      <c r="E62" s="47" t="inlineStr">
        <is>
          <t>월 31GB + 1Mbps</t>
        </is>
      </c>
      <c r="F62" s="47" t="inlineStr">
        <is>
          <t>LG U+</t>
        </is>
      </c>
      <c r="G62" s="47" t="inlineStr">
        <is>
          <t>5G</t>
        </is>
      </c>
      <c r="H62" s="48" t="n">
        <v>19600</v>
      </c>
      <c r="I62" s="48" t="n">
        <v>7</v>
      </c>
      <c r="J62" s="48" t="n">
        <v>39600</v>
      </c>
      <c r="K62" s="47">
        <f t="array" ref="K62">_xlfn.XLOOKUP(1,(참조!$B$2:$B$15=E62)*(참조!$D$2:$D$15=C62)*(참조!$E$2:$E$15=D62),참조!$C$2:$C$15,"")</f>
        <v/>
      </c>
    </row>
    <row r="63" hidden="1" s="27">
      <c r="A63" s="47" t="inlineStr">
        <is>
          <t>더원모바일</t>
        </is>
      </c>
      <c r="B63" s="47" t="inlineStr">
        <is>
          <t>TOP 11GB 기본 (밀리의서재)</t>
        </is>
      </c>
      <c r="C63" s="47" t="inlineStr">
        <is>
          <t>무제한</t>
        </is>
      </c>
      <c r="D63" s="47" t="inlineStr">
        <is>
          <t>무제한</t>
        </is>
      </c>
      <c r="E63" s="47" t="inlineStr">
        <is>
          <t>월 11GB + 매일 2GB + 3Mbps</t>
        </is>
      </c>
      <c r="F63" s="47" t="inlineStr">
        <is>
          <t>KT</t>
        </is>
      </c>
      <c r="G63" s="47" t="inlineStr">
        <is>
          <t>LTE</t>
        </is>
      </c>
      <c r="H63" s="48" t="n">
        <v>16500</v>
      </c>
      <c r="I63" s="48" t="n">
        <v>12</v>
      </c>
      <c r="J63" s="48" t="n">
        <v>38500</v>
      </c>
      <c r="K63" s="47">
        <f t="array" ref="K63">_xlfn.XLOOKUP(1,(참조!$B$2:$B$15=E63)*(참조!$D$2:$D$15=C63)*(참조!$E$2:$E$15=D63),참조!$C$2:$C$15,"")</f>
        <v/>
      </c>
    </row>
    <row r="64" hidden="1" s="27">
      <c r="A64" s="47" t="inlineStr">
        <is>
          <t>LG헬로모바일</t>
        </is>
      </c>
      <c r="B64" s="47" t="inlineStr">
        <is>
          <t>DATA 걱정없는 유심 1GB</t>
        </is>
      </c>
      <c r="C64" s="47" t="inlineStr">
        <is>
          <t>무제한</t>
        </is>
      </c>
      <c r="D64" s="47" t="inlineStr">
        <is>
          <t>무제한</t>
        </is>
      </c>
      <c r="E64" s="47" t="inlineStr">
        <is>
          <t>월 1GB + 1Mbps</t>
        </is>
      </c>
      <c r="F64" s="47" t="inlineStr">
        <is>
          <t>LG U+</t>
        </is>
      </c>
      <c r="G64" s="47" t="inlineStr">
        <is>
          <t>LTE</t>
        </is>
      </c>
      <c r="H64" s="48" t="n">
        <v>2500</v>
      </c>
      <c r="I64" s="48" t="n">
        <v>6</v>
      </c>
      <c r="J64" s="48" t="n">
        <v>7500</v>
      </c>
      <c r="K64" s="47">
        <f t="array" ref="K64">_xlfn.XLOOKUP(1,(참조!$B$2:$B$15=E64)*(참조!$D$2:$D$15=C64)*(참조!$E$2:$E$15=D64),참조!$C$2:$C$15,"")</f>
        <v/>
      </c>
    </row>
    <row r="65" hidden="1" s="27">
      <c r="A65" s="47" t="inlineStr">
        <is>
          <t>KT엠모바일</t>
        </is>
      </c>
      <c r="B65" s="47" t="inlineStr">
        <is>
          <t>통화 맘껏 15GB</t>
        </is>
      </c>
      <c r="C65" s="47" t="inlineStr">
        <is>
          <t>무제한</t>
        </is>
      </c>
      <c r="D65" s="47" t="inlineStr">
        <is>
          <t>무제한</t>
        </is>
      </c>
      <c r="E65" s="47" t="inlineStr">
        <is>
          <t>월 15GB</t>
        </is>
      </c>
      <c r="F65" s="47" t="inlineStr">
        <is>
          <t>KT</t>
        </is>
      </c>
      <c r="G65" s="47" t="inlineStr">
        <is>
          <t>LTE</t>
        </is>
      </c>
      <c r="H65" s="48" t="n">
        <v>12400</v>
      </c>
      <c r="I65" s="48" t="n"/>
      <c r="J65" s="48" t="n"/>
      <c r="K65" s="47">
        <f t="array" ref="K65">_xlfn.XLOOKUP(1,(참조!$B$2:$B$15=E65)*(참조!$D$2:$D$15=C65)*(참조!$E$2:$E$15=D65),참조!$C$2:$C$15,"")</f>
        <v/>
      </c>
    </row>
    <row r="66" hidden="1" s="27">
      <c r="A66" s="47" t="inlineStr">
        <is>
          <t>마블링</t>
        </is>
      </c>
      <c r="B66" s="47" t="inlineStr">
        <is>
          <t>[모요only] 마블링 프라임 11GB+매일2GB+3Mbps</t>
        </is>
      </c>
      <c r="C66" s="47" t="inlineStr">
        <is>
          <t>무제한</t>
        </is>
      </c>
      <c r="D66" s="47" t="inlineStr">
        <is>
          <t>무제한</t>
        </is>
      </c>
      <c r="E66" s="47" t="inlineStr">
        <is>
          <t>월 11GB + 매일 2GB + 3Mbps</t>
        </is>
      </c>
      <c r="F66" s="47" t="inlineStr">
        <is>
          <t>LG U+</t>
        </is>
      </c>
      <c r="G66" s="47" t="inlineStr">
        <is>
          <t>LTE</t>
        </is>
      </c>
      <c r="H66" s="48" t="n">
        <v>4500</v>
      </c>
      <c r="I66" s="48" t="n">
        <v>7</v>
      </c>
      <c r="J66" s="48" t="n">
        <v>38900</v>
      </c>
      <c r="K66" s="47">
        <f t="array" ref="K66">_xlfn.XLOOKUP(1,(참조!$B$2:$B$15=E66)*(참조!$D$2:$D$15=C66)*(참조!$E$2:$E$15=D66),참조!$C$2:$C$15,"")</f>
        <v/>
      </c>
    </row>
    <row r="67" hidden="1" s="27">
      <c r="A67" s="47" t="inlineStr">
        <is>
          <t>이지모바일</t>
        </is>
      </c>
      <c r="B67" s="47" t="inlineStr">
        <is>
          <t>EG 무제한 100GB+5M(밀리의 서재)</t>
        </is>
      </c>
      <c r="C67" s="47" t="inlineStr">
        <is>
          <t>무제한</t>
        </is>
      </c>
      <c r="D67" s="47" t="inlineStr">
        <is>
          <t>무제한</t>
        </is>
      </c>
      <c r="E67" s="47" t="inlineStr">
        <is>
          <t>월 100GB + 5Mbps</t>
        </is>
      </c>
      <c r="F67" s="47" t="inlineStr">
        <is>
          <t>KT</t>
        </is>
      </c>
      <c r="G67" s="47" t="inlineStr">
        <is>
          <t>LTE</t>
        </is>
      </c>
      <c r="H67" s="48" t="n">
        <v>6900</v>
      </c>
      <c r="I67" s="48" t="n">
        <v>6</v>
      </c>
      <c r="J67" s="48" t="n">
        <v>44000</v>
      </c>
      <c r="K67" s="47">
        <f t="array" ref="K67">_xlfn.XLOOKUP(1,(참조!$B$2:$B$15=E67)*(참조!$D$2:$D$15=C67)*(참조!$E$2:$E$15=D67),참조!$C$2:$C$15,"")</f>
        <v/>
      </c>
    </row>
    <row r="68" hidden="1" s="27">
      <c r="A68" s="47" t="inlineStr">
        <is>
          <t>LG헬로모바일</t>
        </is>
      </c>
      <c r="B68" s="47" t="inlineStr">
        <is>
          <t>The 착한 데이터 유심 9GB 3000분</t>
        </is>
      </c>
      <c r="C68" s="47" t="inlineStr">
        <is>
          <t>3,000분</t>
        </is>
      </c>
      <c r="D68" s="47" t="inlineStr">
        <is>
          <t>1,000건</t>
        </is>
      </c>
      <c r="E68" s="47" t="inlineStr">
        <is>
          <t>월 9GB</t>
        </is>
      </c>
      <c r="F68" s="47" t="inlineStr">
        <is>
          <t>LG U+</t>
        </is>
      </c>
      <c r="G68" s="47" t="inlineStr">
        <is>
          <t>LTE</t>
        </is>
      </c>
      <c r="H68" s="48" t="n">
        <v>5900</v>
      </c>
      <c r="I68" s="48" t="n">
        <v>7</v>
      </c>
      <c r="J68" s="48" t="n">
        <v>16900</v>
      </c>
      <c r="K68" s="47">
        <f t="array" ref="K68">_xlfn.XLOOKUP(1,(참조!$B$2:$B$15=E68)*(참조!$D$2:$D$15=C68)*(참조!$E$2:$E$15=D68),참조!$C$2:$C$15,"")</f>
        <v/>
      </c>
    </row>
    <row r="69" hidden="1" s="27">
      <c r="A69" s="47" t="inlineStr">
        <is>
          <t>모나</t>
        </is>
      </c>
      <c r="B69" s="47" t="inlineStr">
        <is>
          <t>5G_모나알뜰150G안심5</t>
        </is>
      </c>
      <c r="C69" s="47" t="inlineStr">
        <is>
          <t>무제한</t>
        </is>
      </c>
      <c r="D69" s="47" t="inlineStr">
        <is>
          <t>무제한</t>
        </is>
      </c>
      <c r="E69" s="47" t="inlineStr">
        <is>
          <t>월 150GB + 5Mbps</t>
        </is>
      </c>
      <c r="F69" s="47" t="inlineStr">
        <is>
          <t>LG U+</t>
        </is>
      </c>
      <c r="G69" s="47" t="inlineStr">
        <is>
          <t>5G</t>
        </is>
      </c>
      <c r="H69" s="48" t="n">
        <v>27300</v>
      </c>
      <c r="I69" s="48" t="n">
        <v>24</v>
      </c>
      <c r="J69" s="48" t="n">
        <v>57700</v>
      </c>
      <c r="K69" s="47">
        <f t="array" ref="K69">_xlfn.XLOOKUP(1,(참조!$B$2:$B$15=E69)*(참조!$D$2:$D$15=C69)*(참조!$E$2:$E$15=D69),참조!$C$2:$C$15,"")</f>
        <v/>
      </c>
    </row>
    <row r="70" hidden="1" s="27">
      <c r="A70" s="47" t="inlineStr">
        <is>
          <t>U+유모바일</t>
        </is>
      </c>
      <c r="B70" s="47" t="inlineStr">
        <is>
          <t>데이터 플러스 10GB(평생 +10GB 추가 제공 프로모션)</t>
        </is>
      </c>
      <c r="C70" s="47" t="inlineStr">
        <is>
          <t>무제한</t>
        </is>
      </c>
      <c r="D70" s="47" t="inlineStr">
        <is>
          <t>무제한</t>
        </is>
      </c>
      <c r="E70" s="47" t="inlineStr">
        <is>
          <t>월 20GB + 1Mbps</t>
        </is>
      </c>
      <c r="F70" s="47" t="inlineStr">
        <is>
          <t>LG U+</t>
        </is>
      </c>
      <c r="G70" s="47" t="inlineStr">
        <is>
          <t>LTE</t>
        </is>
      </c>
      <c r="H70" s="48" t="n">
        <v>19900</v>
      </c>
      <c r="I70" s="48" t="n"/>
      <c r="J70" s="48" t="n"/>
      <c r="K70" s="47">
        <f t="array" ref="K70">_xlfn.XLOOKUP(1,(참조!$B$2:$B$15=E70)*(참조!$D$2:$D$15=C70)*(참조!$E$2:$E$15=D70),참조!$C$2:$C$15,"")</f>
        <v/>
      </c>
    </row>
    <row r="71" hidden="1" s="27">
      <c r="A71" s="47" t="inlineStr">
        <is>
          <t>KG모바일</t>
        </is>
      </c>
      <c r="B71" s="47" t="inlineStr">
        <is>
          <t>[평생할인] 통화, 데이터 마음대로 11GB+</t>
        </is>
      </c>
      <c r="C71" s="47" t="inlineStr">
        <is>
          <t>무제한</t>
        </is>
      </c>
      <c r="D71" s="47" t="inlineStr">
        <is>
          <t>무제한</t>
        </is>
      </c>
      <c r="E71" s="47" t="inlineStr">
        <is>
          <t>월 11GB + 매일 2GB + 3Mbps</t>
        </is>
      </c>
      <c r="F71" s="47" t="inlineStr">
        <is>
          <t>LG U+</t>
        </is>
      </c>
      <c r="G71" s="47" t="inlineStr">
        <is>
          <t>LTE</t>
        </is>
      </c>
      <c r="H71" s="48" t="n">
        <v>28900</v>
      </c>
      <c r="I71" s="48" t="n"/>
      <c r="J71" s="48" t="n"/>
      <c r="K71" s="47">
        <f t="array" ref="K71">_xlfn.XLOOKUP(1,(참조!$B$2:$B$15=E71)*(참조!$D$2:$D$15=C71)*(참조!$E$2:$E$15=D71),참조!$C$2:$C$15,"")</f>
        <v/>
      </c>
    </row>
    <row r="72" hidden="1" s="27">
      <c r="A72" s="47" t="inlineStr">
        <is>
          <t>인스모바일</t>
        </is>
      </c>
      <c r="B72" s="47" t="inlineStr">
        <is>
          <t>인스 유심 스피드(5G) 125GB+</t>
        </is>
      </c>
      <c r="C72" s="47" t="inlineStr">
        <is>
          <t>무제한</t>
        </is>
      </c>
      <c r="D72" s="47" t="inlineStr">
        <is>
          <t>무제한</t>
        </is>
      </c>
      <c r="E72" s="47" t="inlineStr">
        <is>
          <t>월 125GB + 5Mbps</t>
        </is>
      </c>
      <c r="F72" s="47" t="inlineStr">
        <is>
          <t>LG U+</t>
        </is>
      </c>
      <c r="G72" s="47" t="inlineStr">
        <is>
          <t>5G</t>
        </is>
      </c>
      <c r="H72" s="48" t="n">
        <v>4400</v>
      </c>
      <c r="I72" s="48" t="n">
        <v>7</v>
      </c>
      <c r="J72" s="48" t="n">
        <v>57090</v>
      </c>
      <c r="K72" s="47">
        <f t="array" ref="K72">_xlfn.XLOOKUP(1,(참조!$B$2:$B$15=E72)*(참조!$D$2:$D$15=C72)*(참조!$E$2:$E$15=D72),참조!$C$2:$C$15,"")</f>
        <v/>
      </c>
    </row>
    <row r="73" hidden="1" s="27">
      <c r="A73" s="47" t="inlineStr">
        <is>
          <t>쉐이크모바일</t>
        </is>
      </c>
      <c r="B73" s="47" t="inlineStr">
        <is>
          <t>[모요only] 쉐이크 LTE 15GB+_네이버페이 매 월 5,000원</t>
        </is>
      </c>
      <c r="C73" s="47" t="inlineStr">
        <is>
          <t>무제한</t>
        </is>
      </c>
      <c r="D73" s="47" t="inlineStr">
        <is>
          <t>무제한</t>
        </is>
      </c>
      <c r="E73" s="47" t="inlineStr">
        <is>
          <t>월 15GB + 1Mbps</t>
        </is>
      </c>
      <c r="F73" s="47" t="inlineStr">
        <is>
          <t>KT</t>
        </is>
      </c>
      <c r="G73" s="47" t="inlineStr">
        <is>
          <t>LTE</t>
        </is>
      </c>
      <c r="H73" s="48" t="n">
        <v>4900</v>
      </c>
      <c r="I73" s="48" t="n">
        <v>7</v>
      </c>
      <c r="J73" s="48" t="n">
        <v>24700</v>
      </c>
      <c r="K73" s="47">
        <f t="array" ref="K73">_xlfn.XLOOKUP(1,(참조!$B$2:$B$15=E73)*(참조!$D$2:$D$15=C73)*(참조!$E$2:$E$15=D73),참조!$C$2:$C$15,"")</f>
        <v/>
      </c>
    </row>
    <row r="74" hidden="1" s="27">
      <c r="A74" s="47" t="inlineStr">
        <is>
          <t>LG헬로모바일</t>
        </is>
      </c>
      <c r="B74" s="47" t="inlineStr">
        <is>
          <t>5G 스탠다드 유심 150GB</t>
        </is>
      </c>
      <c r="C74" s="47" t="inlineStr">
        <is>
          <t>무제한</t>
        </is>
      </c>
      <c r="D74" s="47" t="inlineStr">
        <is>
          <t>무제한</t>
        </is>
      </c>
      <c r="E74" s="47" t="inlineStr">
        <is>
          <t>월 150GB + 5Mbps</t>
        </is>
      </c>
      <c r="F74" s="47" t="inlineStr">
        <is>
          <t>LG U+</t>
        </is>
      </c>
      <c r="G74" s="47" t="inlineStr">
        <is>
          <t>5G</t>
        </is>
      </c>
      <c r="H74" s="48" t="n">
        <v>29900</v>
      </c>
      <c r="I74" s="48" t="n">
        <v>7</v>
      </c>
      <c r="J74" s="48" t="n">
        <v>49900</v>
      </c>
      <c r="K74" s="47">
        <f t="array" ref="K74">_xlfn.XLOOKUP(1,(참조!$B$2:$B$15=E74)*(참조!$D$2:$D$15=C74)*(참조!$E$2:$E$15=D74),참조!$C$2:$C$15,"")</f>
        <v/>
      </c>
    </row>
    <row r="75" hidden="1" s="27">
      <c r="A75" s="47" t="inlineStr">
        <is>
          <t>더원모바일</t>
        </is>
      </c>
      <c r="B75" s="47" t="inlineStr">
        <is>
          <t>TOP 100GB 기본 (밀리의서재)</t>
        </is>
      </c>
      <c r="C75" s="47" t="inlineStr">
        <is>
          <t>무제한</t>
        </is>
      </c>
      <c r="D75" s="47" t="inlineStr">
        <is>
          <t>무제한</t>
        </is>
      </c>
      <c r="E75" s="47" t="inlineStr">
        <is>
          <t>월 100GB + 5Mbps</t>
        </is>
      </c>
      <c r="F75" s="47" t="inlineStr">
        <is>
          <t>KT</t>
        </is>
      </c>
      <c r="G75" s="47" t="inlineStr">
        <is>
          <t>LTE</t>
        </is>
      </c>
      <c r="H75" s="48" t="n">
        <v>20900</v>
      </c>
      <c r="I75" s="48" t="n">
        <v>12</v>
      </c>
      <c r="J75" s="48" t="n">
        <v>46200</v>
      </c>
      <c r="K75" s="47">
        <f t="array" ref="K75">_xlfn.XLOOKUP(1,(참조!$B$2:$B$15=E75)*(참조!$D$2:$D$15=C75)*(참조!$E$2:$E$15=D75),참조!$C$2:$C$15,"")</f>
        <v/>
      </c>
    </row>
    <row r="76" hidden="1" s="27">
      <c r="A76" s="47" t="inlineStr">
        <is>
          <t>U+유모바일</t>
        </is>
      </c>
      <c r="B76" s="47" t="inlineStr">
        <is>
          <t>데이터차단 (0GB/통화기본)</t>
        </is>
      </c>
      <c r="C76" s="47" t="inlineStr">
        <is>
          <t>무제한</t>
        </is>
      </c>
      <c r="D76" s="47" t="inlineStr">
        <is>
          <t>무제한</t>
        </is>
      </c>
      <c r="E76" s="47" t="inlineStr">
        <is>
          <t>데이터 제공안함</t>
        </is>
      </c>
      <c r="F76" s="47" t="inlineStr">
        <is>
          <t>LG U+</t>
        </is>
      </c>
      <c r="G76" s="47" t="inlineStr">
        <is>
          <t>LTE</t>
        </is>
      </c>
      <c r="H76" s="48" t="n">
        <v>4900</v>
      </c>
      <c r="I76" s="48" t="n"/>
      <c r="J76" s="48" t="n"/>
      <c r="K76" s="47">
        <f t="array" ref="K76">_xlfn.XLOOKUP(1,(참조!$B$2:$B$15=E76)*(참조!$D$2:$D$15=C76)*(참조!$E$2:$E$15=D76),참조!$C$2:$C$15,"")</f>
        <v/>
      </c>
    </row>
    <row r="77" hidden="1" s="27">
      <c r="A77" s="47" t="inlineStr">
        <is>
          <t>더원모바일</t>
        </is>
      </c>
      <c r="B77" s="47" t="inlineStr">
        <is>
          <t>TOP 11GB 기본 (CU할인)</t>
        </is>
      </c>
      <c r="C77" s="47" t="inlineStr">
        <is>
          <t>무제한</t>
        </is>
      </c>
      <c r="D77" s="47" t="inlineStr">
        <is>
          <t>무제한</t>
        </is>
      </c>
      <c r="E77" s="47" t="inlineStr">
        <is>
          <t>월 11GB + 매일 2GB + 3Mbps</t>
        </is>
      </c>
      <c r="F77" s="47" t="inlineStr">
        <is>
          <t>KT</t>
        </is>
      </c>
      <c r="G77" s="47" t="inlineStr">
        <is>
          <t>LTE</t>
        </is>
      </c>
      <c r="H77" s="48" t="n">
        <v>16500</v>
      </c>
      <c r="I77" s="48" t="n">
        <v>12</v>
      </c>
      <c r="J77" s="48" t="n">
        <v>38500</v>
      </c>
      <c r="K77" s="47">
        <f t="array" ref="K77">_xlfn.XLOOKUP(1,(참조!$B$2:$B$15=E77)*(참조!$D$2:$D$15=C77)*(참조!$E$2:$E$15=D77),참조!$C$2:$C$15,"")</f>
        <v/>
      </c>
    </row>
    <row r="78" hidden="1" s="27">
      <c r="A78" s="47" t="inlineStr">
        <is>
          <t>KT엠모바일</t>
        </is>
      </c>
      <c r="B78" s="47" t="inlineStr">
        <is>
          <t>통화 맘껏 20GB</t>
        </is>
      </c>
      <c r="C78" s="47" t="inlineStr">
        <is>
          <t>무제한</t>
        </is>
      </c>
      <c r="D78" s="47" t="inlineStr">
        <is>
          <t>무제한</t>
        </is>
      </c>
      <c r="E78" s="47" t="inlineStr">
        <is>
          <t>월 20GB</t>
        </is>
      </c>
      <c r="F78" s="47" t="inlineStr">
        <is>
          <t>KT</t>
        </is>
      </c>
      <c r="G78" s="47" t="inlineStr">
        <is>
          <t>LTE</t>
        </is>
      </c>
      <c r="H78" s="48" t="n">
        <v>14400</v>
      </c>
      <c r="I78" s="48" t="n"/>
      <c r="J78" s="48" t="n"/>
      <c r="K78" s="47">
        <f t="array" ref="K78">_xlfn.XLOOKUP(1,(참조!$B$2:$B$15=E78)*(참조!$D$2:$D$15=C78)*(참조!$E$2:$E$15=D78),참조!$C$2:$C$15,"")</f>
        <v/>
      </c>
    </row>
    <row r="79" hidden="1" s="27">
      <c r="A79" s="47" t="inlineStr">
        <is>
          <t>KT엠모바일</t>
        </is>
      </c>
      <c r="B79" s="47" t="inlineStr">
        <is>
          <t>5G 데이터 충분 15GB/200분</t>
        </is>
      </c>
      <c r="C79" s="47" t="inlineStr">
        <is>
          <t>200분</t>
        </is>
      </c>
      <c r="D79" s="47" t="inlineStr">
        <is>
          <t>100건</t>
        </is>
      </c>
      <c r="E79" s="47" t="inlineStr">
        <is>
          <t>월 15GB</t>
        </is>
      </c>
      <c r="F79" s="47" t="inlineStr">
        <is>
          <t>KT</t>
        </is>
      </c>
      <c r="G79" s="47" t="inlineStr">
        <is>
          <t>5G</t>
        </is>
      </c>
      <c r="H79" s="48" t="n">
        <v>12400</v>
      </c>
      <c r="I79" s="48" t="n"/>
      <c r="J79" s="48" t="n"/>
      <c r="K79" s="47">
        <f t="array" ref="K79">_xlfn.XLOOKUP(1,(참조!$B$2:$B$15=E79)*(참조!$D$2:$D$15=C79)*(참조!$E$2:$E$15=D79),참조!$C$2:$C$15,"")</f>
        <v/>
      </c>
    </row>
    <row r="80" hidden="1" s="27">
      <c r="A80" s="47" t="inlineStr">
        <is>
          <t>더원모바일</t>
        </is>
      </c>
      <c r="B80" s="47" t="inlineStr">
        <is>
          <t>TOP 11GB 기본 (네이버페이)</t>
        </is>
      </c>
      <c r="C80" s="47" t="inlineStr">
        <is>
          <t>무제한</t>
        </is>
      </c>
      <c r="D80" s="47" t="inlineStr">
        <is>
          <t>무제한</t>
        </is>
      </c>
      <c r="E80" s="47" t="inlineStr">
        <is>
          <t>월 11GB + 매일 2GB + 3Mbps</t>
        </is>
      </c>
      <c r="F80" s="47" t="inlineStr">
        <is>
          <t>KT</t>
        </is>
      </c>
      <c r="G80" s="47" t="inlineStr">
        <is>
          <t>LTE</t>
        </is>
      </c>
      <c r="H80" s="48" t="n">
        <v>18700</v>
      </c>
      <c r="I80" s="48" t="n">
        <v>12</v>
      </c>
      <c r="J80" s="48" t="n">
        <v>40700</v>
      </c>
      <c r="K80" s="47">
        <f t="array" ref="K80">_xlfn.XLOOKUP(1,(참조!$B$2:$B$15=E80)*(참조!$D$2:$D$15=C80)*(참조!$E$2:$E$15=D80),참조!$C$2:$C$15,"")</f>
        <v/>
      </c>
    </row>
    <row r="81" hidden="1" s="27">
      <c r="A81" s="47" t="inlineStr">
        <is>
          <t>인스모바일</t>
        </is>
      </c>
      <c r="B81" s="47" t="inlineStr">
        <is>
          <t>인스 유심 스트롱 11GB+</t>
        </is>
      </c>
      <c r="C81" s="47" t="inlineStr">
        <is>
          <t>무제한</t>
        </is>
      </c>
      <c r="D81" s="47" t="inlineStr">
        <is>
          <t>무제한</t>
        </is>
      </c>
      <c r="E81" s="47" t="inlineStr">
        <is>
          <t>월 11GB + 매일 2GB + 3Mbps</t>
        </is>
      </c>
      <c r="F81" s="47" t="inlineStr">
        <is>
          <t>LG U+</t>
        </is>
      </c>
      <c r="G81" s="47" t="inlineStr">
        <is>
          <t>LTE</t>
        </is>
      </c>
      <c r="H81" s="48" t="n">
        <v>4490</v>
      </c>
      <c r="I81" s="48" t="n">
        <v>7</v>
      </c>
      <c r="J81" s="48" t="n">
        <v>39000</v>
      </c>
      <c r="K81" s="47">
        <f t="array" ref="K81">_xlfn.XLOOKUP(1,(참조!$B$2:$B$15=E81)*(참조!$D$2:$D$15=C81)*(참조!$E$2:$E$15=D81),참조!$C$2:$C$15,"")</f>
        <v/>
      </c>
    </row>
    <row r="82" hidden="1" s="27">
      <c r="A82" s="47" t="inlineStr">
        <is>
          <t>KG모바일</t>
        </is>
      </c>
      <c r="B82" s="47" t="inlineStr">
        <is>
          <t>[평생할인] 데이터 마음대로 (10GB+/300분)</t>
        </is>
      </c>
      <c r="C82" s="47" t="inlineStr">
        <is>
          <t>300분</t>
        </is>
      </c>
      <c r="D82" s="47" t="inlineStr">
        <is>
          <t>100건</t>
        </is>
      </c>
      <c r="E82" s="47" t="inlineStr">
        <is>
          <t>월 10GB + 1Mbps</t>
        </is>
      </c>
      <c r="F82" s="47" t="inlineStr">
        <is>
          <t>LG U+</t>
        </is>
      </c>
      <c r="G82" s="47" t="inlineStr">
        <is>
          <t>LTE</t>
        </is>
      </c>
      <c r="H82" s="48" t="n">
        <v>5900</v>
      </c>
      <c r="I82" s="48" t="n"/>
      <c r="J82" s="48" t="n"/>
      <c r="K82" s="47">
        <f t="array" ref="K82">_xlfn.XLOOKUP(1,(참조!$B$2:$B$15=E82)*(참조!$D$2:$D$15=C82)*(참조!$E$2:$E$15=D82),참조!$C$2:$C$15,"")</f>
        <v/>
      </c>
    </row>
    <row r="83" hidden="1" s="27">
      <c r="A83" s="47" t="inlineStr">
        <is>
          <t>모나</t>
        </is>
      </c>
      <c r="B83" s="47" t="inlineStr">
        <is>
          <t>모나210분4.5G</t>
        </is>
      </c>
      <c r="C83" s="47" t="inlineStr">
        <is>
          <t>210분</t>
        </is>
      </c>
      <c r="D83" s="47" t="inlineStr">
        <is>
          <t>100건</t>
        </is>
      </c>
      <c r="E83" s="47" t="inlineStr">
        <is>
          <t>월 4.5GB</t>
        </is>
      </c>
      <c r="F83" s="47" t="inlineStr">
        <is>
          <t>LG U+</t>
        </is>
      </c>
      <c r="G83" s="47" t="inlineStr">
        <is>
          <t>LTE</t>
        </is>
      </c>
      <c r="H83" s="48" t="n">
        <v>10</v>
      </c>
      <c r="I83" s="48" t="n">
        <v>18</v>
      </c>
      <c r="J83" s="48" t="n">
        <v>20900</v>
      </c>
      <c r="K83" s="47">
        <f t="array" ref="K83">_xlfn.XLOOKUP(1,(참조!$B$2:$B$15=E83)*(참조!$D$2:$D$15=C83)*(참조!$E$2:$E$15=D83),참조!$C$2:$C$15,"")</f>
        <v/>
      </c>
    </row>
    <row r="84" hidden="1" s="27">
      <c r="A84" s="47" t="inlineStr">
        <is>
          <t>KT엠모바일</t>
        </is>
      </c>
      <c r="B84" s="47" t="inlineStr">
        <is>
          <t>데이터 충분 15GB/100분</t>
        </is>
      </c>
      <c r="C84" s="47" t="inlineStr">
        <is>
          <t>100분</t>
        </is>
      </c>
      <c r="D84" s="47" t="inlineStr">
        <is>
          <t>100건</t>
        </is>
      </c>
      <c r="E84" s="47" t="inlineStr">
        <is>
          <t>월 15GB</t>
        </is>
      </c>
      <c r="F84" s="47" t="inlineStr">
        <is>
          <t>KT</t>
        </is>
      </c>
      <c r="G84" s="47" t="inlineStr">
        <is>
          <t>LTE</t>
        </is>
      </c>
      <c r="H84" s="48" t="n">
        <v>11400</v>
      </c>
      <c r="I84" s="48" t="n"/>
      <c r="J84" s="48" t="n"/>
      <c r="K84" s="47">
        <f t="array" ref="K84">_xlfn.XLOOKUP(1,(참조!$B$2:$B$15=E84)*(참조!$D$2:$D$15=C84)*(참조!$E$2:$E$15=D84),참조!$C$2:$C$15,"")</f>
        <v/>
      </c>
    </row>
    <row r="85" hidden="1" s="27">
      <c r="A85" s="47" t="inlineStr">
        <is>
          <t>찬스모바일</t>
        </is>
      </c>
      <c r="B85" s="47" t="inlineStr">
        <is>
          <t>음성기본 5GB+</t>
        </is>
      </c>
      <c r="C85" s="47" t="inlineStr">
        <is>
          <t>무제한</t>
        </is>
      </c>
      <c r="D85" s="47" t="inlineStr">
        <is>
          <t>무제한</t>
        </is>
      </c>
      <c r="E85" s="47" t="inlineStr">
        <is>
          <t>월 5GB + 1Mbps</t>
        </is>
      </c>
      <c r="F85" s="47" t="inlineStr">
        <is>
          <t>LG U+</t>
        </is>
      </c>
      <c r="G85" s="47" t="inlineStr">
        <is>
          <t>LTE</t>
        </is>
      </c>
      <c r="H85" s="48" t="n">
        <v>10</v>
      </c>
      <c r="I85" s="48" t="n">
        <v>6</v>
      </c>
      <c r="J85" s="48" t="n">
        <v>16500</v>
      </c>
      <c r="K85" s="47">
        <f t="array" ref="K85">_xlfn.XLOOKUP(1,(참조!$B$2:$B$15=E85)*(참조!$D$2:$D$15=C85)*(참조!$E$2:$E$15=D85),참조!$C$2:$C$15,"")</f>
        <v/>
      </c>
    </row>
    <row r="86" hidden="1" s="27">
      <c r="A86" s="47" t="inlineStr">
        <is>
          <t>모나</t>
        </is>
      </c>
      <c r="B86" s="47" t="inlineStr">
        <is>
          <t>5G_모나알뜰95G안심3</t>
        </is>
      </c>
      <c r="C86" s="47" t="inlineStr">
        <is>
          <t>무제한</t>
        </is>
      </c>
      <c r="D86" s="47" t="inlineStr">
        <is>
          <t>무제한</t>
        </is>
      </c>
      <c r="E86" s="47" t="inlineStr">
        <is>
          <t>월 95GB + 3Mbps</t>
        </is>
      </c>
      <c r="F86" s="47" t="inlineStr">
        <is>
          <t>LG U+</t>
        </is>
      </c>
      <c r="G86" s="47" t="inlineStr">
        <is>
          <t>5G</t>
        </is>
      </c>
      <c r="H86" s="48" t="n">
        <v>26900</v>
      </c>
      <c r="I86" s="48" t="n">
        <v>24</v>
      </c>
      <c r="J86" s="48" t="n">
        <v>50000</v>
      </c>
      <c r="K86" s="47">
        <f t="array" ref="K86">_xlfn.XLOOKUP(1,(참조!$B$2:$B$15=E86)*(참조!$D$2:$D$15=C86)*(참조!$E$2:$E$15=D86),참조!$C$2:$C$15,"")</f>
        <v/>
      </c>
    </row>
    <row r="87" hidden="1" s="27">
      <c r="A87" s="47" t="inlineStr">
        <is>
          <t>모나</t>
        </is>
      </c>
      <c r="B87" s="47" t="inlineStr">
        <is>
          <t>5G_신한카드_기본150G안심5</t>
        </is>
      </c>
      <c r="C87" s="47" t="inlineStr">
        <is>
          <t>무제한</t>
        </is>
      </c>
      <c r="D87" s="47" t="inlineStr">
        <is>
          <t>무제한</t>
        </is>
      </c>
      <c r="E87" s="47" t="inlineStr">
        <is>
          <t>월 150GB + 5Mbps</t>
        </is>
      </c>
      <c r="F87" s="47" t="inlineStr">
        <is>
          <t>LG U+</t>
        </is>
      </c>
      <c r="G87" s="47" t="inlineStr">
        <is>
          <t>5G</t>
        </is>
      </c>
      <c r="H87" s="48" t="n">
        <v>30900</v>
      </c>
      <c r="I87" s="48" t="n"/>
      <c r="J87" s="48" t="n"/>
      <c r="K87" s="47">
        <f t="array" ref="K87">_xlfn.XLOOKUP(1,(참조!$B$2:$B$15=E87)*(참조!$D$2:$D$15=C87)*(참조!$E$2:$E$15=D87),참조!$C$2:$C$15,"")</f>
        <v/>
      </c>
    </row>
    <row r="88" hidden="1" s="27">
      <c r="A88" s="47" t="inlineStr">
        <is>
          <t>모나</t>
        </is>
      </c>
      <c r="B88" s="47" t="inlineStr">
        <is>
          <t>모나300분10G안심1</t>
        </is>
      </c>
      <c r="C88" s="47" t="inlineStr">
        <is>
          <t>300분</t>
        </is>
      </c>
      <c r="D88" s="47" t="inlineStr">
        <is>
          <t>200건</t>
        </is>
      </c>
      <c r="E88" s="47" t="inlineStr">
        <is>
          <t>월 10GB + 1Mbps</t>
        </is>
      </c>
      <c r="F88" s="47" t="inlineStr">
        <is>
          <t>LG U+</t>
        </is>
      </c>
      <c r="G88" s="47" t="inlineStr">
        <is>
          <t>LTE</t>
        </is>
      </c>
      <c r="H88" s="48" t="n">
        <v>10</v>
      </c>
      <c r="I88" s="48" t="n">
        <v>6</v>
      </c>
      <c r="J88" s="48" t="n">
        <v>38500</v>
      </c>
      <c r="K88" s="47">
        <f t="array" ref="K88">_xlfn.XLOOKUP(1,(참조!$B$2:$B$15=E88)*(참조!$D$2:$D$15=C88)*(참조!$E$2:$E$15=D88),참조!$C$2:$C$15,"")</f>
        <v/>
      </c>
    </row>
    <row r="89" hidden="1" s="27">
      <c r="A89" s="47" t="inlineStr">
        <is>
          <t>KT엠모바일</t>
        </is>
      </c>
      <c r="B89" s="47" t="inlineStr">
        <is>
          <t>데이터 충분 20GB/100분</t>
        </is>
      </c>
      <c r="C89" s="47" t="inlineStr">
        <is>
          <t>100분</t>
        </is>
      </c>
      <c r="D89" s="47" t="inlineStr">
        <is>
          <t>100건</t>
        </is>
      </c>
      <c r="E89" s="47" t="inlineStr">
        <is>
          <t>월 20GB</t>
        </is>
      </c>
      <c r="F89" s="47" t="inlineStr">
        <is>
          <t>KT</t>
        </is>
      </c>
      <c r="G89" s="47" t="inlineStr">
        <is>
          <t>LTE</t>
        </is>
      </c>
      <c r="H89" s="48" t="n">
        <v>13400</v>
      </c>
      <c r="I89" s="48" t="n"/>
      <c r="J89" s="48" t="n"/>
      <c r="K89" s="47">
        <f t="array" ref="K89">_xlfn.XLOOKUP(1,(참조!$B$2:$B$15=E89)*(참조!$D$2:$D$15=C89)*(참조!$E$2:$E$15=D89),참조!$C$2:$C$15,"")</f>
        <v/>
      </c>
    </row>
    <row r="90" hidden="1" s="27">
      <c r="A90" s="47" t="inlineStr">
        <is>
          <t>고고모바일</t>
        </is>
      </c>
      <c r="B90" s="47" t="inlineStr">
        <is>
          <t>[모요only] 5G 200분/15GB</t>
        </is>
      </c>
      <c r="C90" s="47" t="inlineStr">
        <is>
          <t>200분</t>
        </is>
      </c>
      <c r="D90" s="47" t="inlineStr">
        <is>
          <t>100건</t>
        </is>
      </c>
      <c r="E90" s="47" t="inlineStr">
        <is>
          <t>월 15GB</t>
        </is>
      </c>
      <c r="F90" s="47" t="inlineStr">
        <is>
          <t>KT</t>
        </is>
      </c>
      <c r="G90" s="47" t="inlineStr">
        <is>
          <t>5G</t>
        </is>
      </c>
      <c r="H90" s="48" t="n">
        <v>10</v>
      </c>
      <c r="I90" s="48" t="n">
        <v>7</v>
      </c>
      <c r="J90" s="48" t="n">
        <v>26400</v>
      </c>
      <c r="K90" s="47">
        <f t="array" ref="K90">_xlfn.XLOOKUP(1,(참조!$B$2:$B$15=E90)*(참조!$D$2:$D$15=C90)*(참조!$E$2:$E$15=D90),참조!$C$2:$C$15,"")</f>
        <v/>
      </c>
    </row>
    <row r="91" hidden="1" s="27">
      <c r="A91" s="47" t="inlineStr">
        <is>
          <t>티플러스</t>
        </is>
      </c>
      <c r="B91" s="47" t="inlineStr">
        <is>
          <t>5G 가성비플러스(15GB/350분)</t>
        </is>
      </c>
      <c r="C91" s="47" t="inlineStr">
        <is>
          <t>350분</t>
        </is>
      </c>
      <c r="D91" s="47" t="inlineStr">
        <is>
          <t>100건</t>
        </is>
      </c>
      <c r="E91" s="47" t="inlineStr">
        <is>
          <t>월 15GB</t>
        </is>
      </c>
      <c r="F91" s="47" t="inlineStr">
        <is>
          <t>KT</t>
        </is>
      </c>
      <c r="G91" s="47" t="inlineStr">
        <is>
          <t>5G</t>
        </is>
      </c>
      <c r="H91" s="48" t="n">
        <v>10</v>
      </c>
      <c r="I91" s="48" t="n">
        <v>7</v>
      </c>
      <c r="J91" s="48" t="n">
        <v>22000</v>
      </c>
      <c r="K91" s="47">
        <f t="array" ref="K91">_xlfn.XLOOKUP(1,(참조!$B$2:$B$15=E91)*(참조!$D$2:$D$15=C91)*(참조!$E$2:$E$15=D91),참조!$C$2:$C$15,"")</f>
        <v/>
      </c>
    </row>
    <row r="92" hidden="1" s="27">
      <c r="A92" s="47" t="inlineStr">
        <is>
          <t>U+유모바일</t>
        </is>
      </c>
      <c r="B92" s="47" t="inlineStr">
        <is>
          <t>[평생할인] 5G 10GB/통화기본</t>
        </is>
      </c>
      <c r="C92" s="47" t="inlineStr">
        <is>
          <t>무제한</t>
        </is>
      </c>
      <c r="D92" s="47" t="inlineStr">
        <is>
          <t>무제한</t>
        </is>
      </c>
      <c r="E92" s="47" t="inlineStr">
        <is>
          <t>월 10GB</t>
        </is>
      </c>
      <c r="F92" s="47" t="inlineStr">
        <is>
          <t>LG U+</t>
        </is>
      </c>
      <c r="G92" s="47" t="inlineStr">
        <is>
          <t>5G</t>
        </is>
      </c>
      <c r="H92" s="48" t="n">
        <v>12500</v>
      </c>
      <c r="I92" s="48" t="n"/>
      <c r="J92" s="48" t="n"/>
      <c r="K92" s="47">
        <f t="array" ref="K92">_xlfn.XLOOKUP(1,(참조!$B$2:$B$15=E92)*(참조!$D$2:$D$15=C92)*(참조!$E$2:$E$15=D92),참조!$C$2:$C$15,"")</f>
        <v/>
      </c>
    </row>
    <row r="93">
      <c r="A93" s="47" t="inlineStr">
        <is>
          <t>KG모바일</t>
        </is>
      </c>
      <c r="B93" s="47" t="inlineStr">
        <is>
          <t>[일반] 데이터 마음대로 (4.5GB+/100분)_12개월</t>
        </is>
      </c>
      <c r="C93" s="47" t="inlineStr">
        <is>
          <t>100분</t>
        </is>
      </c>
      <c r="D93" s="47" t="inlineStr">
        <is>
          <t>100건</t>
        </is>
      </c>
      <c r="E93" s="47" t="inlineStr">
        <is>
          <t>월 4.5GB + 1Mbps</t>
        </is>
      </c>
      <c r="F93" s="47" t="inlineStr">
        <is>
          <t>LG U+</t>
        </is>
      </c>
      <c r="G93" s="47" t="inlineStr">
        <is>
          <t>LTE</t>
        </is>
      </c>
      <c r="H93" s="48" t="n">
        <v>100</v>
      </c>
      <c r="I93" s="48" t="n">
        <v>12</v>
      </c>
      <c r="J93" s="48" t="n">
        <v>16800</v>
      </c>
      <c r="K93" s="47">
        <f t="array" ref="K93">_xlfn.XLOOKUP(1,(참조!$B$2:$B$15=E93)*(참조!$D$2:$D$15=C93)*(참조!$E$2:$E$15=D93),참조!$C$2:$C$15,"")</f>
        <v/>
      </c>
    </row>
    <row r="94" hidden="1" s="27">
      <c r="A94" s="47" t="inlineStr">
        <is>
          <t>더원모바일</t>
        </is>
      </c>
      <c r="B94" s="47" t="inlineStr">
        <is>
          <t>TOP 15GB 기본 (밀리의서재)</t>
        </is>
      </c>
      <c r="C94" s="47" t="inlineStr">
        <is>
          <t>무제한</t>
        </is>
      </c>
      <c r="D94" s="47" t="inlineStr">
        <is>
          <t>무제한</t>
        </is>
      </c>
      <c r="E94" s="47" t="inlineStr">
        <is>
          <t>월 15GB + 1Mbps</t>
        </is>
      </c>
      <c r="F94" s="47" t="inlineStr">
        <is>
          <t>KT</t>
        </is>
      </c>
      <c r="G94" s="47" t="inlineStr">
        <is>
          <t>LTE</t>
        </is>
      </c>
      <c r="H94" s="48" t="n">
        <v>11000</v>
      </c>
      <c r="I94" s="48" t="n">
        <v>12</v>
      </c>
      <c r="J94" s="48" t="n">
        <v>29700</v>
      </c>
      <c r="K94" s="47">
        <f t="array" ref="K94">_xlfn.XLOOKUP(1,(참조!$B$2:$B$15=E94)*(참조!$D$2:$D$15=C94)*(참조!$E$2:$E$15=D94),참조!$C$2:$C$15,"")</f>
        <v/>
      </c>
    </row>
    <row r="95" hidden="1" s="27">
      <c r="A95" s="47" t="inlineStr">
        <is>
          <t>이야기모바일</t>
        </is>
      </c>
      <c r="B95" s="47" t="inlineStr">
        <is>
          <t>[모요only] 모두이야기해 6GB+</t>
        </is>
      </c>
      <c r="C95" s="47" t="inlineStr">
        <is>
          <t>200분</t>
        </is>
      </c>
      <c r="D95" s="47" t="inlineStr">
        <is>
          <t>100건</t>
        </is>
      </c>
      <c r="E95" s="47" t="inlineStr">
        <is>
          <t>월 6GB + 1Mbps</t>
        </is>
      </c>
      <c r="F95" s="47" t="inlineStr">
        <is>
          <t>LG U+</t>
        </is>
      </c>
      <c r="G95" s="47" t="inlineStr">
        <is>
          <t>LTE</t>
        </is>
      </c>
      <c r="H95" s="48" t="n">
        <v>0</v>
      </c>
      <c r="I95" s="48" t="n">
        <v>6</v>
      </c>
      <c r="J95" s="48" t="n">
        <v>12100</v>
      </c>
      <c r="K95" s="47">
        <f t="array" ref="K95">_xlfn.XLOOKUP(1,(참조!$B$2:$B$15=E95)*(참조!$D$2:$D$15=C95)*(참조!$E$2:$E$15=D95),참조!$C$2:$C$15,"")</f>
        <v/>
      </c>
    </row>
    <row r="96" hidden="1" s="27">
      <c r="A96" s="47" t="inlineStr">
        <is>
          <t>더원모바일</t>
        </is>
      </c>
      <c r="B96" s="47" t="inlineStr">
        <is>
          <t>TOP 5G 110GB 기본 (밀리의서재)</t>
        </is>
      </c>
      <c r="C96" s="47" t="inlineStr">
        <is>
          <t>무제한</t>
        </is>
      </c>
      <c r="D96" s="47" t="inlineStr">
        <is>
          <t>무제한</t>
        </is>
      </c>
      <c r="E96" s="47" t="inlineStr">
        <is>
          <t>월 110GB + 5Mbps</t>
        </is>
      </c>
      <c r="F96" s="47" t="inlineStr">
        <is>
          <t>KT</t>
        </is>
      </c>
      <c r="G96" s="47" t="inlineStr">
        <is>
          <t>5G</t>
        </is>
      </c>
      <c r="H96" s="48" t="n">
        <v>24200</v>
      </c>
      <c r="I96" s="48" t="n">
        <v>12</v>
      </c>
      <c r="J96" s="48" t="n">
        <v>47300</v>
      </c>
      <c r="K96" s="47">
        <f t="array" ref="K96">_xlfn.XLOOKUP(1,(참조!$B$2:$B$15=E96)*(참조!$D$2:$D$15=C96)*(참조!$E$2:$E$15=D96),참조!$C$2:$C$15,"")</f>
        <v/>
      </c>
    </row>
    <row r="97" hidden="1" s="27">
      <c r="A97" s="47" t="inlineStr">
        <is>
          <t>U+유모바일</t>
        </is>
      </c>
      <c r="B97" s="47" t="inlineStr">
        <is>
          <t>[평생할인] 5G 2GB/통화기본</t>
        </is>
      </c>
      <c r="C97" s="47" t="inlineStr">
        <is>
          <t>무제한</t>
        </is>
      </c>
      <c r="D97" s="47" t="inlineStr">
        <is>
          <t>무제한</t>
        </is>
      </c>
      <c r="E97" s="47" t="inlineStr">
        <is>
          <t>월 2GB</t>
        </is>
      </c>
      <c r="F97" s="47" t="inlineStr">
        <is>
          <t>LG U+</t>
        </is>
      </c>
      <c r="G97" s="47" t="inlineStr">
        <is>
          <t>5G</t>
        </is>
      </c>
      <c r="H97" s="48" t="n">
        <v>6000</v>
      </c>
      <c r="I97" s="48" t="n"/>
      <c r="J97" s="48" t="n"/>
      <c r="K97" s="47">
        <f t="array" ref="K97">_xlfn.XLOOKUP(1,(참조!$B$2:$B$15=E97)*(참조!$D$2:$D$15=C97)*(참조!$E$2:$E$15=D97),참조!$C$2:$C$15,"")</f>
        <v/>
      </c>
    </row>
    <row r="98" hidden="1" s="27">
      <c r="A98" s="47" t="inlineStr">
        <is>
          <t>쉐이크모바일</t>
        </is>
      </c>
      <c r="B98" s="47" t="inlineStr">
        <is>
          <t>[모요only] 쉐이크only LTE 100GB+밀리의서재</t>
        </is>
      </c>
      <c r="C98" s="47" t="inlineStr">
        <is>
          <t>무제한</t>
        </is>
      </c>
      <c r="D98" s="47" t="inlineStr">
        <is>
          <t>무제한</t>
        </is>
      </c>
      <c r="E98" s="47" t="inlineStr">
        <is>
          <t>월 100GB + 5Mbps</t>
        </is>
      </c>
      <c r="F98" s="47" t="inlineStr">
        <is>
          <t>KT</t>
        </is>
      </c>
      <c r="G98" s="47" t="inlineStr">
        <is>
          <t>LTE</t>
        </is>
      </c>
      <c r="H98" s="48" t="n">
        <v>7900</v>
      </c>
      <c r="I98" s="48" t="n">
        <v>7</v>
      </c>
      <c r="J98" s="48" t="n">
        <v>45100</v>
      </c>
      <c r="K98" s="47">
        <f t="array" ref="K98">_xlfn.XLOOKUP(1,(참조!$B$2:$B$15=E98)*(참조!$D$2:$D$15=C98)*(참조!$E$2:$E$15=D98),참조!$C$2:$C$15,"")</f>
        <v/>
      </c>
    </row>
    <row r="99" hidden="1" s="27">
      <c r="A99" s="47" t="inlineStr">
        <is>
          <t>더원모바일</t>
        </is>
      </c>
      <c r="B99" s="47" t="inlineStr">
        <is>
          <t>TOP 100GB 기본 (CU할인)</t>
        </is>
      </c>
      <c r="C99" s="47" t="inlineStr">
        <is>
          <t>무제한</t>
        </is>
      </c>
      <c r="D99" s="47" t="inlineStr">
        <is>
          <t>무제한</t>
        </is>
      </c>
      <c r="E99" s="47" t="inlineStr">
        <is>
          <t>월 100GB + 5Mbps</t>
        </is>
      </c>
      <c r="F99" s="47" t="inlineStr">
        <is>
          <t>KT</t>
        </is>
      </c>
      <c r="G99" s="47" t="inlineStr">
        <is>
          <t>LTE</t>
        </is>
      </c>
      <c r="H99" s="48" t="n">
        <v>20900</v>
      </c>
      <c r="I99" s="48" t="n">
        <v>12</v>
      </c>
      <c r="J99" s="48" t="n">
        <v>46200</v>
      </c>
      <c r="K99" s="47">
        <f t="array" ref="K99">_xlfn.XLOOKUP(1,(참조!$B$2:$B$15=E99)*(참조!$D$2:$D$15=C99)*(참조!$E$2:$E$15=D99),참조!$C$2:$C$15,"")</f>
        <v/>
      </c>
    </row>
    <row r="100" hidden="1" s="27">
      <c r="A100" s="47" t="inlineStr">
        <is>
          <t>KT엠모바일</t>
        </is>
      </c>
      <c r="B100" s="47" t="inlineStr">
        <is>
          <t>모두다 맘껏 안심 20GB+</t>
        </is>
      </c>
      <c r="C100" s="47" t="inlineStr">
        <is>
          <t>무제한</t>
        </is>
      </c>
      <c r="D100" s="47" t="inlineStr">
        <is>
          <t>무제한</t>
        </is>
      </c>
      <c r="E100" s="47" t="inlineStr">
        <is>
          <t>월 20GB + 400Kbps</t>
        </is>
      </c>
      <c r="F100" s="47" t="inlineStr">
        <is>
          <t>KT</t>
        </is>
      </c>
      <c r="G100" s="47" t="inlineStr">
        <is>
          <t>LTE</t>
        </is>
      </c>
      <c r="H100" s="48" t="n">
        <v>16400</v>
      </c>
      <c r="I100" s="48" t="n"/>
      <c r="J100" s="48" t="n"/>
      <c r="K100" s="47">
        <f t="array" ref="K100">_xlfn.XLOOKUP(1,(참조!$B$2:$B$15=E100)*(참조!$D$2:$D$15=C100)*(참조!$E$2:$E$15=D100),참조!$C$2:$C$15,"")</f>
        <v/>
      </c>
    </row>
    <row r="101" hidden="1" s="27">
      <c r="A101" s="47" t="inlineStr">
        <is>
          <t>더원모바일</t>
        </is>
      </c>
      <c r="B101" s="47" t="inlineStr">
        <is>
          <t>TOP 5G 200GB 기본 (네이버페이)</t>
        </is>
      </c>
      <c r="C101" s="47" t="inlineStr">
        <is>
          <t>무제한</t>
        </is>
      </c>
      <c r="D101" s="47" t="inlineStr">
        <is>
          <t>무제한</t>
        </is>
      </c>
      <c r="E101" s="47" t="inlineStr">
        <is>
          <t>월 200GB + 10Mbps</t>
        </is>
      </c>
      <c r="F101" s="47" t="inlineStr">
        <is>
          <t>KT</t>
        </is>
      </c>
      <c r="G101" s="47" t="inlineStr">
        <is>
          <t>5G</t>
        </is>
      </c>
      <c r="H101" s="48" t="n">
        <v>19200</v>
      </c>
      <c r="I101" s="48" t="n">
        <v>7</v>
      </c>
      <c r="J101" s="48" t="n">
        <v>50000</v>
      </c>
      <c r="K101" s="47">
        <f t="array" ref="K101">_xlfn.XLOOKUP(1,(참조!$B$2:$B$15=E101)*(참조!$D$2:$D$15=C101)*(참조!$E$2:$E$15=D101),참조!$C$2:$C$15,"")</f>
        <v/>
      </c>
    </row>
    <row r="102" hidden="1" s="27">
      <c r="A102" s="47" t="inlineStr">
        <is>
          <t>이야기모바일</t>
        </is>
      </c>
      <c r="B102" s="47" t="inlineStr">
        <is>
          <t>이야기 폰케어 71GB+</t>
        </is>
      </c>
      <c r="C102" s="47" t="inlineStr">
        <is>
          <t>무제한</t>
        </is>
      </c>
      <c r="D102" s="47" t="inlineStr">
        <is>
          <t>무제한</t>
        </is>
      </c>
      <c r="E102" s="47" t="inlineStr">
        <is>
          <t>월 11GB + 매일 2GB + 3Mbps</t>
        </is>
      </c>
      <c r="F102" s="47" t="inlineStr">
        <is>
          <t>LG U+</t>
        </is>
      </c>
      <c r="G102" s="47" t="inlineStr">
        <is>
          <t>LTE</t>
        </is>
      </c>
      <c r="H102" s="48" t="n">
        <v>23000</v>
      </c>
      <c r="I102" s="48" t="n">
        <v>24</v>
      </c>
      <c r="J102" s="48" t="n">
        <v>39600</v>
      </c>
      <c r="K102" s="47">
        <f t="array" ref="K102">_xlfn.XLOOKUP(1,(참조!$B$2:$B$15=E102)*(참조!$D$2:$D$15=C102)*(참조!$E$2:$E$15=D102),참조!$C$2:$C$15,"")</f>
        <v/>
      </c>
    </row>
    <row r="103" hidden="1" s="27">
      <c r="A103" s="47" t="inlineStr">
        <is>
          <t>이지모바일</t>
        </is>
      </c>
      <c r="B103" s="47" t="inlineStr">
        <is>
          <t>이지 무제한 5GB+1</t>
        </is>
      </c>
      <c r="C103" s="47" t="inlineStr">
        <is>
          <t>무제한</t>
        </is>
      </c>
      <c r="D103" s="47" t="inlineStr">
        <is>
          <t>무제한</t>
        </is>
      </c>
      <c r="E103" s="47" t="inlineStr">
        <is>
          <t>월 5GB + 1Mbps</t>
        </is>
      </c>
      <c r="F103" s="47" t="inlineStr">
        <is>
          <t>LG U+</t>
        </is>
      </c>
      <c r="G103" s="47" t="inlineStr">
        <is>
          <t>LTE</t>
        </is>
      </c>
      <c r="H103" s="48" t="n">
        <v>10</v>
      </c>
      <c r="I103" s="48" t="n">
        <v>6</v>
      </c>
      <c r="J103" s="48" t="n">
        <v>17600</v>
      </c>
      <c r="K103" s="47">
        <f t="array" ref="K103">_xlfn.XLOOKUP(1,(참조!$B$2:$B$15=E103)*(참조!$D$2:$D$15=C103)*(참조!$E$2:$E$15=D103),참조!$C$2:$C$15,"")</f>
        <v/>
      </c>
    </row>
    <row r="104" hidden="1" s="27">
      <c r="A104" s="47" t="inlineStr">
        <is>
          <t>더원모바일</t>
        </is>
      </c>
      <c r="B104" s="47" t="inlineStr">
        <is>
          <t>TOP 15GB 100분 (밀리의서재)</t>
        </is>
      </c>
      <c r="C104" s="47" t="inlineStr">
        <is>
          <t>100분</t>
        </is>
      </c>
      <c r="D104" s="47" t="inlineStr">
        <is>
          <t>100건</t>
        </is>
      </c>
      <c r="E104" s="47" t="inlineStr">
        <is>
          <t>월 15GB + 3Mbps</t>
        </is>
      </c>
      <c r="F104" s="47" t="inlineStr">
        <is>
          <t>KT</t>
        </is>
      </c>
      <c r="G104" s="47" t="inlineStr">
        <is>
          <t>LTE</t>
        </is>
      </c>
      <c r="H104" s="48" t="n">
        <v>12100</v>
      </c>
      <c r="I104" s="48" t="n">
        <v>12</v>
      </c>
      <c r="J104" s="48" t="n">
        <v>33000</v>
      </c>
      <c r="K104" s="47">
        <f t="array" ref="K104">_xlfn.XLOOKUP(1,(참조!$B$2:$B$15=E104)*(참조!$D$2:$D$15=C104)*(참조!$E$2:$E$15=D104),참조!$C$2:$C$15,"")</f>
        <v/>
      </c>
    </row>
    <row r="105" hidden="1" s="27">
      <c r="A105" s="47" t="inlineStr">
        <is>
          <t>모나</t>
        </is>
      </c>
      <c r="B105" s="47" t="inlineStr">
        <is>
          <t>5G_모나300분15G</t>
        </is>
      </c>
      <c r="C105" s="47" t="inlineStr">
        <is>
          <t>300분</t>
        </is>
      </c>
      <c r="D105" s="47" t="inlineStr">
        <is>
          <t>300건</t>
        </is>
      </c>
      <c r="E105" s="47" t="inlineStr">
        <is>
          <t>월 15GB</t>
        </is>
      </c>
      <c r="F105" s="47" t="inlineStr">
        <is>
          <t>LG U+</t>
        </is>
      </c>
      <c r="G105" s="47" t="inlineStr">
        <is>
          <t>5G</t>
        </is>
      </c>
      <c r="H105" s="48" t="n">
        <v>10</v>
      </c>
      <c r="I105" s="48" t="n">
        <v>6</v>
      </c>
      <c r="J105" s="48" t="n">
        <v>36300</v>
      </c>
      <c r="K105" s="47">
        <f t="array" ref="K105">_xlfn.XLOOKUP(1,(참조!$B$2:$B$15=E105)*(참조!$D$2:$D$15=C105)*(참조!$E$2:$E$15=D105),참조!$C$2:$C$15,"")</f>
        <v/>
      </c>
    </row>
    <row r="106" hidden="1" s="27">
      <c r="A106" s="47" t="inlineStr">
        <is>
          <t>찬스모바일</t>
        </is>
      </c>
      <c r="B106" s="47" t="inlineStr">
        <is>
          <t>5G 음성기본 125GB+5Mbps</t>
        </is>
      </c>
      <c r="C106" s="47" t="inlineStr">
        <is>
          <t>무제한</t>
        </is>
      </c>
      <c r="D106" s="47" t="inlineStr">
        <is>
          <t>무제한</t>
        </is>
      </c>
      <c r="E106" s="47" t="inlineStr">
        <is>
          <t>월 125GB + 5Mbps</t>
        </is>
      </c>
      <c r="F106" s="47" t="inlineStr">
        <is>
          <t>LG U+</t>
        </is>
      </c>
      <c r="G106" s="47" t="inlineStr">
        <is>
          <t>5G</t>
        </is>
      </c>
      <c r="H106" s="48" t="n">
        <v>7800</v>
      </c>
      <c r="I106" s="48" t="n">
        <v>7</v>
      </c>
      <c r="J106" s="48" t="n">
        <v>50600</v>
      </c>
      <c r="K106" s="47">
        <f t="array" ref="K106">_xlfn.XLOOKUP(1,(참조!$B$2:$B$15=E106)*(참조!$D$2:$D$15=C106)*(참조!$E$2:$E$15=D106),참조!$C$2:$C$15,"")</f>
        <v/>
      </c>
    </row>
    <row r="107" hidden="1" s="27">
      <c r="A107" s="47" t="inlineStr">
        <is>
          <t>쉐이크모바일</t>
        </is>
      </c>
      <c r="B107" s="47" t="inlineStr">
        <is>
          <t>[모요only] 쉐이크 5G 110GB+_밀리의서재</t>
        </is>
      </c>
      <c r="C107" s="47" t="inlineStr">
        <is>
          <t>무제한</t>
        </is>
      </c>
      <c r="D107" s="47" t="inlineStr">
        <is>
          <t>무제한</t>
        </is>
      </c>
      <c r="E107" s="47" t="inlineStr">
        <is>
          <t>월 110GB + 5Mbps</t>
        </is>
      </c>
      <c r="F107" s="47" t="inlineStr">
        <is>
          <t>KT</t>
        </is>
      </c>
      <c r="G107" s="47" t="inlineStr">
        <is>
          <t>5G</t>
        </is>
      </c>
      <c r="H107" s="48" t="n">
        <v>4900</v>
      </c>
      <c r="I107" s="48" t="n">
        <v>6</v>
      </c>
      <c r="J107" s="48" t="n">
        <v>48400</v>
      </c>
      <c r="K107" s="47">
        <f t="array" ref="K107">_xlfn.XLOOKUP(1,(참조!$B$2:$B$15=E107)*(참조!$D$2:$D$15=C107)*(참조!$E$2:$E$15=D107),참조!$C$2:$C$15,"")</f>
        <v/>
      </c>
    </row>
    <row r="108" hidden="1" s="27">
      <c r="A108" s="47" t="inlineStr">
        <is>
          <t>찬스모바일</t>
        </is>
      </c>
      <c r="B108" s="47" t="inlineStr">
        <is>
          <t>알찬5G 실속8G</t>
        </is>
      </c>
      <c r="C108" s="47" t="inlineStr">
        <is>
          <t>150분</t>
        </is>
      </c>
      <c r="D108" s="47" t="inlineStr">
        <is>
          <t>100건</t>
        </is>
      </c>
      <c r="E108" s="47" t="inlineStr">
        <is>
          <t>월 8GB</t>
        </is>
      </c>
      <c r="F108" s="47" t="inlineStr">
        <is>
          <t>LG U+</t>
        </is>
      </c>
      <c r="G108" s="47" t="inlineStr">
        <is>
          <t>5G</t>
        </is>
      </c>
      <c r="H108" s="48" t="n">
        <v>10</v>
      </c>
      <c r="I108" s="48" t="n">
        <v>6</v>
      </c>
      <c r="J108" s="48" t="n">
        <v>7700</v>
      </c>
      <c r="K108" s="47">
        <f t="array" ref="K108">_xlfn.XLOOKUP(1,(참조!$B$2:$B$15=E108)*(참조!$D$2:$D$15=C108)*(참조!$E$2:$E$15=D108),참조!$C$2:$C$15,"")</f>
        <v/>
      </c>
    </row>
    <row r="109" hidden="1" s="27">
      <c r="A109" s="47" t="inlineStr">
        <is>
          <t>고고모바일</t>
        </is>
      </c>
      <c r="B109" s="47" t="inlineStr">
        <is>
          <t>[모요only] 5G 200분/20GB</t>
        </is>
      </c>
      <c r="C109" s="47" t="inlineStr">
        <is>
          <t>200분</t>
        </is>
      </c>
      <c r="D109" s="47" t="inlineStr">
        <is>
          <t>100건</t>
        </is>
      </c>
      <c r="E109" s="47" t="inlineStr">
        <is>
          <t>월 20GB</t>
        </is>
      </c>
      <c r="F109" s="47" t="inlineStr">
        <is>
          <t>KT</t>
        </is>
      </c>
      <c r="G109" s="47" t="inlineStr">
        <is>
          <t>5G</t>
        </is>
      </c>
      <c r="H109" s="48" t="n">
        <v>100</v>
      </c>
      <c r="I109" s="48" t="n">
        <v>7</v>
      </c>
      <c r="J109" s="48" t="n">
        <v>29700</v>
      </c>
      <c r="K109" s="47">
        <f t="array" ref="K109">_xlfn.XLOOKUP(1,(참조!$B$2:$B$15=E109)*(참조!$D$2:$D$15=C109)*(참조!$E$2:$E$15=D109),참조!$C$2:$C$15,"")</f>
        <v/>
      </c>
    </row>
    <row r="110" hidden="1" s="27">
      <c r="A110" s="47" t="inlineStr">
        <is>
          <t>이지모바일</t>
        </is>
      </c>
      <c r="B110" s="47" t="inlineStr">
        <is>
          <t>EG 10무제한 11G+3(CU할인)</t>
        </is>
      </c>
      <c r="C110" s="47" t="inlineStr">
        <is>
          <t>무제한</t>
        </is>
      </c>
      <c r="D110" s="47" t="inlineStr">
        <is>
          <t>무제한</t>
        </is>
      </c>
      <c r="E110" s="47" t="inlineStr">
        <is>
          <t>월 11GB + 매일 2GB + 3Mbps</t>
        </is>
      </c>
      <c r="F110" s="47" t="inlineStr">
        <is>
          <t>KT</t>
        </is>
      </c>
      <c r="G110" s="47" t="inlineStr">
        <is>
          <t>LTE</t>
        </is>
      </c>
      <c r="H110" s="48" t="n">
        <v>17900</v>
      </c>
      <c r="I110" s="48" t="n">
        <v>10</v>
      </c>
      <c r="J110" s="48" t="n">
        <v>39600</v>
      </c>
      <c r="K110" s="47">
        <f t="array" ref="K110">_xlfn.XLOOKUP(1,(참조!$B$2:$B$15=E110)*(참조!$D$2:$D$15=C110)*(참조!$E$2:$E$15=D110),참조!$C$2:$C$15,"")</f>
        <v/>
      </c>
    </row>
    <row r="111" hidden="1" s="27">
      <c r="A111" s="47" t="inlineStr">
        <is>
          <t>티플러스</t>
        </is>
      </c>
      <c r="B111" s="47" t="inlineStr">
        <is>
          <t>KT 100GB+ (밀리의서재+올리브영 매월 5천원 상품권!)</t>
        </is>
      </c>
      <c r="C111" s="47" t="inlineStr">
        <is>
          <t>무제한</t>
        </is>
      </c>
      <c r="D111" s="47" t="inlineStr">
        <is>
          <t>무제한</t>
        </is>
      </c>
      <c r="E111" s="47" t="inlineStr">
        <is>
          <t>월 100GB + 5Mbps</t>
        </is>
      </c>
      <c r="F111" s="47" t="inlineStr">
        <is>
          <t>KT</t>
        </is>
      </c>
      <c r="G111" s="47" t="inlineStr">
        <is>
          <t>LTE</t>
        </is>
      </c>
      <c r="H111" s="48" t="n">
        <v>8900</v>
      </c>
      <c r="I111" s="48" t="n">
        <v>7</v>
      </c>
      <c r="J111" s="48" t="n">
        <v>48400</v>
      </c>
      <c r="K111" s="47">
        <f t="array" ref="K111">_xlfn.XLOOKUP(1,(참조!$B$2:$B$15=E111)*(참조!$D$2:$D$15=C111)*(참조!$E$2:$E$15=D111),참조!$C$2:$C$15,"")</f>
        <v/>
      </c>
    </row>
    <row r="112" hidden="1" s="27">
      <c r="A112" s="47" t="inlineStr">
        <is>
          <t>더원모바일</t>
        </is>
      </c>
      <c r="B112" s="47" t="inlineStr">
        <is>
          <t>TOP 11GB 기본 (쿠팡캐시)</t>
        </is>
      </c>
      <c r="C112" s="47" t="inlineStr">
        <is>
          <t>무제한</t>
        </is>
      </c>
      <c r="D112" s="47" t="inlineStr">
        <is>
          <t>무제한</t>
        </is>
      </c>
      <c r="E112" s="47" t="inlineStr">
        <is>
          <t>월 11GB + 매일 2GB + 3Mbps</t>
        </is>
      </c>
      <c r="F112" s="47" t="inlineStr">
        <is>
          <t>KT</t>
        </is>
      </c>
      <c r="G112" s="47" t="inlineStr">
        <is>
          <t>LTE</t>
        </is>
      </c>
      <c r="H112" s="48" t="n">
        <v>18700</v>
      </c>
      <c r="I112" s="48" t="n">
        <v>12</v>
      </c>
      <c r="J112" s="48" t="n">
        <v>40700</v>
      </c>
      <c r="K112" s="47">
        <f t="array" ref="K112">_xlfn.XLOOKUP(1,(참조!$B$2:$B$15=E112)*(참조!$D$2:$D$15=C112)*(참조!$E$2:$E$15=D112),참조!$C$2:$C$15,"")</f>
        <v/>
      </c>
    </row>
    <row r="113" hidden="1" s="27">
      <c r="A113" s="47" t="inlineStr">
        <is>
          <t>U+유모바일</t>
        </is>
      </c>
      <c r="B113" s="47" t="inlineStr">
        <is>
          <t>[평생할인] 10GB/100분</t>
        </is>
      </c>
      <c r="C113" s="47" t="inlineStr">
        <is>
          <t>100분</t>
        </is>
      </c>
      <c r="D113" s="47" t="inlineStr">
        <is>
          <t>100건</t>
        </is>
      </c>
      <c r="E113" s="47" t="inlineStr">
        <is>
          <t>월 10GB</t>
        </is>
      </c>
      <c r="F113" s="47" t="inlineStr">
        <is>
          <t>LG U+</t>
        </is>
      </c>
      <c r="G113" s="47" t="inlineStr">
        <is>
          <t>LTE</t>
        </is>
      </c>
      <c r="H113" s="48" t="n">
        <v>9900</v>
      </c>
      <c r="I113" s="48" t="n"/>
      <c r="J113" s="48" t="n"/>
      <c r="K113" s="47">
        <f t="array" ref="K113">_xlfn.XLOOKUP(1,(참조!$B$2:$B$15=E113)*(참조!$D$2:$D$15=C113)*(참조!$E$2:$E$15=D113),참조!$C$2:$C$15,"")</f>
        <v/>
      </c>
    </row>
    <row r="114" hidden="1" s="27">
      <c r="A114" s="47" t="inlineStr">
        <is>
          <t>KG모바일</t>
        </is>
      </c>
      <c r="B114" s="47" t="inlineStr">
        <is>
          <t>[평생할인] 데이터 마음대로 (5GB+/100분)</t>
        </is>
      </c>
      <c r="C114" s="47" t="inlineStr">
        <is>
          <t>100분</t>
        </is>
      </c>
      <c r="D114" s="47" t="inlineStr">
        <is>
          <t>100건</t>
        </is>
      </c>
      <c r="E114" s="47" t="inlineStr">
        <is>
          <t>월 5GB + 1Mbps</t>
        </is>
      </c>
      <c r="F114" s="47" t="inlineStr">
        <is>
          <t>LG U+</t>
        </is>
      </c>
      <c r="G114" s="47" t="inlineStr">
        <is>
          <t>LTE</t>
        </is>
      </c>
      <c r="H114" s="48" t="n">
        <v>2900</v>
      </c>
      <c r="I114" s="48" t="n"/>
      <c r="J114" s="48" t="n"/>
      <c r="K114" s="47">
        <f t="array" ref="K114">_xlfn.XLOOKUP(1,(참조!$B$2:$B$15=E114)*(참조!$D$2:$D$15=C114)*(참조!$E$2:$E$15=D114),참조!$C$2:$C$15,"")</f>
        <v/>
      </c>
    </row>
    <row r="115" hidden="1" s="27">
      <c r="A115" s="47" t="inlineStr">
        <is>
          <t>KT엠모바일</t>
        </is>
      </c>
      <c r="B115" s="47" t="inlineStr">
        <is>
          <t>5G 데이터 충분 20GB/200분</t>
        </is>
      </c>
      <c r="C115" s="47" t="inlineStr">
        <is>
          <t>200분</t>
        </is>
      </c>
      <c r="D115" s="47" t="inlineStr">
        <is>
          <t>100건</t>
        </is>
      </c>
      <c r="E115" s="47" t="inlineStr">
        <is>
          <t>월 20GB</t>
        </is>
      </c>
      <c r="F115" s="47" t="inlineStr">
        <is>
          <t>KT</t>
        </is>
      </c>
      <c r="G115" s="47" t="inlineStr">
        <is>
          <t>5G</t>
        </is>
      </c>
      <c r="H115" s="48" t="n">
        <v>14400</v>
      </c>
      <c r="I115" s="48" t="n"/>
      <c r="J115" s="48" t="n"/>
      <c r="K115" s="47">
        <f t="array" ref="K115">_xlfn.XLOOKUP(1,(참조!$B$2:$B$15=E115)*(참조!$D$2:$D$15=C115)*(참조!$E$2:$E$15=D115),참조!$C$2:$C$15,"")</f>
        <v/>
      </c>
    </row>
    <row r="116" hidden="1" s="27">
      <c r="A116" s="47" t="inlineStr">
        <is>
          <t>마블링</t>
        </is>
      </c>
      <c r="B116" s="47" t="inlineStr">
        <is>
          <t>[모요only] 마블링 무제한 100GB+</t>
        </is>
      </c>
      <c r="C116" s="47" t="inlineStr">
        <is>
          <t>무제한</t>
        </is>
      </c>
      <c r="D116" s="47" t="inlineStr">
        <is>
          <t>무제한</t>
        </is>
      </c>
      <c r="E116" s="47" t="inlineStr">
        <is>
          <t>월 100GB + 5Mbps</t>
        </is>
      </c>
      <c r="F116" s="47" t="inlineStr">
        <is>
          <t>LG U+</t>
        </is>
      </c>
      <c r="G116" s="47" t="inlineStr">
        <is>
          <t>LTE</t>
        </is>
      </c>
      <c r="H116" s="48" t="n">
        <v>24209</v>
      </c>
      <c r="I116" s="48" t="n">
        <v>12</v>
      </c>
      <c r="J116" s="48" t="n">
        <v>47930</v>
      </c>
      <c r="K116" s="47">
        <f t="array" ref="K116">_xlfn.XLOOKUP(1,(참조!$B$2:$B$15=E116)*(참조!$D$2:$D$15=C116)*(참조!$E$2:$E$15=D116),참조!$C$2:$C$15,"")</f>
        <v/>
      </c>
    </row>
    <row r="117" hidden="1" s="27">
      <c r="A117" s="47" t="inlineStr">
        <is>
          <t>모나</t>
        </is>
      </c>
      <c r="B117" s="47" t="inlineStr">
        <is>
          <t>5G_모나기본95G안심3</t>
        </is>
      </c>
      <c r="C117" s="47" t="inlineStr">
        <is>
          <t>무제한</t>
        </is>
      </c>
      <c r="D117" s="47" t="inlineStr">
        <is>
          <t>무제한</t>
        </is>
      </c>
      <c r="E117" s="47" t="inlineStr">
        <is>
          <t>월 95GB + 3Mbps</t>
        </is>
      </c>
      <c r="F117" s="47" t="inlineStr">
        <is>
          <t>LG U+</t>
        </is>
      </c>
      <c r="G117" s="47" t="inlineStr">
        <is>
          <t>5G</t>
        </is>
      </c>
      <c r="H117" s="48" t="n">
        <v>28400</v>
      </c>
      <c r="I117" s="48" t="n">
        <v>24</v>
      </c>
      <c r="J117" s="48" t="n">
        <v>55000</v>
      </c>
      <c r="K117" s="47">
        <f t="array" ref="K117">_xlfn.XLOOKUP(1,(참조!$B$2:$B$15=E117)*(참조!$D$2:$D$15=C117)*(참조!$E$2:$E$15=D117),참조!$C$2:$C$15,"")</f>
        <v/>
      </c>
    </row>
    <row r="118" hidden="1" s="27">
      <c r="A118" s="47" t="inlineStr">
        <is>
          <t>이야기모바일</t>
        </is>
      </c>
      <c r="B118" s="47" t="inlineStr">
        <is>
          <t>함께이야기해S(300분+15GB)</t>
        </is>
      </c>
      <c r="C118" s="47" t="inlineStr">
        <is>
          <t>300분</t>
        </is>
      </c>
      <c r="D118" s="47" t="inlineStr">
        <is>
          <t>150건</t>
        </is>
      </c>
      <c r="E118" s="47" t="inlineStr">
        <is>
          <t>월 15GB</t>
        </is>
      </c>
      <c r="F118" s="47" t="inlineStr">
        <is>
          <t>SKT</t>
        </is>
      </c>
      <c r="G118" s="47" t="inlineStr">
        <is>
          <t>LTE</t>
        </is>
      </c>
      <c r="H118" s="48" t="n">
        <v>990</v>
      </c>
      <c r="I118" s="48" t="n">
        <v>12</v>
      </c>
      <c r="J118" s="48" t="n">
        <v>15400</v>
      </c>
      <c r="K118" s="47">
        <f t="array" ref="K118">_xlfn.XLOOKUP(1,(참조!$B$2:$B$15=E118)*(참조!$D$2:$D$15=C118)*(참조!$E$2:$E$15=D118),참조!$C$2:$C$15,"")</f>
        <v/>
      </c>
    </row>
    <row r="119" hidden="1" s="27">
      <c r="A119" s="47" t="inlineStr">
        <is>
          <t>KG모바일</t>
        </is>
      </c>
      <c r="B119" s="47" t="inlineStr">
        <is>
          <t>[모빌카드 스페셜] 유심 5G 125GB+</t>
        </is>
      </c>
      <c r="C119" s="47" t="inlineStr">
        <is>
          <t>무제한</t>
        </is>
      </c>
      <c r="D119" s="47" t="inlineStr">
        <is>
          <t>무제한</t>
        </is>
      </c>
      <c r="E119" s="47" t="inlineStr">
        <is>
          <t>월 125GB + 5Mbps</t>
        </is>
      </c>
      <c r="F119" s="47" t="inlineStr">
        <is>
          <t>LG U+</t>
        </is>
      </c>
      <c r="G119" s="47" t="inlineStr">
        <is>
          <t>5G</t>
        </is>
      </c>
      <c r="H119" s="48" t="n">
        <v>7100</v>
      </c>
      <c r="I119" s="48" t="n">
        <v>7</v>
      </c>
      <c r="J119" s="48" t="n">
        <v>51150</v>
      </c>
      <c r="K119" s="47">
        <f t="array" ref="K119">_xlfn.XLOOKUP(1,(참조!$B$2:$B$15=E119)*(참조!$D$2:$D$15=C119)*(참조!$E$2:$E$15=D119),참조!$C$2:$C$15,"")</f>
        <v/>
      </c>
    </row>
    <row r="120" hidden="1" s="27">
      <c r="A120" s="47" t="inlineStr">
        <is>
          <t>KG모바일</t>
        </is>
      </c>
      <c r="B120" s="47" t="inlineStr">
        <is>
          <t>[일반] 통화, 데이터 마음대로 (5GB+)</t>
        </is>
      </c>
      <c r="C120" s="47" t="inlineStr">
        <is>
          <t>무제한</t>
        </is>
      </c>
      <c r="D120" s="47" t="inlineStr">
        <is>
          <t>무제한</t>
        </is>
      </c>
      <c r="E120" s="47" t="inlineStr">
        <is>
          <t>월 5GB + 1Mbps</t>
        </is>
      </c>
      <c r="F120" s="47" t="inlineStr">
        <is>
          <t>LG U+</t>
        </is>
      </c>
      <c r="G120" s="47" t="inlineStr">
        <is>
          <t>LTE</t>
        </is>
      </c>
      <c r="H120" s="48" t="n">
        <v>10</v>
      </c>
      <c r="I120" s="48" t="n">
        <v>6</v>
      </c>
      <c r="J120" s="48" t="n">
        <v>19300</v>
      </c>
      <c r="K120" s="47">
        <f t="array" ref="K120">_xlfn.XLOOKUP(1,(참조!$B$2:$B$15=E120)*(참조!$D$2:$D$15=C120)*(참조!$E$2:$E$15=D120),참조!$C$2:$C$15,"")</f>
        <v/>
      </c>
    </row>
    <row r="121" hidden="1" s="27">
      <c r="A121" s="47" t="inlineStr">
        <is>
          <t>고고모바일</t>
        </is>
      </c>
      <c r="B121" s="47" t="inlineStr">
        <is>
          <t>5G200분/15GB</t>
        </is>
      </c>
      <c r="C121" s="47" t="inlineStr">
        <is>
          <t>200분</t>
        </is>
      </c>
      <c r="D121" s="47" t="inlineStr">
        <is>
          <t>100건</t>
        </is>
      </c>
      <c r="E121" s="47" t="inlineStr">
        <is>
          <t>월 15GB</t>
        </is>
      </c>
      <c r="F121" s="47" t="inlineStr">
        <is>
          <t>KT</t>
        </is>
      </c>
      <c r="G121" s="47" t="inlineStr">
        <is>
          <t>5G</t>
        </is>
      </c>
      <c r="H121" s="48" t="n">
        <v>20790</v>
      </c>
      <c r="I121" s="48" t="n"/>
      <c r="J121" s="48" t="n"/>
      <c r="K121" s="47">
        <f t="array" ref="K121">_xlfn.XLOOKUP(1,(참조!$B$2:$B$15=E121)*(참조!$D$2:$D$15=C121)*(참조!$E$2:$E$15=D121),참조!$C$2:$C$15,"")</f>
        <v/>
      </c>
    </row>
    <row r="122" hidden="1" s="27">
      <c r="A122" s="47" t="inlineStr">
        <is>
          <t>KT엠모바일</t>
        </is>
      </c>
      <c r="B122" s="47" t="inlineStr">
        <is>
          <t>5G 데이터 충분 10GB/200분</t>
        </is>
      </c>
      <c r="C122" s="47" t="inlineStr">
        <is>
          <t>200분</t>
        </is>
      </c>
      <c r="D122" s="47" t="inlineStr">
        <is>
          <t>100건</t>
        </is>
      </c>
      <c r="E122" s="47" t="inlineStr">
        <is>
          <t>월 10GB</t>
        </is>
      </c>
      <c r="F122" s="47" t="inlineStr">
        <is>
          <t>KT</t>
        </is>
      </c>
      <c r="G122" s="47" t="inlineStr">
        <is>
          <t>5G</t>
        </is>
      </c>
      <c r="H122" s="48" t="n">
        <v>9400</v>
      </c>
      <c r="I122" s="48" t="n"/>
      <c r="J122" s="48" t="n"/>
      <c r="K122" s="47">
        <f t="array" ref="K122">_xlfn.XLOOKUP(1,(참조!$B$2:$B$15=E122)*(참조!$D$2:$D$15=C122)*(참조!$E$2:$E$15=D122),참조!$C$2:$C$15,"")</f>
        <v/>
      </c>
    </row>
    <row r="123" hidden="1" s="27">
      <c r="A123" s="47" t="inlineStr">
        <is>
          <t>마블링</t>
        </is>
      </c>
      <c r="B123" s="47" t="inlineStr">
        <is>
          <t>[모요only] 마블링 5G 프라임 125GB+5Mbps</t>
        </is>
      </c>
      <c r="C123" s="47" t="inlineStr">
        <is>
          <t>무제한</t>
        </is>
      </c>
      <c r="D123" s="47" t="inlineStr">
        <is>
          <t>무제한</t>
        </is>
      </c>
      <c r="E123" s="47" t="inlineStr">
        <is>
          <t>월 125GB + 5Mbps</t>
        </is>
      </c>
      <c r="F123" s="47" t="inlineStr">
        <is>
          <t>LG U+</t>
        </is>
      </c>
      <c r="G123" s="47" t="inlineStr">
        <is>
          <t>5G</t>
        </is>
      </c>
      <c r="H123" s="48" t="n">
        <v>7100</v>
      </c>
      <c r="I123" s="48" t="n">
        <v>7</v>
      </c>
      <c r="J123" s="48" t="n">
        <v>44900</v>
      </c>
      <c r="K123" s="47">
        <f t="array" ref="K123">_xlfn.XLOOKUP(1,(참조!$B$2:$B$15=E123)*(참조!$D$2:$D$15=C123)*(참조!$E$2:$E$15=D123),참조!$C$2:$C$15,"")</f>
        <v/>
      </c>
    </row>
    <row r="124" hidden="1" s="27">
      <c r="A124" s="47" t="inlineStr">
        <is>
          <t>이지모바일</t>
        </is>
      </c>
      <c r="B124" s="47" t="inlineStr">
        <is>
          <t>이지 데이터 7GB</t>
        </is>
      </c>
      <c r="C124" s="47" t="inlineStr">
        <is>
          <t>300분</t>
        </is>
      </c>
      <c r="D124" s="47" t="inlineStr">
        <is>
          <t>100건</t>
        </is>
      </c>
      <c r="E124" s="47" t="inlineStr">
        <is>
          <t>월 7GB</t>
        </is>
      </c>
      <c r="F124" s="47" t="inlineStr">
        <is>
          <t>LG U+</t>
        </is>
      </c>
      <c r="G124" s="47" t="inlineStr">
        <is>
          <t>LTE</t>
        </is>
      </c>
      <c r="H124" s="48" t="n">
        <v>10</v>
      </c>
      <c r="I124" s="48" t="n">
        <v>6</v>
      </c>
      <c r="J124" s="48" t="n">
        <v>17050</v>
      </c>
      <c r="K124" s="47">
        <f t="array" ref="K124">_xlfn.XLOOKUP(1,(참조!$B$2:$B$15=E124)*(참조!$D$2:$D$15=C124)*(참조!$E$2:$E$15=D124),참조!$C$2:$C$15,"")</f>
        <v/>
      </c>
    </row>
    <row r="125" hidden="1" s="27">
      <c r="A125" s="47" t="inlineStr">
        <is>
          <t>찬스모바일</t>
        </is>
      </c>
      <c r="B125" s="47" t="inlineStr">
        <is>
          <t>[모요only] [CH]100GB+5Mbps</t>
        </is>
      </c>
      <c r="C125" s="47" t="inlineStr">
        <is>
          <t>무제한</t>
        </is>
      </c>
      <c r="D125" s="47" t="inlineStr">
        <is>
          <t>무제한</t>
        </is>
      </c>
      <c r="E125" s="47" t="inlineStr">
        <is>
          <t>월 100GB + 5Mbps</t>
        </is>
      </c>
      <c r="F125" s="47" t="inlineStr">
        <is>
          <t>LG U+</t>
        </is>
      </c>
      <c r="G125" s="47" t="inlineStr">
        <is>
          <t>LTE</t>
        </is>
      </c>
      <c r="H125" s="48" t="n">
        <v>8500</v>
      </c>
      <c r="I125" s="48" t="n">
        <v>7</v>
      </c>
      <c r="J125" s="48" t="n">
        <v>48400</v>
      </c>
      <c r="K125" s="47">
        <f t="array" ref="K125">_xlfn.XLOOKUP(1,(참조!$B$2:$B$15=E125)*(참조!$D$2:$D$15=C125)*(참조!$E$2:$E$15=D125),참조!$C$2:$C$15,"")</f>
        <v/>
      </c>
    </row>
    <row r="126" hidden="1" s="27">
      <c r="A126" s="47" t="inlineStr">
        <is>
          <t>KG모바일</t>
        </is>
      </c>
      <c r="B126" s="47" t="inlineStr">
        <is>
          <t>[평생할인] 통화, 데이터 마음대로 100GB+</t>
        </is>
      </c>
      <c r="C126" s="47" t="inlineStr">
        <is>
          <t>무제한</t>
        </is>
      </c>
      <c r="D126" s="47" t="inlineStr">
        <is>
          <t>무제한</t>
        </is>
      </c>
      <c r="E126" s="47" t="inlineStr">
        <is>
          <t>월 100GB + 5Mbps</t>
        </is>
      </c>
      <c r="F126" s="47" t="inlineStr">
        <is>
          <t>LG U+</t>
        </is>
      </c>
      <c r="G126" s="47" t="inlineStr">
        <is>
          <t>LTE</t>
        </is>
      </c>
      <c r="H126" s="48" t="n">
        <v>34000</v>
      </c>
      <c r="I126" s="48" t="n"/>
      <c r="J126" s="48" t="n"/>
      <c r="K126" s="47">
        <f t="array" ref="K126">_xlfn.XLOOKUP(1,(참조!$B$2:$B$15=E126)*(참조!$D$2:$D$15=C126)*(참조!$E$2:$E$15=D126),참조!$C$2:$C$15,"")</f>
        <v/>
      </c>
    </row>
    <row r="127" hidden="1" s="27">
      <c r="A127" s="47" t="inlineStr">
        <is>
          <t>핀다이렉트</t>
        </is>
      </c>
      <c r="B127" s="47" t="inlineStr">
        <is>
          <t>[모요only] [K] 핀다이렉트Z Max (100GB)(12) _PIN</t>
        </is>
      </c>
      <c r="C127" s="47" t="inlineStr">
        <is>
          <t>무제한</t>
        </is>
      </c>
      <c r="D127" s="47" t="inlineStr">
        <is>
          <t>무제한</t>
        </is>
      </c>
      <c r="E127" s="47" t="inlineStr">
        <is>
          <t>월 100GB + 5Mbps</t>
        </is>
      </c>
      <c r="F127" s="47" t="inlineStr">
        <is>
          <t>KT</t>
        </is>
      </c>
      <c r="G127" s="47" t="inlineStr">
        <is>
          <t>LTE</t>
        </is>
      </c>
      <c r="H127" s="48" t="n">
        <v>22500</v>
      </c>
      <c r="I127" s="48" t="n">
        <v>12</v>
      </c>
      <c r="J127" s="48" t="n">
        <v>42900</v>
      </c>
      <c r="K127" s="47">
        <f t="array" ref="K127">_xlfn.XLOOKUP(1,(참조!$B$2:$B$15=E127)*(참조!$D$2:$D$15=C127)*(참조!$E$2:$E$15=D127),참조!$C$2:$C$15,"")</f>
        <v/>
      </c>
    </row>
    <row r="128" hidden="1" s="27">
      <c r="A128" s="47" t="inlineStr">
        <is>
          <t>더원모바일</t>
        </is>
      </c>
      <c r="B128" s="47" t="inlineStr">
        <is>
          <t>TOP 10GB 기본 (네이버페이)</t>
        </is>
      </c>
      <c r="C128" s="47" t="inlineStr">
        <is>
          <t>무제한</t>
        </is>
      </c>
      <c r="D128" s="47" t="inlineStr">
        <is>
          <t>무제한</t>
        </is>
      </c>
      <c r="E128" s="47" t="inlineStr">
        <is>
          <t>월 10GB + 1Mbps</t>
        </is>
      </c>
      <c r="F128" s="47" t="inlineStr">
        <is>
          <t>KT</t>
        </is>
      </c>
      <c r="G128" s="47" t="inlineStr">
        <is>
          <t>LTE</t>
        </is>
      </c>
      <c r="H128" s="48" t="n">
        <v>500</v>
      </c>
      <c r="I128" s="48" t="n">
        <v>7</v>
      </c>
      <c r="J128" s="48" t="n">
        <v>23600</v>
      </c>
      <c r="K128" s="47">
        <f t="array" ref="K128">_xlfn.XLOOKUP(1,(참조!$B$2:$B$15=E128)*(참조!$D$2:$D$15=C128)*(참조!$E$2:$E$15=D128),참조!$C$2:$C$15,"")</f>
        <v/>
      </c>
    </row>
    <row r="129" hidden="1" s="27">
      <c r="A129" s="47" t="inlineStr">
        <is>
          <t>티플러스</t>
        </is>
      </c>
      <c r="B129" s="47" t="inlineStr">
        <is>
          <t>5G 가성비플러스(20GB/350분)</t>
        </is>
      </c>
      <c r="C129" s="47" t="inlineStr">
        <is>
          <t>350분</t>
        </is>
      </c>
      <c r="D129" s="47" t="inlineStr">
        <is>
          <t>100건</t>
        </is>
      </c>
      <c r="E129" s="47" t="inlineStr">
        <is>
          <t>월 20GB</t>
        </is>
      </c>
      <c r="F129" s="47" t="inlineStr">
        <is>
          <t>KT</t>
        </is>
      </c>
      <c r="G129" s="47" t="inlineStr">
        <is>
          <t>5G</t>
        </is>
      </c>
      <c r="H129" s="48" t="n">
        <v>900</v>
      </c>
      <c r="I129" s="48" t="n">
        <v>7</v>
      </c>
      <c r="J129" s="48" t="n">
        <v>29700</v>
      </c>
      <c r="K129" s="47">
        <f t="array" ref="K129">_xlfn.XLOOKUP(1,(참조!$B$2:$B$15=E129)*(참조!$D$2:$D$15=C129)*(참조!$E$2:$E$15=D129),참조!$C$2:$C$15,"")</f>
        <v/>
      </c>
    </row>
    <row r="130" hidden="1" s="27">
      <c r="A130" s="47" t="inlineStr">
        <is>
          <t>티플러스</t>
        </is>
      </c>
      <c r="B130" s="47" t="inlineStr">
        <is>
          <t>가성비플러스(15GB/350분)</t>
        </is>
      </c>
      <c r="C130" s="47" t="inlineStr">
        <is>
          <t>350분</t>
        </is>
      </c>
      <c r="D130" s="47" t="inlineStr">
        <is>
          <t>100건</t>
        </is>
      </c>
      <c r="E130" s="47" t="inlineStr">
        <is>
          <t>월 15GB</t>
        </is>
      </c>
      <c r="F130" s="47" t="inlineStr">
        <is>
          <t>KT</t>
        </is>
      </c>
      <c r="G130" s="47" t="inlineStr">
        <is>
          <t>LTE</t>
        </is>
      </c>
      <c r="H130" s="48" t="n">
        <v>10</v>
      </c>
      <c r="I130" s="48" t="n">
        <v>7</v>
      </c>
      <c r="J130" s="48" t="n">
        <v>22000</v>
      </c>
      <c r="K130" s="47">
        <f t="array" ref="K130">_xlfn.XLOOKUP(1,(참조!$B$2:$B$15=E130)*(참조!$D$2:$D$15=C130)*(참조!$E$2:$E$15=D130),참조!$C$2:$C$15,"")</f>
        <v/>
      </c>
    </row>
    <row r="131" hidden="1" s="27">
      <c r="A131" s="47" t="inlineStr">
        <is>
          <t>고고모바일</t>
        </is>
      </c>
      <c r="B131" s="47" t="inlineStr">
        <is>
          <t>[모요only] 무제한 7GB+1M(매월 네이버페이5000P)</t>
        </is>
      </c>
      <c r="C131" s="47" t="inlineStr">
        <is>
          <t>무제한</t>
        </is>
      </c>
      <c r="D131" s="47" t="inlineStr">
        <is>
          <t>무제한</t>
        </is>
      </c>
      <c r="E131" s="47" t="inlineStr">
        <is>
          <t>월 7GB + 1Mbps</t>
        </is>
      </c>
      <c r="F131" s="47" t="inlineStr">
        <is>
          <t>KT</t>
        </is>
      </c>
      <c r="G131" s="47" t="inlineStr">
        <is>
          <t>LTE</t>
        </is>
      </c>
      <c r="H131" s="48" t="n">
        <v>700</v>
      </c>
      <c r="I131" s="48" t="n">
        <v>7</v>
      </c>
      <c r="J131" s="48" t="n">
        <v>19200</v>
      </c>
      <c r="K131" s="47">
        <f t="array" ref="K131">_xlfn.XLOOKUP(1,(참조!$B$2:$B$15=E131)*(참조!$D$2:$D$15=C131)*(참조!$E$2:$E$15=D131),참조!$C$2:$C$15,"")</f>
        <v/>
      </c>
    </row>
    <row r="132" hidden="1" s="27">
      <c r="A132" s="47" t="inlineStr">
        <is>
          <t>이지모바일</t>
        </is>
      </c>
      <c r="B132" s="47" t="inlineStr">
        <is>
          <t>[선착순 특가]EG 7무제한 7G+1(매월10GB+밀리의 서재)</t>
        </is>
      </c>
      <c r="C132" s="47" t="inlineStr">
        <is>
          <t>무제한</t>
        </is>
      </c>
      <c r="D132" s="47" t="inlineStr">
        <is>
          <t>무제한</t>
        </is>
      </c>
      <c r="E132" s="47" t="inlineStr">
        <is>
          <t>월 7GB + 1Mbps</t>
        </is>
      </c>
      <c r="F132" s="47" t="inlineStr">
        <is>
          <t>KT</t>
        </is>
      </c>
      <c r="G132" s="47" t="inlineStr">
        <is>
          <t>LTE</t>
        </is>
      </c>
      <c r="H132" s="48" t="n">
        <v>100</v>
      </c>
      <c r="I132" s="48" t="n">
        <v>7</v>
      </c>
      <c r="J132" s="48" t="n">
        <v>22000</v>
      </c>
      <c r="K132" s="47">
        <f t="array" ref="K132">_xlfn.XLOOKUP(1,(참조!$B$2:$B$15=E132)*(참조!$D$2:$D$15=C132)*(참조!$E$2:$E$15=D132),참조!$C$2:$C$15,"")</f>
        <v/>
      </c>
    </row>
    <row r="133" hidden="1" s="27">
      <c r="A133" s="47" t="inlineStr">
        <is>
          <t>티플러스</t>
        </is>
      </c>
      <c r="B133" s="47" t="inlineStr">
        <is>
          <t>5G 가성비플러스(30GB/350분)_12개월할인</t>
        </is>
      </c>
      <c r="C133" s="47" t="inlineStr">
        <is>
          <t>350분</t>
        </is>
      </c>
      <c r="D133" s="47" t="inlineStr">
        <is>
          <t>100건</t>
        </is>
      </c>
      <c r="E133" s="47" t="inlineStr">
        <is>
          <t>월 30GB</t>
        </is>
      </c>
      <c r="F133" s="47" t="inlineStr">
        <is>
          <t>KT</t>
        </is>
      </c>
      <c r="G133" s="47" t="inlineStr">
        <is>
          <t>5G</t>
        </is>
      </c>
      <c r="H133" s="48" t="n">
        <v>10900</v>
      </c>
      <c r="I133" s="48" t="n">
        <v>12</v>
      </c>
      <c r="J133" s="48" t="n">
        <v>39600</v>
      </c>
      <c r="K133" s="47">
        <f t="array" ref="K133">_xlfn.XLOOKUP(1,(참조!$B$2:$B$15=E133)*(참조!$D$2:$D$15=C133)*(참조!$E$2:$E$15=D133),참조!$C$2:$C$15,"")</f>
        <v/>
      </c>
    </row>
    <row r="134" hidden="1" s="27">
      <c r="A134" s="47" t="inlineStr">
        <is>
          <t>KT스카이라이프</t>
        </is>
      </c>
      <c r="B134" s="47" t="inlineStr">
        <is>
          <t>슬림 1.5GB/150분</t>
        </is>
      </c>
      <c r="C134" s="47" t="inlineStr">
        <is>
          <t>150분</t>
        </is>
      </c>
      <c r="D134" s="47" t="inlineStr">
        <is>
          <t>150건</t>
        </is>
      </c>
      <c r="E134" s="47" t="inlineStr">
        <is>
          <t>월 1.5GB</t>
        </is>
      </c>
      <c r="F134" s="47" t="inlineStr">
        <is>
          <t>KT</t>
        </is>
      </c>
      <c r="G134" s="47" t="inlineStr">
        <is>
          <t>LTE</t>
        </is>
      </c>
      <c r="H134" s="48" t="n">
        <v>3900</v>
      </c>
      <c r="I134" s="48" t="n"/>
      <c r="J134" s="48" t="n"/>
      <c r="K134" s="47">
        <f t="array" ref="K134">_xlfn.XLOOKUP(1,(참조!$B$2:$B$15=E134)*(참조!$D$2:$D$15=C134)*(참조!$E$2:$E$15=D134),참조!$C$2:$C$15,"")</f>
        <v/>
      </c>
    </row>
    <row r="135" hidden="1" s="27">
      <c r="A135" s="47" t="inlineStr">
        <is>
          <t>모나</t>
        </is>
      </c>
      <c r="B135" s="47" t="inlineStr">
        <is>
          <t>코나아이데이터300분15G+</t>
        </is>
      </c>
      <c r="C135" s="47" t="inlineStr">
        <is>
          <t>300분</t>
        </is>
      </c>
      <c r="D135" s="47" t="inlineStr">
        <is>
          <t>300건</t>
        </is>
      </c>
      <c r="E135" s="47" t="inlineStr">
        <is>
          <t>월 15GB + 3Mbps</t>
        </is>
      </c>
      <c r="F135" s="47" t="inlineStr">
        <is>
          <t>LG U+</t>
        </is>
      </c>
      <c r="G135" s="47" t="inlineStr">
        <is>
          <t>LTE</t>
        </is>
      </c>
      <c r="H135" s="48" t="n">
        <v>22990</v>
      </c>
      <c r="I135" s="48" t="n"/>
      <c r="J135" s="48" t="n"/>
      <c r="K135" s="47">
        <f t="array" ref="K135">_xlfn.XLOOKUP(1,(참조!$B$2:$B$15=E135)*(참조!$D$2:$D$15=C135)*(참조!$E$2:$E$15=D135),참조!$C$2:$C$15,"")</f>
        <v/>
      </c>
    </row>
    <row r="136" hidden="1" s="27">
      <c r="A136" s="47" t="inlineStr">
        <is>
          <t>U+유모바일</t>
        </is>
      </c>
      <c r="B136" s="47" t="inlineStr">
        <is>
          <t>[Npay 12만 기본제공] 71GB+/통화기본</t>
        </is>
      </c>
      <c r="C136" s="47" t="inlineStr">
        <is>
          <t>무제한</t>
        </is>
      </c>
      <c r="D136" s="47" t="inlineStr">
        <is>
          <t>무제한</t>
        </is>
      </c>
      <c r="E136" s="47" t="inlineStr">
        <is>
          <t>월 11GB + 매일 2GB + 3Mbps</t>
        </is>
      </c>
      <c r="F136" s="47" t="inlineStr">
        <is>
          <t>LG U+</t>
        </is>
      </c>
      <c r="G136" s="47" t="inlineStr">
        <is>
          <t>LTE</t>
        </is>
      </c>
      <c r="H136" s="48" t="n">
        <v>30390</v>
      </c>
      <c r="I136" s="48" t="n">
        <v>24</v>
      </c>
      <c r="J136" s="48" t="n">
        <v>35390</v>
      </c>
      <c r="K136" s="47">
        <f t="array" ref="K136">_xlfn.XLOOKUP(1,(참조!$B$2:$B$15=E136)*(참조!$D$2:$D$15=C136)*(참조!$E$2:$E$15=D136),참조!$C$2:$C$15,"")</f>
        <v/>
      </c>
    </row>
    <row r="137" hidden="1" s="27">
      <c r="A137" s="47" t="inlineStr">
        <is>
          <t>더원모바일</t>
        </is>
      </c>
      <c r="B137" s="47" t="inlineStr">
        <is>
          <t>TOP 11GB 기본 (밀리의서재)</t>
        </is>
      </c>
      <c r="C137" s="47" t="inlineStr">
        <is>
          <t>무제한</t>
        </is>
      </c>
      <c r="D137" s="47" t="inlineStr">
        <is>
          <t>무제한</t>
        </is>
      </c>
      <c r="E137" s="47" t="inlineStr">
        <is>
          <t>월 11GB + 매일 2GB + 3Mbps</t>
        </is>
      </c>
      <c r="F137" s="47" t="inlineStr">
        <is>
          <t>KT</t>
        </is>
      </c>
      <c r="G137" s="47" t="inlineStr">
        <is>
          <t>LTE</t>
        </is>
      </c>
      <c r="H137" s="48" t="n">
        <v>7700</v>
      </c>
      <c r="I137" s="48" t="n">
        <v>7</v>
      </c>
      <c r="J137" s="48" t="n">
        <v>38500</v>
      </c>
      <c r="K137" s="47">
        <f t="array" ref="K137">_xlfn.XLOOKUP(1,(참조!$B$2:$B$15=E137)*(참조!$D$2:$D$15=C137)*(참조!$E$2:$E$15=D137),참조!$C$2:$C$15,"")</f>
        <v/>
      </c>
    </row>
    <row r="138" hidden="1" s="27">
      <c r="A138" s="47" t="inlineStr">
        <is>
          <t>더원모바일</t>
        </is>
      </c>
      <c r="B138" s="47" t="inlineStr">
        <is>
          <t>TOP 100GB 기본 (다이소)</t>
        </is>
      </c>
      <c r="C138" s="47" t="inlineStr">
        <is>
          <t>무제한</t>
        </is>
      </c>
      <c r="D138" s="47" t="inlineStr">
        <is>
          <t>무제한</t>
        </is>
      </c>
      <c r="E138" s="47" t="inlineStr">
        <is>
          <t>월 100GB + 5Mbps</t>
        </is>
      </c>
      <c r="F138" s="47" t="inlineStr">
        <is>
          <t>KT</t>
        </is>
      </c>
      <c r="G138" s="47" t="inlineStr">
        <is>
          <t>LTE</t>
        </is>
      </c>
      <c r="H138" s="48" t="n">
        <v>22990</v>
      </c>
      <c r="I138" s="48" t="n">
        <v>12</v>
      </c>
      <c r="J138" s="48" t="n">
        <v>46200</v>
      </c>
      <c r="K138" s="47">
        <f t="array" ref="K138">_xlfn.XLOOKUP(1,(참조!$B$2:$B$15=E138)*(참조!$D$2:$D$15=C138)*(참조!$E$2:$E$15=D138),참조!$C$2:$C$15,"")</f>
        <v/>
      </c>
    </row>
    <row r="139" hidden="1" s="27">
      <c r="A139" s="47" t="inlineStr">
        <is>
          <t>KG모바일</t>
        </is>
      </c>
      <c r="B139" s="47" t="inlineStr">
        <is>
          <t>[평생할인] 데이터 마음대로 (10GB+/100분)</t>
        </is>
      </c>
      <c r="C139" s="47" t="inlineStr">
        <is>
          <t>100분</t>
        </is>
      </c>
      <c r="D139" s="47" t="inlineStr">
        <is>
          <t>100건</t>
        </is>
      </c>
      <c r="E139" s="47" t="inlineStr">
        <is>
          <t>월 10GB + 1Mbps</t>
        </is>
      </c>
      <c r="F139" s="47" t="inlineStr">
        <is>
          <t>LG U+</t>
        </is>
      </c>
      <c r="G139" s="47" t="inlineStr">
        <is>
          <t>LTE</t>
        </is>
      </c>
      <c r="H139" s="48" t="n">
        <v>5700</v>
      </c>
      <c r="I139" s="48" t="n"/>
      <c r="J139" s="48" t="n"/>
      <c r="K139" s="47">
        <f t="array" ref="K139">_xlfn.XLOOKUP(1,(참조!$B$2:$B$15=E139)*(참조!$D$2:$D$15=C139)*(참조!$E$2:$E$15=D139),참조!$C$2:$C$15,"")</f>
        <v/>
      </c>
    </row>
    <row r="140" hidden="1" s="27">
      <c r="A140" s="47" t="inlineStr">
        <is>
          <t>슈가모바일</t>
        </is>
      </c>
      <c r="B140" s="47" t="inlineStr">
        <is>
          <t>5G 슈가X윌라 150G+</t>
        </is>
      </c>
      <c r="C140" s="47" t="inlineStr">
        <is>
          <t>무제한</t>
        </is>
      </c>
      <c r="D140" s="47" t="inlineStr">
        <is>
          <t>무제한</t>
        </is>
      </c>
      <c r="E140" s="47" t="inlineStr">
        <is>
          <t>월 150GB + 5Mbps</t>
        </is>
      </c>
      <c r="F140" s="47" t="inlineStr">
        <is>
          <t>LG U+</t>
        </is>
      </c>
      <c r="G140" s="47" t="inlineStr">
        <is>
          <t>5G</t>
        </is>
      </c>
      <c r="H140" s="48" t="n">
        <v>25500</v>
      </c>
      <c r="I140" s="48" t="n">
        <v>24</v>
      </c>
      <c r="J140" s="48" t="n">
        <v>57990</v>
      </c>
      <c r="K140" s="47">
        <f t="array" ref="K140">_xlfn.XLOOKUP(1,(참조!$B$2:$B$15=E140)*(참조!$D$2:$D$15=C140)*(참조!$E$2:$E$15=D140),참조!$C$2:$C$15,"")</f>
        <v/>
      </c>
    </row>
    <row r="141" hidden="1" s="27">
      <c r="A141" s="47" t="inlineStr">
        <is>
          <t>티플러스</t>
        </is>
      </c>
      <c r="B141" s="47" t="inlineStr">
        <is>
          <t>완전마음껏 100GB＋＋(CU 20%)_12개월할인</t>
        </is>
      </c>
      <c r="C141" s="47" t="inlineStr">
        <is>
          <t>무제한</t>
        </is>
      </c>
      <c r="D141" s="47" t="inlineStr">
        <is>
          <t>무제한</t>
        </is>
      </c>
      <c r="E141" s="47" t="inlineStr">
        <is>
          <t>월 100GB + 5Mbps</t>
        </is>
      </c>
      <c r="F141" s="47" t="inlineStr">
        <is>
          <t>KT</t>
        </is>
      </c>
      <c r="G141" s="47" t="inlineStr">
        <is>
          <t>LTE</t>
        </is>
      </c>
      <c r="H141" s="48" t="n">
        <v>21900</v>
      </c>
      <c r="I141" s="48" t="n">
        <v>12</v>
      </c>
      <c r="J141" s="48" t="n">
        <v>48400</v>
      </c>
      <c r="K141" s="47">
        <f t="array" ref="K141">_xlfn.XLOOKUP(1,(참조!$B$2:$B$15=E141)*(참조!$D$2:$D$15=C141)*(참조!$E$2:$E$15=D141),참조!$C$2:$C$15,"")</f>
        <v/>
      </c>
    </row>
    <row r="142" hidden="1" s="27">
      <c r="A142" s="47" t="inlineStr">
        <is>
          <t>U+유모바일</t>
        </is>
      </c>
      <c r="B142" s="47" t="inlineStr">
        <is>
          <t>데이터 플러스 15GB(평생 +10GB 추가 제공 프로모션)</t>
        </is>
      </c>
      <c r="C142" s="47" t="inlineStr">
        <is>
          <t>무제한</t>
        </is>
      </c>
      <c r="D142" s="47" t="inlineStr">
        <is>
          <t>무제한</t>
        </is>
      </c>
      <c r="E142" s="47" t="inlineStr">
        <is>
          <t>월 25GB + 1Mbps</t>
        </is>
      </c>
      <c r="F142" s="47" t="inlineStr">
        <is>
          <t>LG U+</t>
        </is>
      </c>
      <c r="G142" s="47" t="inlineStr">
        <is>
          <t>LTE</t>
        </is>
      </c>
      <c r="H142" s="48" t="n">
        <v>21900</v>
      </c>
      <c r="I142" s="48" t="n"/>
      <c r="J142" s="48" t="n"/>
      <c r="K142" s="47">
        <f t="array" ref="K142">_xlfn.XLOOKUP(1,(참조!$B$2:$B$15=E142)*(참조!$D$2:$D$15=C142)*(참조!$E$2:$E$15=D142),참조!$C$2:$C$15,"")</f>
        <v/>
      </c>
    </row>
    <row r="143">
      <c r="A143" s="47" t="inlineStr">
        <is>
          <t>찬스모바일</t>
        </is>
      </c>
      <c r="B143" s="47" t="inlineStr">
        <is>
          <t>음성기본 11GB+일 2GB+</t>
        </is>
      </c>
      <c r="C143" s="47" t="inlineStr">
        <is>
          <t>무제한</t>
        </is>
      </c>
      <c r="D143" s="47" t="inlineStr">
        <is>
          <t>무제한</t>
        </is>
      </c>
      <c r="E143" s="47" t="inlineStr">
        <is>
          <t>월 11GB + 매일 2GB + 3Mbps</t>
        </is>
      </c>
      <c r="F143" s="47" t="inlineStr">
        <is>
          <t>LG U+</t>
        </is>
      </c>
      <c r="G143" s="47" t="inlineStr">
        <is>
          <t>LTE</t>
        </is>
      </c>
      <c r="H143" s="48" t="n">
        <v>21698</v>
      </c>
      <c r="I143" s="48" t="n">
        <v>12</v>
      </c>
      <c r="J143" s="48" t="n">
        <v>39600</v>
      </c>
      <c r="K143" s="47">
        <f t="array" ref="K143">_xlfn.XLOOKUP(1,(참조!$B$2:$B$15=E143)*(참조!$D$2:$D$15=C143)*(참조!$E$2:$E$15=D143),참조!$C$2:$C$15,"")</f>
        <v/>
      </c>
    </row>
    <row r="144" hidden="1" s="27">
      <c r="A144" s="47" t="inlineStr">
        <is>
          <t>슈가모바일</t>
        </is>
      </c>
      <c r="B144" s="47" t="inlineStr">
        <is>
          <t>5G Sugar 세이브+(300분/15GB)</t>
        </is>
      </c>
      <c r="C144" s="47" t="inlineStr">
        <is>
          <t>300분</t>
        </is>
      </c>
      <c r="D144" s="47" t="inlineStr">
        <is>
          <t>300건</t>
        </is>
      </c>
      <c r="E144" s="47" t="inlineStr">
        <is>
          <t>월 15GB + 1Mbps</t>
        </is>
      </c>
      <c r="F144" s="47" t="inlineStr">
        <is>
          <t>LG U+</t>
        </is>
      </c>
      <c r="G144" s="47" t="inlineStr">
        <is>
          <t>5G</t>
        </is>
      </c>
      <c r="H144" s="48" t="n">
        <v>12900</v>
      </c>
      <c r="I144" s="48" t="n"/>
      <c r="J144" s="48" t="n"/>
      <c r="K144" s="47">
        <f t="array" ref="K144">_xlfn.XLOOKUP(1,(참조!$B$2:$B$15=E144)*(참조!$D$2:$D$15=C144)*(참조!$E$2:$E$15=D144),참조!$C$2:$C$15,"")</f>
        <v/>
      </c>
    </row>
    <row r="145" hidden="1" s="27">
      <c r="A145" s="47" t="inlineStr">
        <is>
          <t>마블링</t>
        </is>
      </c>
      <c r="B145" s="47" t="inlineStr">
        <is>
          <t>[모요only] 마블링 무제한 11GB+</t>
        </is>
      </c>
      <c r="C145" s="47" t="inlineStr">
        <is>
          <t>무제한</t>
        </is>
      </c>
      <c r="D145" s="47" t="inlineStr">
        <is>
          <t>무제한</t>
        </is>
      </c>
      <c r="E145" s="47" t="inlineStr">
        <is>
          <t>월 11GB + 매일 2GB + 3Mbps</t>
        </is>
      </c>
      <c r="F145" s="47" t="inlineStr">
        <is>
          <t>LG U+</t>
        </is>
      </c>
      <c r="G145" s="47" t="inlineStr">
        <is>
          <t>LTE</t>
        </is>
      </c>
      <c r="H145" s="48" t="n">
        <v>21698</v>
      </c>
      <c r="I145" s="48" t="n">
        <v>12</v>
      </c>
      <c r="J145" s="48" t="n">
        <v>38900</v>
      </c>
      <c r="K145" s="47">
        <f t="array" ref="K145">_xlfn.XLOOKUP(1,(참조!$B$2:$B$15=E145)*(참조!$D$2:$D$15=C145)*(참조!$E$2:$E$15=D145),참조!$C$2:$C$15,"")</f>
        <v/>
      </c>
    </row>
    <row r="146" hidden="1" s="27">
      <c r="A146" s="47" t="inlineStr">
        <is>
          <t>모나</t>
        </is>
      </c>
      <c r="B146" s="47" t="inlineStr">
        <is>
          <t>모나400분4.5G</t>
        </is>
      </c>
      <c r="C146" s="47" t="inlineStr">
        <is>
          <t>400분</t>
        </is>
      </c>
      <c r="D146" s="47" t="inlineStr">
        <is>
          <t>200건</t>
        </is>
      </c>
      <c r="E146" s="47" t="inlineStr">
        <is>
          <t>월 4.5GB</t>
        </is>
      </c>
      <c r="F146" s="47" t="inlineStr">
        <is>
          <t>LG U+</t>
        </is>
      </c>
      <c r="G146" s="47" t="inlineStr">
        <is>
          <t>LTE</t>
        </is>
      </c>
      <c r="H146" s="48" t="n">
        <v>10</v>
      </c>
      <c r="I146" s="48" t="n">
        <v>12</v>
      </c>
      <c r="J146" s="48" t="n">
        <v>25300</v>
      </c>
      <c r="K146" s="47">
        <f t="array" ref="K146">_xlfn.XLOOKUP(1,(참조!$B$2:$B$15=E146)*(참조!$D$2:$D$15=C146)*(참조!$E$2:$E$15=D146),참조!$C$2:$C$15,"")</f>
        <v/>
      </c>
    </row>
    <row r="147" hidden="1" s="27">
      <c r="A147" s="47" t="inlineStr">
        <is>
          <t>더원모바일</t>
        </is>
      </c>
      <c r="B147" s="47" t="inlineStr">
        <is>
          <t>TOP 11GB 기본 (올리브영)</t>
        </is>
      </c>
      <c r="C147" s="47" t="inlineStr">
        <is>
          <t>무제한</t>
        </is>
      </c>
      <c r="D147" s="47" t="inlineStr">
        <is>
          <t>무제한</t>
        </is>
      </c>
      <c r="E147" s="47" t="inlineStr">
        <is>
          <t>월 11GB + 매일 2GB + 3Mbps</t>
        </is>
      </c>
      <c r="F147" s="47" t="inlineStr">
        <is>
          <t>KT</t>
        </is>
      </c>
      <c r="G147" s="47" t="inlineStr">
        <is>
          <t>LTE</t>
        </is>
      </c>
      <c r="H147" s="48" t="n">
        <v>18700</v>
      </c>
      <c r="I147" s="48" t="n">
        <v>12</v>
      </c>
      <c r="J147" s="48" t="n">
        <v>40700</v>
      </c>
      <c r="K147" s="47">
        <f t="array" ref="K147">_xlfn.XLOOKUP(1,(참조!$B$2:$B$15=E147)*(참조!$D$2:$D$15=C147)*(참조!$E$2:$E$15=D147),참조!$C$2:$C$15,"")</f>
        <v/>
      </c>
    </row>
    <row r="148" hidden="1" s="27">
      <c r="A148" s="47" t="inlineStr">
        <is>
          <t>핀다이렉트</t>
        </is>
      </c>
      <c r="B148" s="47" t="inlineStr">
        <is>
          <t>[L] DIGITAL DETOX 7GB 챌린지</t>
        </is>
      </c>
      <c r="C148" s="47" t="inlineStr">
        <is>
          <t>100분</t>
        </is>
      </c>
      <c r="D148" s="47" t="inlineStr">
        <is>
          <t>100건</t>
        </is>
      </c>
      <c r="E148" s="47" t="inlineStr">
        <is>
          <t>월 7GB</t>
        </is>
      </c>
      <c r="F148" s="47" t="inlineStr">
        <is>
          <t>LG U+</t>
        </is>
      </c>
      <c r="G148" s="47" t="inlineStr">
        <is>
          <t>LTE</t>
        </is>
      </c>
      <c r="H148" s="48" t="n">
        <v>10</v>
      </c>
      <c r="I148" s="48" t="n">
        <v>12</v>
      </c>
      <c r="J148" s="48" t="n">
        <v>17600</v>
      </c>
      <c r="K148" s="47">
        <f t="array" ref="K148">_xlfn.XLOOKUP(1,(참조!$B$2:$B$15=E148)*(참조!$D$2:$D$15=C148)*(참조!$E$2:$E$15=D148),참조!$C$2:$C$15,"")</f>
        <v/>
      </c>
    </row>
    <row r="149">
      <c r="A149" s="47" t="inlineStr">
        <is>
          <t>티플러스</t>
        </is>
      </c>
      <c r="B149" s="47" t="inlineStr">
        <is>
          <t>완전마음껏 100GB＋＋(밀리의서재)_12개월할인</t>
        </is>
      </c>
      <c r="C149" s="47" t="inlineStr">
        <is>
          <t>무제한</t>
        </is>
      </c>
      <c r="D149" s="47" t="inlineStr">
        <is>
          <t>무제한</t>
        </is>
      </c>
      <c r="E149" s="47" t="inlineStr">
        <is>
          <t>월 100GB + 5Mbps</t>
        </is>
      </c>
      <c r="F149" s="47" t="inlineStr">
        <is>
          <t>KT</t>
        </is>
      </c>
      <c r="G149" s="47" t="inlineStr">
        <is>
          <t>LTE</t>
        </is>
      </c>
      <c r="H149" s="48" t="n">
        <v>21900</v>
      </c>
      <c r="I149" s="48" t="n">
        <v>12</v>
      </c>
      <c r="J149" s="48" t="n">
        <v>48400</v>
      </c>
      <c r="K149" s="47">
        <f t="array" ref="K149">_xlfn.XLOOKUP(1,(참조!$B$2:$B$15=E149)*(참조!$D$2:$D$15=C149)*(참조!$E$2:$E$15=D149),참조!$C$2:$C$15,"")</f>
        <v/>
      </c>
    </row>
    <row r="150" hidden="1" s="27">
      <c r="A150" s="47" t="inlineStr">
        <is>
          <t>U+유모바일</t>
        </is>
      </c>
      <c r="B150" s="47" t="inlineStr">
        <is>
          <t>[다이소 12만] 7GB(+10GB 추가 제공 프로모션)</t>
        </is>
      </c>
      <c r="C150" s="47" t="inlineStr">
        <is>
          <t>무제한</t>
        </is>
      </c>
      <c r="D150" s="47" t="inlineStr">
        <is>
          <t>무제한</t>
        </is>
      </c>
      <c r="E150" s="47" t="inlineStr">
        <is>
          <t>월 17GB + 1Mbps</t>
        </is>
      </c>
      <c r="F150" s="47" t="inlineStr">
        <is>
          <t>LG U+</t>
        </is>
      </c>
      <c r="G150" s="47" t="inlineStr">
        <is>
          <t>LTE</t>
        </is>
      </c>
      <c r="H150" s="48" t="n">
        <v>19700</v>
      </c>
      <c r="I150" s="48" t="n"/>
      <c r="J150" s="48" t="n"/>
      <c r="K150" s="47">
        <f t="array" ref="K150">_xlfn.XLOOKUP(1,(참조!$B$2:$B$15=E150)*(참조!$D$2:$D$15=C150)*(참조!$E$2:$E$15=D150),참조!$C$2:$C$15,"")</f>
        <v/>
      </c>
    </row>
    <row r="151" hidden="1" s="27">
      <c r="A151" s="47" t="inlineStr">
        <is>
          <t>KT엠모바일</t>
        </is>
      </c>
      <c r="B151" s="47" t="inlineStr">
        <is>
          <t>통화 맘껏 25GB</t>
        </is>
      </c>
      <c r="C151" s="47" t="inlineStr">
        <is>
          <t>무제한</t>
        </is>
      </c>
      <c r="D151" s="47" t="inlineStr">
        <is>
          <t>무제한</t>
        </is>
      </c>
      <c r="E151" s="47" t="inlineStr">
        <is>
          <t>월 25GB</t>
        </is>
      </c>
      <c r="F151" s="47" t="inlineStr">
        <is>
          <t>KT</t>
        </is>
      </c>
      <c r="G151" s="47" t="inlineStr">
        <is>
          <t>LTE</t>
        </is>
      </c>
      <c r="H151" s="48" t="n">
        <v>16400</v>
      </c>
      <c r="I151" s="48" t="n"/>
      <c r="J151" s="48" t="n"/>
      <c r="K151" s="47">
        <f t="array" ref="K151">_xlfn.XLOOKUP(1,(참조!$B$2:$B$15=E151)*(참조!$D$2:$D$15=C151)*(참조!$E$2:$E$15=D151),참조!$C$2:$C$15,"")</f>
        <v/>
      </c>
    </row>
    <row r="152" hidden="1" s="27">
      <c r="A152" s="47" t="inlineStr">
        <is>
          <t>KG모바일</t>
        </is>
      </c>
      <c r="B152" s="47" t="inlineStr">
        <is>
          <t>[평생할인] 데이터 마음대로 (15GB+/100분)</t>
        </is>
      </c>
      <c r="C152" s="47" t="inlineStr">
        <is>
          <t>100분</t>
        </is>
      </c>
      <c r="D152" s="47" t="inlineStr">
        <is>
          <t>100건</t>
        </is>
      </c>
      <c r="E152" s="47" t="inlineStr">
        <is>
          <t>월 15GB + 3Mbps</t>
        </is>
      </c>
      <c r="F152" s="47" t="inlineStr">
        <is>
          <t>LG U+</t>
        </is>
      </c>
      <c r="G152" s="47" t="inlineStr">
        <is>
          <t>LTE</t>
        </is>
      </c>
      <c r="H152" s="48" t="n">
        <v>22100</v>
      </c>
      <c r="I152" s="48" t="n"/>
      <c r="J152" s="48" t="n"/>
      <c r="K152" s="47">
        <f t="array" ref="K152">_xlfn.XLOOKUP(1,(참조!$B$2:$B$15=E152)*(참조!$D$2:$D$15=C152)*(참조!$E$2:$E$15=D152),참조!$C$2:$C$15,"")</f>
        <v/>
      </c>
    </row>
    <row r="153" hidden="1" s="27">
      <c r="A153" s="47" t="inlineStr">
        <is>
          <t>모나</t>
        </is>
      </c>
      <c r="B153" s="47" t="inlineStr">
        <is>
          <t>모나기본5G안심1</t>
        </is>
      </c>
      <c r="C153" s="47" t="inlineStr">
        <is>
          <t>무제한</t>
        </is>
      </c>
      <c r="D153" s="47" t="inlineStr">
        <is>
          <t>무제한</t>
        </is>
      </c>
      <c r="E153" s="47" t="inlineStr">
        <is>
          <t>월 5GB + 1Mbps</t>
        </is>
      </c>
      <c r="F153" s="47" t="inlineStr">
        <is>
          <t>LG U+</t>
        </is>
      </c>
      <c r="G153" s="47" t="inlineStr">
        <is>
          <t>LTE</t>
        </is>
      </c>
      <c r="H153" s="48" t="n">
        <v>10</v>
      </c>
      <c r="I153" s="48" t="n">
        <v>6</v>
      </c>
      <c r="J153" s="48" t="n">
        <v>33000</v>
      </c>
      <c r="K153" s="47">
        <f t="array" ref="K153">_xlfn.XLOOKUP(1,(참조!$B$2:$B$15=E153)*(참조!$D$2:$D$15=C153)*(참조!$E$2:$E$15=D153),참조!$C$2:$C$15,"")</f>
        <v/>
      </c>
    </row>
    <row r="154" hidden="1" s="27">
      <c r="A154" s="47" t="inlineStr">
        <is>
          <t>쉐이크모바일</t>
        </is>
      </c>
      <c r="B154" s="47" t="inlineStr">
        <is>
          <t>[모요only] 쉐이크 LTE 100GB+_밀리의서재</t>
        </is>
      </c>
      <c r="C154" s="47" t="inlineStr">
        <is>
          <t>무제한</t>
        </is>
      </c>
      <c r="D154" s="47" t="inlineStr">
        <is>
          <t>무제한</t>
        </is>
      </c>
      <c r="E154" s="47" t="inlineStr">
        <is>
          <t>월 100GB + 5Mbps</t>
        </is>
      </c>
      <c r="F154" s="47" t="inlineStr">
        <is>
          <t>KT</t>
        </is>
      </c>
      <c r="G154" s="47" t="inlineStr">
        <is>
          <t>LTE</t>
        </is>
      </c>
      <c r="H154" s="48" t="n">
        <v>22000</v>
      </c>
      <c r="I154" s="48" t="n">
        <v>12</v>
      </c>
      <c r="J154" s="48" t="n">
        <v>45100</v>
      </c>
      <c r="K154" s="47">
        <f t="array" ref="K154">_xlfn.XLOOKUP(1,(참조!$B$2:$B$15=E154)*(참조!$D$2:$D$15=C154)*(참조!$E$2:$E$15=D154),참조!$C$2:$C$15,"")</f>
        <v/>
      </c>
    </row>
    <row r="155" hidden="1" s="27">
      <c r="A155" s="47" t="inlineStr">
        <is>
          <t>KG모바일</t>
        </is>
      </c>
      <c r="B155" s="47" t="inlineStr">
        <is>
          <t>[일반] 실속 5G 15GB+/300분</t>
        </is>
      </c>
      <c r="C155" s="47" t="inlineStr">
        <is>
          <t>300분</t>
        </is>
      </c>
      <c r="D155" s="47" t="inlineStr">
        <is>
          <t>300건</t>
        </is>
      </c>
      <c r="E155" s="47" t="inlineStr">
        <is>
          <t>월 15GB + 1Mbps</t>
        </is>
      </c>
      <c r="F155" s="47" t="inlineStr">
        <is>
          <t>LG U+</t>
        </is>
      </c>
      <c r="G155" s="47" t="inlineStr">
        <is>
          <t>5G</t>
        </is>
      </c>
      <c r="H155" s="48" t="n">
        <v>12000</v>
      </c>
      <c r="I155" s="48" t="n">
        <v>12</v>
      </c>
      <c r="J155" s="48" t="n">
        <v>25300</v>
      </c>
      <c r="K155" s="47">
        <f t="array" ref="K155">_xlfn.XLOOKUP(1,(참조!$B$2:$B$15=E155)*(참조!$D$2:$D$15=C155)*(참조!$E$2:$E$15=D155),참조!$C$2:$C$15,"")</f>
        <v/>
      </c>
    </row>
    <row r="156" hidden="1" s="27">
      <c r="A156" s="47" t="inlineStr">
        <is>
          <t>모나</t>
        </is>
      </c>
      <c r="B156" s="47" t="inlineStr">
        <is>
          <t>코나아이데이터100G+5M</t>
        </is>
      </c>
      <c r="C156" s="47" t="inlineStr">
        <is>
          <t>무제한</t>
        </is>
      </c>
      <c r="D156" s="47" t="inlineStr">
        <is>
          <t>무제한</t>
        </is>
      </c>
      <c r="E156" s="47" t="inlineStr">
        <is>
          <t>월 100GB + 5Mbps</t>
        </is>
      </c>
      <c r="F156" s="47" t="inlineStr">
        <is>
          <t>LG U+</t>
        </is>
      </c>
      <c r="G156" s="47" t="inlineStr">
        <is>
          <t>LTE</t>
        </is>
      </c>
      <c r="H156" s="48" t="n">
        <v>32900</v>
      </c>
      <c r="I156" s="48" t="n"/>
      <c r="J156" s="48" t="n"/>
      <c r="K156" s="47">
        <f t="array" ref="K156">_xlfn.XLOOKUP(1,(참조!$B$2:$B$15=E156)*(참조!$D$2:$D$15=C156)*(참조!$E$2:$E$15=D156),참조!$C$2:$C$15,"")</f>
        <v/>
      </c>
    </row>
    <row r="157" hidden="1" s="27">
      <c r="A157" s="47" t="inlineStr">
        <is>
          <t>KT스카이라이프</t>
        </is>
      </c>
      <c r="B157" s="47" t="inlineStr">
        <is>
          <t>슬림 3GB/300분</t>
        </is>
      </c>
      <c r="C157" s="47" t="inlineStr">
        <is>
          <t>300분</t>
        </is>
      </c>
      <c r="D157" s="47" t="inlineStr">
        <is>
          <t>300건</t>
        </is>
      </c>
      <c r="E157" s="47" t="inlineStr">
        <is>
          <t>월 3GB</t>
        </is>
      </c>
      <c r="F157" s="47" t="inlineStr">
        <is>
          <t>KT</t>
        </is>
      </c>
      <c r="G157" s="47" t="inlineStr">
        <is>
          <t>LTE</t>
        </is>
      </c>
      <c r="H157" s="48" t="n">
        <v>5900</v>
      </c>
      <c r="I157" s="48" t="n"/>
      <c r="J157" s="48" t="n"/>
      <c r="K157" s="47">
        <f t="array" ref="K157">_xlfn.XLOOKUP(1,(참조!$B$2:$B$15=E157)*(참조!$D$2:$D$15=C157)*(참조!$E$2:$E$15=D157),참조!$C$2:$C$15,"")</f>
        <v/>
      </c>
    </row>
    <row r="158" hidden="1" s="27">
      <c r="A158" s="47" t="inlineStr">
        <is>
          <t>티플러스</t>
        </is>
      </c>
      <c r="B158" s="47" t="inlineStr">
        <is>
          <t>가성비플러스(6GB/350분)_평생요금</t>
        </is>
      </c>
      <c r="C158" s="47" t="inlineStr">
        <is>
          <t>350분</t>
        </is>
      </c>
      <c r="D158" s="47" t="inlineStr">
        <is>
          <t>100건</t>
        </is>
      </c>
      <c r="E158" s="47" t="inlineStr">
        <is>
          <t>월 6GB</t>
        </is>
      </c>
      <c r="F158" s="47" t="inlineStr">
        <is>
          <t>KT</t>
        </is>
      </c>
      <c r="G158" s="47" t="inlineStr">
        <is>
          <t>LTE</t>
        </is>
      </c>
      <c r="H158" s="48" t="n">
        <v>1900</v>
      </c>
      <c r="I158" s="48" t="n"/>
      <c r="J158" s="48" t="n"/>
      <c r="K158" s="47">
        <f t="array" ref="K158">_xlfn.XLOOKUP(1,(참조!$B$2:$B$15=E158)*(참조!$D$2:$D$15=C158)*(참조!$E$2:$E$15=D158),참조!$C$2:$C$15,"")</f>
        <v/>
      </c>
    </row>
    <row r="159" hidden="1" s="27">
      <c r="A159" s="47" t="inlineStr">
        <is>
          <t>슈가모바일</t>
        </is>
      </c>
      <c r="B159" s="47" t="inlineStr">
        <is>
          <t>5G 슈가통화마음대로 95GB+</t>
        </is>
      </c>
      <c r="C159" s="47" t="inlineStr">
        <is>
          <t>무제한</t>
        </is>
      </c>
      <c r="D159" s="47" t="inlineStr">
        <is>
          <t>무제한</t>
        </is>
      </c>
      <c r="E159" s="47" t="inlineStr">
        <is>
          <t>월 95GB + 3Mbps</t>
        </is>
      </c>
      <c r="F159" s="47" t="inlineStr">
        <is>
          <t>LG U+</t>
        </is>
      </c>
      <c r="G159" s="47" t="inlineStr">
        <is>
          <t>5G</t>
        </is>
      </c>
      <c r="H159" s="48" t="n">
        <v>10900</v>
      </c>
      <c r="I159" s="48" t="n">
        <v>7</v>
      </c>
      <c r="J159" s="48" t="n">
        <v>50050</v>
      </c>
      <c r="K159" s="47">
        <f t="array" ref="K159">_xlfn.XLOOKUP(1,(참조!$B$2:$B$15=E159)*(참조!$D$2:$D$15=C159)*(참조!$E$2:$E$15=D159),참조!$C$2:$C$15,"")</f>
        <v/>
      </c>
    </row>
    <row r="160" hidden="1" s="27">
      <c r="A160" s="47" t="inlineStr">
        <is>
          <t>더원모바일</t>
        </is>
      </c>
      <c r="B160" s="47" t="inlineStr">
        <is>
          <t>TOP 11GB 기본 (다이소)</t>
        </is>
      </c>
      <c r="C160" s="47" t="inlineStr">
        <is>
          <t>무제한</t>
        </is>
      </c>
      <c r="D160" s="47" t="inlineStr">
        <is>
          <t>무제한</t>
        </is>
      </c>
      <c r="E160" s="47" t="inlineStr">
        <is>
          <t>월 11GB + 매일 2GB + 3Mbps</t>
        </is>
      </c>
      <c r="F160" s="47" t="inlineStr">
        <is>
          <t>KT</t>
        </is>
      </c>
      <c r="G160" s="47" t="inlineStr">
        <is>
          <t>LTE</t>
        </is>
      </c>
      <c r="H160" s="48" t="n">
        <v>18700</v>
      </c>
      <c r="I160" s="48" t="n">
        <v>12</v>
      </c>
      <c r="J160" s="48" t="n">
        <v>40700</v>
      </c>
      <c r="K160" s="47">
        <f t="array" ref="K160">_xlfn.XLOOKUP(1,(참조!$B$2:$B$15=E160)*(참조!$D$2:$D$15=C160)*(참조!$E$2:$E$15=D160),참조!$C$2:$C$15,"")</f>
        <v/>
      </c>
    </row>
    <row r="161" hidden="1" s="27">
      <c r="A161" s="47" t="inlineStr">
        <is>
          <t>티플러스</t>
        </is>
      </c>
      <c r="B161" s="47" t="inlineStr">
        <is>
          <t>가성비플러스(10GB/350분)</t>
        </is>
      </c>
      <c r="C161" s="47" t="inlineStr">
        <is>
          <t>350분</t>
        </is>
      </c>
      <c r="D161" s="47" t="inlineStr">
        <is>
          <t>100건</t>
        </is>
      </c>
      <c r="E161" s="47" t="inlineStr">
        <is>
          <t>월 10GB</t>
        </is>
      </c>
      <c r="F161" s="47" t="inlineStr">
        <is>
          <t>KT</t>
        </is>
      </c>
      <c r="G161" s="47" t="inlineStr">
        <is>
          <t>LTE</t>
        </is>
      </c>
      <c r="H161" s="48" t="n">
        <v>10</v>
      </c>
      <c r="I161" s="48" t="n">
        <v>7</v>
      </c>
      <c r="J161" s="48" t="n">
        <v>15400</v>
      </c>
      <c r="K161" s="47">
        <f t="array" ref="K161">_xlfn.XLOOKUP(1,(참조!$B$2:$B$15=E161)*(참조!$D$2:$D$15=C161)*(참조!$E$2:$E$15=D161),참조!$C$2:$C$15,"")</f>
        <v/>
      </c>
    </row>
    <row r="162" hidden="1" s="27">
      <c r="A162" s="47" t="inlineStr">
        <is>
          <t>슈가모바일</t>
        </is>
      </c>
      <c r="B162" s="47" t="inlineStr">
        <is>
          <t>Sugar 통화마음대로 5GB+</t>
        </is>
      </c>
      <c r="C162" s="47" t="inlineStr">
        <is>
          <t>무제한</t>
        </is>
      </c>
      <c r="D162" s="47" t="inlineStr">
        <is>
          <t>무제한</t>
        </is>
      </c>
      <c r="E162" s="47" t="inlineStr">
        <is>
          <t>월 5GB + 1Mbps</t>
        </is>
      </c>
      <c r="F162" s="47" t="inlineStr">
        <is>
          <t>LG U+</t>
        </is>
      </c>
      <c r="G162" s="47" t="inlineStr">
        <is>
          <t>LTE</t>
        </is>
      </c>
      <c r="H162" s="48" t="n">
        <v>10</v>
      </c>
      <c r="I162" s="48" t="n">
        <v>6</v>
      </c>
      <c r="J162" s="48" t="n">
        <v>19500</v>
      </c>
      <c r="K162" s="47">
        <f t="array" ref="K162">_xlfn.XLOOKUP(1,(참조!$B$2:$B$15=E162)*(참조!$D$2:$D$15=C162)*(참조!$E$2:$E$15=D162),참조!$C$2:$C$15,"")</f>
        <v/>
      </c>
    </row>
    <row r="163" hidden="1" s="27">
      <c r="A163" s="47" t="inlineStr">
        <is>
          <t>슈가모바일</t>
        </is>
      </c>
      <c r="B163" s="47" t="inlineStr">
        <is>
          <t>5G 슈가(Sugar)통화마음대로 150GB++</t>
        </is>
      </c>
      <c r="C163" s="47" t="inlineStr">
        <is>
          <t>무제한</t>
        </is>
      </c>
      <c r="D163" s="47" t="inlineStr">
        <is>
          <t>무제한</t>
        </is>
      </c>
      <c r="E163" s="47" t="inlineStr">
        <is>
          <t>월 150GB + 5Mbps</t>
        </is>
      </c>
      <c r="F163" s="47" t="inlineStr">
        <is>
          <t>LG U+</t>
        </is>
      </c>
      <c r="G163" s="47" t="inlineStr">
        <is>
          <t>5G</t>
        </is>
      </c>
      <c r="H163" s="48" t="n">
        <v>28700</v>
      </c>
      <c r="I163" s="48" t="n"/>
      <c r="J163" s="48" t="n"/>
      <c r="K163" s="47">
        <f t="array" ref="K163">_xlfn.XLOOKUP(1,(참조!$B$2:$B$15=E163)*(참조!$D$2:$D$15=C163)*(참조!$E$2:$E$15=D163),참조!$C$2:$C$15,"")</f>
        <v/>
      </c>
    </row>
    <row r="164">
      <c r="A164" s="47" t="inlineStr">
        <is>
          <t>찬스모바일</t>
        </is>
      </c>
      <c r="B164" s="47" t="inlineStr">
        <is>
          <t>[CHM] 음성 100분 6GB</t>
        </is>
      </c>
      <c r="C164" s="47" t="inlineStr">
        <is>
          <t>100분</t>
        </is>
      </c>
      <c r="D164" s="47" t="inlineStr">
        <is>
          <t>100건</t>
        </is>
      </c>
      <c r="E164" s="47" t="inlineStr">
        <is>
          <t>월 6GB</t>
        </is>
      </c>
      <c r="F164" s="47" t="inlineStr">
        <is>
          <t>LG U+</t>
        </is>
      </c>
      <c r="G164" s="47" t="inlineStr">
        <is>
          <t>LTE</t>
        </is>
      </c>
      <c r="H164" s="48" t="n">
        <v>10</v>
      </c>
      <c r="I164" s="48" t="n">
        <v>6</v>
      </c>
      <c r="J164" s="48" t="n">
        <v>3850</v>
      </c>
      <c r="K164" s="47">
        <f t="array" ref="K164">_xlfn.XLOOKUP(1,(참조!$B$2:$B$15=E164)*(참조!$D$2:$D$15=C164)*(참조!$E$2:$E$15=D164),참조!$C$2:$C$15,"")</f>
        <v/>
      </c>
    </row>
    <row r="165" hidden="1" s="27">
      <c r="A165" s="47" t="inlineStr">
        <is>
          <t>찬스모바일</t>
        </is>
      </c>
      <c r="B165" s="47" t="inlineStr">
        <is>
          <t>5G 음성기본 150GB+5Mbps_24개월</t>
        </is>
      </c>
      <c r="C165" s="47" t="inlineStr">
        <is>
          <t>무제한</t>
        </is>
      </c>
      <c r="D165" s="47" t="inlineStr">
        <is>
          <t>무제한</t>
        </is>
      </c>
      <c r="E165" s="47" t="inlineStr">
        <is>
          <t>월 150GB + 5Mbps</t>
        </is>
      </c>
      <c r="F165" s="47" t="inlineStr">
        <is>
          <t>LG U+</t>
        </is>
      </c>
      <c r="G165" s="47" t="inlineStr">
        <is>
          <t>5G</t>
        </is>
      </c>
      <c r="H165" s="48" t="n">
        <v>25400</v>
      </c>
      <c r="I165" s="48" t="n">
        <v>24</v>
      </c>
      <c r="J165" s="48" t="n">
        <v>58300</v>
      </c>
      <c r="K165" s="47">
        <f t="array" ref="K165">_xlfn.XLOOKUP(1,(참조!$B$2:$B$15=E165)*(참조!$D$2:$D$15=C165)*(참조!$E$2:$E$15=D165),참조!$C$2:$C$15,"")</f>
        <v/>
      </c>
    </row>
    <row r="166" hidden="1" s="27">
      <c r="A166" s="47" t="inlineStr">
        <is>
          <t>이야기모바일</t>
        </is>
      </c>
      <c r="B166" s="47" t="inlineStr">
        <is>
          <t>함께이야기해S(300분+10GB)</t>
        </is>
      </c>
      <c r="C166" s="47" t="inlineStr">
        <is>
          <t>300분</t>
        </is>
      </c>
      <c r="D166" s="47" t="inlineStr">
        <is>
          <t>100건</t>
        </is>
      </c>
      <c r="E166" s="47" t="inlineStr">
        <is>
          <t>월 10GB</t>
        </is>
      </c>
      <c r="F166" s="47" t="inlineStr">
        <is>
          <t>SKT</t>
        </is>
      </c>
      <c r="G166" s="47" t="inlineStr">
        <is>
          <t>LTE</t>
        </is>
      </c>
      <c r="H166" s="48" t="n">
        <v>3300</v>
      </c>
      <c r="I166" s="48" t="n">
        <v>24</v>
      </c>
      <c r="J166" s="48" t="n">
        <v>9900</v>
      </c>
      <c r="K166" s="47">
        <f t="array" ref="K166">_xlfn.XLOOKUP(1,(참조!$B$2:$B$15=E166)*(참조!$D$2:$D$15=C166)*(참조!$E$2:$E$15=D166),참조!$C$2:$C$15,"")</f>
        <v/>
      </c>
    </row>
    <row r="167" hidden="1" s="27">
      <c r="A167" s="47" t="inlineStr">
        <is>
          <t>고고모바일</t>
        </is>
      </c>
      <c r="B167" s="47" t="inlineStr">
        <is>
          <t>[모요only] LTE 200분/ 10GB</t>
        </is>
      </c>
      <c r="C167" s="47" t="inlineStr">
        <is>
          <t>200분</t>
        </is>
      </c>
      <c r="D167" s="47" t="inlineStr">
        <is>
          <t>100건</t>
        </is>
      </c>
      <c r="E167" s="47" t="inlineStr">
        <is>
          <t>월 10GB</t>
        </is>
      </c>
      <c r="F167" s="47" t="inlineStr">
        <is>
          <t>KT</t>
        </is>
      </c>
      <c r="G167" s="47" t="inlineStr">
        <is>
          <t>LTE</t>
        </is>
      </c>
      <c r="H167" s="48" t="n">
        <v>10</v>
      </c>
      <c r="I167" s="48" t="n">
        <v>7</v>
      </c>
      <c r="J167" s="48" t="n">
        <v>18480</v>
      </c>
      <c r="K167" s="47">
        <f t="array" ref="K167">_xlfn.XLOOKUP(1,(참조!$B$2:$B$15=E167)*(참조!$D$2:$D$15=C167)*(참조!$E$2:$E$15=D167),참조!$C$2:$C$15,"")</f>
        <v/>
      </c>
    </row>
    <row r="168" hidden="1" s="27">
      <c r="A168" s="47" t="inlineStr">
        <is>
          <t>U+유모바일</t>
        </is>
      </c>
      <c r="B168" s="47" t="inlineStr">
        <is>
          <t>[평생할인] 5G 3GB/통화기본</t>
        </is>
      </c>
      <c r="C168" s="47" t="inlineStr">
        <is>
          <t>무제한</t>
        </is>
      </c>
      <c r="D168" s="47" t="inlineStr">
        <is>
          <t>무제한</t>
        </is>
      </c>
      <c r="E168" s="47" t="inlineStr">
        <is>
          <t>월 3GB</t>
        </is>
      </c>
      <c r="F168" s="47" t="inlineStr">
        <is>
          <t>LG U+</t>
        </is>
      </c>
      <c r="G168" s="47" t="inlineStr">
        <is>
          <t>5G</t>
        </is>
      </c>
      <c r="H168" s="48" t="n">
        <v>6900</v>
      </c>
      <c r="I168" s="48" t="n"/>
      <c r="J168" s="48" t="n"/>
      <c r="K168" s="47">
        <f t="array" ref="K168">_xlfn.XLOOKUP(1,(참조!$B$2:$B$15=E168)*(참조!$D$2:$D$15=C168)*(참조!$E$2:$E$15=D168),참조!$C$2:$C$15,"")</f>
        <v/>
      </c>
    </row>
    <row r="169" hidden="1" s="27">
      <c r="A169" s="47" t="inlineStr">
        <is>
          <t>티플러스</t>
        </is>
      </c>
      <c r="B169" s="47" t="inlineStr">
        <is>
          <t>5G 가성비플러스(15GB/350분)_평생요금</t>
        </is>
      </c>
      <c r="C169" s="47" t="inlineStr">
        <is>
          <t>350분</t>
        </is>
      </c>
      <c r="D169" s="47" t="inlineStr">
        <is>
          <t>100건</t>
        </is>
      </c>
      <c r="E169" s="47" t="inlineStr">
        <is>
          <t>월 15GB</t>
        </is>
      </c>
      <c r="F169" s="47" t="inlineStr">
        <is>
          <t>KT</t>
        </is>
      </c>
      <c r="G169" s="47" t="inlineStr">
        <is>
          <t>5G</t>
        </is>
      </c>
      <c r="H169" s="48" t="n">
        <v>7500</v>
      </c>
      <c r="I169" s="48" t="n"/>
      <c r="J169" s="48" t="n"/>
      <c r="K169" s="47">
        <f t="array" ref="K169">_xlfn.XLOOKUP(1,(참조!$B$2:$B$15=E169)*(참조!$D$2:$D$15=C169)*(참조!$E$2:$E$15=D169),참조!$C$2:$C$15,"")</f>
        <v/>
      </c>
    </row>
    <row r="170" hidden="1" s="27">
      <c r="A170" s="47" t="inlineStr">
        <is>
          <t>고고모바일</t>
        </is>
      </c>
      <c r="B170" s="47" t="inlineStr">
        <is>
          <t>[모요only] 5G 200분/10GB</t>
        </is>
      </c>
      <c r="C170" s="47" t="inlineStr">
        <is>
          <t>200분</t>
        </is>
      </c>
      <c r="D170" s="47" t="inlineStr">
        <is>
          <t>100건</t>
        </is>
      </c>
      <c r="E170" s="47" t="inlineStr">
        <is>
          <t>월 10GB</t>
        </is>
      </c>
      <c r="F170" s="47" t="inlineStr">
        <is>
          <t>KT</t>
        </is>
      </c>
      <c r="G170" s="47" t="inlineStr">
        <is>
          <t>5G</t>
        </is>
      </c>
      <c r="H170" s="48" t="n">
        <v>10</v>
      </c>
      <c r="I170" s="48" t="n">
        <v>7</v>
      </c>
      <c r="J170" s="48" t="n">
        <v>18700</v>
      </c>
      <c r="K170" s="47">
        <f t="array" ref="K170">_xlfn.XLOOKUP(1,(참조!$B$2:$B$15=E170)*(참조!$D$2:$D$15=C170)*(참조!$E$2:$E$15=D170),참조!$C$2:$C$15,"")</f>
        <v/>
      </c>
    </row>
    <row r="171" hidden="1" s="27">
      <c r="A171" s="47" t="inlineStr">
        <is>
          <t>찬스모바일</t>
        </is>
      </c>
      <c r="B171" s="47" t="inlineStr">
        <is>
          <t>[5G] 100분5G</t>
        </is>
      </c>
      <c r="C171" s="47" t="inlineStr">
        <is>
          <t>100분</t>
        </is>
      </c>
      <c r="D171" s="47" t="inlineStr">
        <is>
          <t>50건</t>
        </is>
      </c>
      <c r="E171" s="47" t="inlineStr">
        <is>
          <t>월 5GB</t>
        </is>
      </c>
      <c r="F171" s="47" t="inlineStr">
        <is>
          <t>LG U+</t>
        </is>
      </c>
      <c r="G171" s="47" t="inlineStr">
        <is>
          <t>5G</t>
        </is>
      </c>
      <c r="H171" s="48" t="n">
        <v>10</v>
      </c>
      <c r="I171" s="48" t="n">
        <v>6</v>
      </c>
      <c r="J171" s="48" t="n">
        <v>7700</v>
      </c>
      <c r="K171" s="47">
        <f t="array" ref="K171">_xlfn.XLOOKUP(1,(참조!$B$2:$B$15=E171)*(참조!$D$2:$D$15=C171)*(참조!$E$2:$E$15=D171),참조!$C$2:$C$15,"")</f>
        <v/>
      </c>
    </row>
    <row r="172" hidden="1" s="27">
      <c r="A172" s="47" t="inlineStr">
        <is>
          <t>찬스모바일</t>
        </is>
      </c>
      <c r="B172" s="47" t="inlineStr">
        <is>
          <t>[CHM] 알찬 실속 데이터7G</t>
        </is>
      </c>
      <c r="C172" s="47" t="inlineStr">
        <is>
          <t>250분</t>
        </is>
      </c>
      <c r="D172" s="47" t="inlineStr">
        <is>
          <t>100건</t>
        </is>
      </c>
      <c r="E172" s="47" t="inlineStr">
        <is>
          <t>월 7GB</t>
        </is>
      </c>
      <c r="F172" s="47" t="inlineStr">
        <is>
          <t>LG U+</t>
        </is>
      </c>
      <c r="G172" s="47" t="inlineStr">
        <is>
          <t>LTE</t>
        </is>
      </c>
      <c r="H172" s="48" t="n">
        <v>10</v>
      </c>
      <c r="I172" s="48" t="n">
        <v>6</v>
      </c>
      <c r="J172" s="48" t="n">
        <v>12100</v>
      </c>
      <c r="K172" s="47">
        <f t="array" ref="K172">_xlfn.XLOOKUP(1,(참조!$B$2:$B$15=E172)*(참조!$D$2:$D$15=C172)*(참조!$E$2:$E$15=D172),참조!$C$2:$C$15,"")</f>
        <v/>
      </c>
    </row>
    <row r="173" hidden="1" s="27">
      <c r="A173" s="47" t="inlineStr">
        <is>
          <t>LG헬로모바일</t>
        </is>
      </c>
      <c r="B173" s="47" t="inlineStr">
        <is>
          <t>CU 유심 1.5GB 150분</t>
        </is>
      </c>
      <c r="C173" s="47" t="inlineStr">
        <is>
          <t>150분</t>
        </is>
      </c>
      <c r="D173" s="47" t="inlineStr">
        <is>
          <t>150건</t>
        </is>
      </c>
      <c r="E173" s="47" t="inlineStr">
        <is>
          <t>월 1.5GB</t>
        </is>
      </c>
      <c r="F173" s="47" t="inlineStr">
        <is>
          <t>LG U+</t>
        </is>
      </c>
      <c r="G173" s="47" t="inlineStr">
        <is>
          <t>LTE</t>
        </is>
      </c>
      <c r="H173" s="48" t="n">
        <v>900</v>
      </c>
      <c r="I173" s="48" t="n">
        <v>6</v>
      </c>
      <c r="J173" s="48" t="n">
        <v>5900</v>
      </c>
      <c r="K173" s="47">
        <f t="array" ref="K173">_xlfn.XLOOKUP(1,(참조!$B$2:$B$15=E173)*(참조!$D$2:$D$15=C173)*(참조!$E$2:$E$15=D173),참조!$C$2:$C$15,"")</f>
        <v/>
      </c>
    </row>
    <row r="174" hidden="1" s="27">
      <c r="A174" s="47" t="inlineStr">
        <is>
          <t>더원모바일</t>
        </is>
      </c>
      <c r="B174" s="47" t="inlineStr">
        <is>
          <t>TOP 100GB 기본 (쿠팡캐시)</t>
        </is>
      </c>
      <c r="C174" s="47" t="inlineStr">
        <is>
          <t>무제한</t>
        </is>
      </c>
      <c r="D174" s="47" t="inlineStr">
        <is>
          <t>무제한</t>
        </is>
      </c>
      <c r="E174" s="47" t="inlineStr">
        <is>
          <t>월 100GB + 5Mbps</t>
        </is>
      </c>
      <c r="F174" s="47" t="inlineStr">
        <is>
          <t>KT</t>
        </is>
      </c>
      <c r="G174" s="47" t="inlineStr">
        <is>
          <t>LTE</t>
        </is>
      </c>
      <c r="H174" s="48" t="n">
        <v>22990</v>
      </c>
      <c r="I174" s="48" t="n">
        <v>12</v>
      </c>
      <c r="J174" s="48" t="n">
        <v>46200</v>
      </c>
      <c r="K174" s="47">
        <f t="array" ref="K174">_xlfn.XLOOKUP(1,(참조!$B$2:$B$15=E174)*(참조!$D$2:$D$15=C174)*(참조!$E$2:$E$15=D174),참조!$C$2:$C$15,"")</f>
        <v/>
      </c>
    </row>
    <row r="175" hidden="1" s="27">
      <c r="A175" s="47" t="inlineStr">
        <is>
          <t>티플러스</t>
        </is>
      </c>
      <c r="B175" s="47" t="inlineStr">
        <is>
          <t>가성비플러스(5GB/350분)</t>
        </is>
      </c>
      <c r="C175" s="47" t="inlineStr">
        <is>
          <t>350분</t>
        </is>
      </c>
      <c r="D175" s="47" t="inlineStr">
        <is>
          <t>100건</t>
        </is>
      </c>
      <c r="E175" s="47" t="inlineStr">
        <is>
          <t>월 5GB</t>
        </is>
      </c>
      <c r="F175" s="47" t="inlineStr">
        <is>
          <t>KT</t>
        </is>
      </c>
      <c r="G175" s="47" t="inlineStr">
        <is>
          <t>LTE</t>
        </is>
      </c>
      <c r="H175" s="48" t="n">
        <v>10</v>
      </c>
      <c r="I175" s="48" t="n">
        <v>6</v>
      </c>
      <c r="J175" s="48" t="n">
        <v>8800</v>
      </c>
      <c r="K175" s="47">
        <f t="array" ref="K175">_xlfn.XLOOKUP(1,(참조!$B$2:$B$15=E175)*(참조!$D$2:$D$15=C175)*(참조!$E$2:$E$15=D175),참조!$C$2:$C$15,"")</f>
        <v/>
      </c>
    </row>
    <row r="176" hidden="1" s="27">
      <c r="A176" s="47" t="inlineStr">
        <is>
          <t>티플러스</t>
        </is>
      </c>
      <c r="B176" s="47" t="inlineStr">
        <is>
          <t>5G 가성비플러스(5GB/350분)</t>
        </is>
      </c>
      <c r="C176" s="47" t="inlineStr">
        <is>
          <t>350분</t>
        </is>
      </c>
      <c r="D176" s="47" t="inlineStr">
        <is>
          <t>100건</t>
        </is>
      </c>
      <c r="E176" s="47" t="inlineStr">
        <is>
          <t>월 5GB</t>
        </is>
      </c>
      <c r="F176" s="47" t="inlineStr">
        <is>
          <t>KT</t>
        </is>
      </c>
      <c r="G176" s="47" t="inlineStr">
        <is>
          <t>5G</t>
        </is>
      </c>
      <c r="H176" s="48" t="n">
        <v>10</v>
      </c>
      <c r="I176" s="48" t="n">
        <v>6</v>
      </c>
      <c r="J176" s="48" t="n">
        <v>8800</v>
      </c>
      <c r="K176" s="47">
        <f t="array" ref="K176">_xlfn.XLOOKUP(1,(참조!$B$2:$B$15=E176)*(참조!$D$2:$D$15=C176)*(참조!$E$2:$E$15=D176),참조!$C$2:$C$15,"")</f>
        <v/>
      </c>
    </row>
    <row r="177" hidden="1" s="27">
      <c r="A177" s="47" t="inlineStr">
        <is>
          <t>티플러스</t>
        </is>
      </c>
      <c r="B177" s="47" t="inlineStr">
        <is>
          <t>가성비플러스(30GB/350분)_12개월할인</t>
        </is>
      </c>
      <c r="C177" s="47" t="inlineStr">
        <is>
          <t>350분</t>
        </is>
      </c>
      <c r="D177" s="47" t="inlineStr">
        <is>
          <t>100건</t>
        </is>
      </c>
      <c r="E177" s="47" t="inlineStr">
        <is>
          <t>월 30GB</t>
        </is>
      </c>
      <c r="F177" s="47" t="inlineStr">
        <is>
          <t>KT</t>
        </is>
      </c>
      <c r="G177" s="47" t="inlineStr">
        <is>
          <t>LTE</t>
        </is>
      </c>
      <c r="H177" s="48" t="n">
        <v>10900</v>
      </c>
      <c r="I177" s="48" t="n">
        <v>12</v>
      </c>
      <c r="J177" s="48" t="n">
        <v>39600</v>
      </c>
      <c r="K177" s="47">
        <f t="array" ref="K177">_xlfn.XLOOKUP(1,(참조!$B$2:$B$15=E177)*(참조!$D$2:$D$15=C177)*(참조!$E$2:$E$15=D177),참조!$C$2:$C$15,"")</f>
        <v/>
      </c>
    </row>
    <row r="178" hidden="1" s="27">
      <c r="A178" s="47" t="inlineStr">
        <is>
          <t>이야기모바일</t>
        </is>
      </c>
      <c r="B178" s="47" t="inlineStr">
        <is>
          <t>요금걱정 제로 이야기 4.5GB+</t>
        </is>
      </c>
      <c r="C178" s="47" t="inlineStr">
        <is>
          <t>무제한</t>
        </is>
      </c>
      <c r="D178" s="47" t="inlineStr">
        <is>
          <t>무제한</t>
        </is>
      </c>
      <c r="E178" s="47" t="inlineStr">
        <is>
          <t>월 4.5GB + 1Mbps</t>
        </is>
      </c>
      <c r="F178" s="47" t="inlineStr">
        <is>
          <t>LG U+</t>
        </is>
      </c>
      <c r="G178" s="47" t="inlineStr">
        <is>
          <t>LTE</t>
        </is>
      </c>
      <c r="H178" s="48" t="n">
        <v>990</v>
      </c>
      <c r="I178" s="48" t="n">
        <v>12</v>
      </c>
      <c r="J178" s="48" t="n">
        <v>9900</v>
      </c>
      <c r="K178" s="47">
        <f t="array" ref="K178">_xlfn.XLOOKUP(1,(참조!$B$2:$B$15=E178)*(참조!$D$2:$D$15=C178)*(참조!$E$2:$E$15=D178),참조!$C$2:$C$15,"")</f>
        <v/>
      </c>
    </row>
    <row r="179">
      <c r="A179" s="47" t="inlineStr">
        <is>
          <t>이야기모바일</t>
        </is>
      </c>
      <c r="B179" s="47" t="inlineStr">
        <is>
          <t>이야기 6GB 100분</t>
        </is>
      </c>
      <c r="C179" s="47" t="inlineStr">
        <is>
          <t>100분</t>
        </is>
      </c>
      <c r="D179" s="47" t="inlineStr">
        <is>
          <t>100건</t>
        </is>
      </c>
      <c r="E179" s="47" t="inlineStr">
        <is>
          <t>월 6GB</t>
        </is>
      </c>
      <c r="F179" s="47" t="inlineStr">
        <is>
          <t>LG U+</t>
        </is>
      </c>
      <c r="G179" s="47" t="inlineStr">
        <is>
          <t>LTE</t>
        </is>
      </c>
      <c r="H179" s="48" t="n">
        <v>10</v>
      </c>
      <c r="I179" s="48" t="n">
        <v>6</v>
      </c>
      <c r="J179" s="48" t="n">
        <v>5500</v>
      </c>
      <c r="K179" s="47">
        <f t="array" ref="K179">_xlfn.XLOOKUP(1,(참조!$B$2:$B$15=E179)*(참조!$D$2:$D$15=C179)*(참조!$E$2:$E$15=D179),참조!$C$2:$C$15,"")</f>
        <v/>
      </c>
    </row>
    <row r="180" hidden="1" s="27">
      <c r="A180" s="47" t="inlineStr">
        <is>
          <t>핀다이렉트</t>
        </is>
      </c>
      <c r="B180" s="47" t="inlineStr">
        <is>
          <t>[모요only] [K] 핀다이렉트 Speed 10GB/200분</t>
        </is>
      </c>
      <c r="C180" s="47" t="inlineStr">
        <is>
          <t>200분</t>
        </is>
      </c>
      <c r="D180" s="47" t="inlineStr">
        <is>
          <t>100건</t>
        </is>
      </c>
      <c r="E180" s="47" t="inlineStr">
        <is>
          <t>월 10GB</t>
        </is>
      </c>
      <c r="F180" s="47" t="inlineStr">
        <is>
          <t>KT</t>
        </is>
      </c>
      <c r="G180" s="47" t="inlineStr">
        <is>
          <t>5G</t>
        </is>
      </c>
      <c r="H180" s="48" t="n">
        <v>10</v>
      </c>
      <c r="I180" s="48" t="n">
        <v>7</v>
      </c>
      <c r="J180" s="48" t="n">
        <v>9900</v>
      </c>
      <c r="K180" s="47">
        <f t="array" ref="K180">_xlfn.XLOOKUP(1,(참조!$B$2:$B$15=E180)*(참조!$D$2:$D$15=C180)*(참조!$E$2:$E$15=D180),참조!$C$2:$C$15,"")</f>
        <v/>
      </c>
    </row>
    <row r="181" hidden="1" s="27">
      <c r="A181" s="47" t="inlineStr">
        <is>
          <t>스마텔</t>
        </is>
      </c>
      <c r="B181" s="47" t="inlineStr">
        <is>
          <t>스위트 11GB+(밀리의서재)</t>
        </is>
      </c>
      <c r="C181" s="47" t="inlineStr">
        <is>
          <t>무제한</t>
        </is>
      </c>
      <c r="D181" s="47" t="inlineStr">
        <is>
          <t>무제한</t>
        </is>
      </c>
      <c r="E181" s="47" t="inlineStr">
        <is>
          <t>월 11GB + 매일 2GB + 3Mbps</t>
        </is>
      </c>
      <c r="F181" s="47" t="inlineStr">
        <is>
          <t>KT</t>
        </is>
      </c>
      <c r="G181" s="47" t="inlineStr">
        <is>
          <t>LTE</t>
        </is>
      </c>
      <c r="H181" s="48" t="n">
        <v>22500</v>
      </c>
      <c r="I181" s="48" t="n">
        <v>12</v>
      </c>
      <c r="J181" s="48" t="n">
        <v>41800</v>
      </c>
      <c r="K181" s="47">
        <f t="array" ref="K181">_xlfn.XLOOKUP(1,(참조!$B$2:$B$15=E181)*(참조!$D$2:$D$15=C181)*(참조!$E$2:$E$15=D181),참조!$C$2:$C$15,"")</f>
        <v/>
      </c>
    </row>
    <row r="182" hidden="1" s="27">
      <c r="A182" s="47" t="inlineStr">
        <is>
          <t>KT엠모바일</t>
        </is>
      </c>
      <c r="B182" s="47" t="inlineStr">
        <is>
          <t>모두다 맘껏 안심 30GB+</t>
        </is>
      </c>
      <c r="C182" s="47" t="inlineStr">
        <is>
          <t>무제한</t>
        </is>
      </c>
      <c r="D182" s="47" t="inlineStr">
        <is>
          <t>무제한</t>
        </is>
      </c>
      <c r="E182" s="47" t="inlineStr">
        <is>
          <t>월 30GB + 400Kbps</t>
        </is>
      </c>
      <c r="F182" s="47" t="inlineStr">
        <is>
          <t>KT</t>
        </is>
      </c>
      <c r="G182" s="47" t="inlineStr">
        <is>
          <t>LTE</t>
        </is>
      </c>
      <c r="H182" s="48" t="n">
        <v>20400</v>
      </c>
      <c r="I182" s="48" t="n"/>
      <c r="J182" s="48" t="n"/>
      <c r="K182" s="47">
        <f t="array" ref="K182">_xlfn.XLOOKUP(1,(참조!$B$2:$B$15=E182)*(참조!$D$2:$D$15=C182)*(참조!$E$2:$E$15=D182),참조!$C$2:$C$15,"")</f>
        <v/>
      </c>
    </row>
    <row r="183" hidden="1" s="27">
      <c r="A183" s="47" t="inlineStr">
        <is>
          <t>이지모바일</t>
        </is>
      </c>
      <c r="B183" s="47" t="inlineStr">
        <is>
          <t>이지 데이터 10GB</t>
        </is>
      </c>
      <c r="C183" s="47" t="inlineStr">
        <is>
          <t>300분</t>
        </is>
      </c>
      <c r="D183" s="47" t="inlineStr">
        <is>
          <t>100건</t>
        </is>
      </c>
      <c r="E183" s="47" t="inlineStr">
        <is>
          <t>월 10GB</t>
        </is>
      </c>
      <c r="F183" s="47" t="inlineStr">
        <is>
          <t>LG U+</t>
        </is>
      </c>
      <c r="G183" s="47" t="inlineStr">
        <is>
          <t>LTE</t>
        </is>
      </c>
      <c r="H183" s="48" t="n">
        <v>10</v>
      </c>
      <c r="I183" s="48" t="n">
        <v>6</v>
      </c>
      <c r="J183" s="48" t="n">
        <v>19800</v>
      </c>
      <c r="K183" s="47">
        <f t="array" ref="K183">_xlfn.XLOOKUP(1,(참조!$B$2:$B$15=E183)*(참조!$D$2:$D$15=C183)*(참조!$E$2:$E$15=D183),참조!$C$2:$C$15,"")</f>
        <v/>
      </c>
    </row>
    <row r="184" hidden="1" s="27">
      <c r="A184" s="47" t="inlineStr">
        <is>
          <t>KT스카이라이프</t>
        </is>
      </c>
      <c r="B184" s="47" t="inlineStr">
        <is>
          <t>통화 충분 20GB</t>
        </is>
      </c>
      <c r="C184" s="47" t="inlineStr">
        <is>
          <t>무제한</t>
        </is>
      </c>
      <c r="D184" s="47" t="inlineStr">
        <is>
          <t>무제한</t>
        </is>
      </c>
      <c r="E184" s="47" t="inlineStr">
        <is>
          <t>월 20GB</t>
        </is>
      </c>
      <c r="F184" s="47" t="inlineStr">
        <is>
          <t>KT</t>
        </is>
      </c>
      <c r="G184" s="47" t="inlineStr">
        <is>
          <t>LTE</t>
        </is>
      </c>
      <c r="H184" s="48" t="n">
        <v>20100</v>
      </c>
      <c r="I184" s="48" t="n"/>
      <c r="J184" s="48" t="n"/>
      <c r="K184" s="47">
        <f t="array" ref="K184">_xlfn.XLOOKUP(1,(참조!$B$2:$B$15=E184)*(참조!$D$2:$D$15=C184)*(참조!$E$2:$E$15=D184),참조!$C$2:$C$15,"")</f>
        <v/>
      </c>
    </row>
    <row r="185" hidden="1" s="27">
      <c r="A185" s="47" t="inlineStr">
        <is>
          <t>모나</t>
        </is>
      </c>
      <c r="B185" s="47" t="inlineStr">
        <is>
          <t>모나300분11G</t>
        </is>
      </c>
      <c r="C185" s="47" t="inlineStr">
        <is>
          <t>300분</t>
        </is>
      </c>
      <c r="D185" s="47" t="inlineStr">
        <is>
          <t>200건</t>
        </is>
      </c>
      <c r="E185" s="47" t="inlineStr">
        <is>
          <t>월 11GB</t>
        </is>
      </c>
      <c r="F185" s="47" t="inlineStr">
        <is>
          <t>LG U+</t>
        </is>
      </c>
      <c r="G185" s="47" t="inlineStr">
        <is>
          <t>LTE</t>
        </is>
      </c>
      <c r="H185" s="48" t="n">
        <v>10</v>
      </c>
      <c r="I185" s="48" t="n">
        <v>7</v>
      </c>
      <c r="J185" s="48" t="n">
        <v>33000</v>
      </c>
      <c r="K185" s="47">
        <f t="array" ref="K185">_xlfn.XLOOKUP(1,(참조!$B$2:$B$15=E185)*(참조!$D$2:$D$15=C185)*(참조!$E$2:$E$15=D185),참조!$C$2:$C$15,"")</f>
        <v/>
      </c>
    </row>
    <row r="186" hidden="1" s="27">
      <c r="A186" s="47" t="inlineStr">
        <is>
          <t>LG헬로모바일</t>
        </is>
      </c>
      <c r="B186" s="47" t="inlineStr">
        <is>
          <t>5G 유심 통화 맘편히 3GB</t>
        </is>
      </c>
      <c r="C186" s="47" t="inlineStr">
        <is>
          <t>무제한</t>
        </is>
      </c>
      <c r="D186" s="47" t="inlineStr">
        <is>
          <t>무제한</t>
        </is>
      </c>
      <c r="E186" s="47" t="inlineStr">
        <is>
          <t>월 3GB</t>
        </is>
      </c>
      <c r="F186" s="47" t="inlineStr">
        <is>
          <t>LG U+</t>
        </is>
      </c>
      <c r="G186" s="47" t="inlineStr">
        <is>
          <t>5G</t>
        </is>
      </c>
      <c r="H186" s="48" t="n">
        <v>2990</v>
      </c>
      <c r="I186" s="48" t="n">
        <v>6</v>
      </c>
      <c r="J186" s="48" t="n">
        <v>7990</v>
      </c>
      <c r="K186" s="47">
        <f t="array" ref="K186">_xlfn.XLOOKUP(1,(참조!$B$2:$B$15=E186)*(참조!$D$2:$D$15=C186)*(참조!$E$2:$E$15=D186),참조!$C$2:$C$15,"")</f>
        <v/>
      </c>
    </row>
    <row r="187" hidden="1" s="27">
      <c r="A187" s="47" t="inlineStr">
        <is>
          <t>티플러스</t>
        </is>
      </c>
      <c r="B187" s="47" t="inlineStr">
        <is>
          <t>KT 100GB+ (CU 매월 20%+올리브영 매월 5천원 상품권!)</t>
        </is>
      </c>
      <c r="C187" s="47" t="inlineStr">
        <is>
          <t>무제한</t>
        </is>
      </c>
      <c r="D187" s="47" t="inlineStr">
        <is>
          <t>무제한</t>
        </is>
      </c>
      <c r="E187" s="47" t="inlineStr">
        <is>
          <t>월 100GB + 5Mbps</t>
        </is>
      </c>
      <c r="F187" s="47" t="inlineStr">
        <is>
          <t>KT</t>
        </is>
      </c>
      <c r="G187" s="47" t="inlineStr">
        <is>
          <t>LTE</t>
        </is>
      </c>
      <c r="H187" s="48" t="n">
        <v>8900</v>
      </c>
      <c r="I187" s="48" t="n">
        <v>7</v>
      </c>
      <c r="J187" s="48" t="n">
        <v>48400</v>
      </c>
      <c r="K187" s="47">
        <f t="array" ref="K187">_xlfn.XLOOKUP(1,(참조!$B$2:$B$15=E187)*(참조!$D$2:$D$15=C187)*(참조!$E$2:$E$15=D187),참조!$C$2:$C$15,"")</f>
        <v/>
      </c>
    </row>
    <row r="188" hidden="1" s="27">
      <c r="A188" s="47" t="inlineStr">
        <is>
          <t>이야기모바일</t>
        </is>
      </c>
      <c r="B188" s="47" t="inlineStr">
        <is>
          <t>함께이야기해S 무한 20GB</t>
        </is>
      </c>
      <c r="C188" s="47" t="inlineStr">
        <is>
          <t>무제한</t>
        </is>
      </c>
      <c r="D188" s="47" t="inlineStr">
        <is>
          <t>무제한</t>
        </is>
      </c>
      <c r="E188" s="47" t="inlineStr">
        <is>
          <t>월 20GB</t>
        </is>
      </c>
      <c r="F188" s="47" t="inlineStr">
        <is>
          <t>SKT</t>
        </is>
      </c>
      <c r="G188" s="47" t="inlineStr">
        <is>
          <t>LTE</t>
        </is>
      </c>
      <c r="H188" s="48" t="n">
        <v>6600</v>
      </c>
      <c r="I188" s="48" t="n">
        <v>12</v>
      </c>
      <c r="J188" s="48" t="n">
        <v>16500</v>
      </c>
      <c r="K188" s="47">
        <f t="array" ref="K188">_xlfn.XLOOKUP(1,(참조!$B$2:$B$15=E188)*(참조!$D$2:$D$15=C188)*(참조!$E$2:$E$15=D188),참조!$C$2:$C$15,"")</f>
        <v/>
      </c>
    </row>
    <row r="189" hidden="1" s="27">
      <c r="A189" s="47" t="inlineStr">
        <is>
          <t>슈가모바일</t>
        </is>
      </c>
      <c r="B189" s="47" t="inlineStr">
        <is>
          <t>5G 슈가(Sugar)통화마음대로 125GB++</t>
        </is>
      </c>
      <c r="C189" s="47" t="inlineStr">
        <is>
          <t>무제한</t>
        </is>
      </c>
      <c r="D189" s="47" t="inlineStr">
        <is>
          <t>무제한</t>
        </is>
      </c>
      <c r="E189" s="47" t="inlineStr">
        <is>
          <t>월 125GB + 5Mbps</t>
        </is>
      </c>
      <c r="F189" s="47" t="inlineStr">
        <is>
          <t>LG U+</t>
        </is>
      </c>
      <c r="G189" s="47" t="inlineStr">
        <is>
          <t>5G</t>
        </is>
      </c>
      <c r="H189" s="48" t="n">
        <v>28300</v>
      </c>
      <c r="I189" s="48" t="n"/>
      <c r="J189" s="48" t="n"/>
      <c r="K189" s="47">
        <f t="array" ref="K189">_xlfn.XLOOKUP(1,(참조!$B$2:$B$15=E189)*(참조!$D$2:$D$15=C189)*(참조!$E$2:$E$15=D189),참조!$C$2:$C$15,"")</f>
        <v/>
      </c>
    </row>
    <row r="190" hidden="1" s="27">
      <c r="A190" s="47" t="inlineStr">
        <is>
          <t>이지모바일</t>
        </is>
      </c>
      <c r="B190" s="47" t="inlineStr">
        <is>
          <t>이지 데이터 6G</t>
        </is>
      </c>
      <c r="C190" s="47" t="inlineStr">
        <is>
          <t>200분</t>
        </is>
      </c>
      <c r="D190" s="47" t="inlineStr">
        <is>
          <t>100건</t>
        </is>
      </c>
      <c r="E190" s="47" t="inlineStr">
        <is>
          <t>월 6GB</t>
        </is>
      </c>
      <c r="F190" s="47" t="inlineStr">
        <is>
          <t>LG U+</t>
        </is>
      </c>
      <c r="G190" s="47" t="inlineStr">
        <is>
          <t>LTE</t>
        </is>
      </c>
      <c r="H190" s="48" t="n">
        <v>10</v>
      </c>
      <c r="I190" s="48" t="n">
        <v>6</v>
      </c>
      <c r="J190" s="48" t="n">
        <v>14300</v>
      </c>
      <c r="K190" s="47">
        <f t="array" ref="K190">_xlfn.XLOOKUP(1,(참조!$B$2:$B$15=E190)*(참조!$D$2:$D$15=C190)*(참조!$E$2:$E$15=D190),참조!$C$2:$C$15,"")</f>
        <v/>
      </c>
    </row>
    <row r="191" hidden="1" s="27">
      <c r="A191" s="47" t="inlineStr">
        <is>
          <t>더원모바일</t>
        </is>
      </c>
      <c r="B191" s="47" t="inlineStr">
        <is>
          <t>TOP 11GB 기본 (웨이브 광고형)</t>
        </is>
      </c>
      <c r="C191" s="47" t="inlineStr">
        <is>
          <t>무제한</t>
        </is>
      </c>
      <c r="D191" s="47" t="inlineStr">
        <is>
          <t>무제한</t>
        </is>
      </c>
      <c r="E191" s="47" t="inlineStr">
        <is>
          <t>월 11GB + 매일 2GB + 3Mbps</t>
        </is>
      </c>
      <c r="F191" s="47" t="inlineStr">
        <is>
          <t>KT</t>
        </is>
      </c>
      <c r="G191" s="47" t="inlineStr">
        <is>
          <t>LTE</t>
        </is>
      </c>
      <c r="H191" s="48" t="n">
        <v>18700</v>
      </c>
      <c r="I191" s="48" t="n">
        <v>12</v>
      </c>
      <c r="J191" s="48" t="n">
        <v>40700</v>
      </c>
      <c r="K191" s="47">
        <f t="array" ref="K191">_xlfn.XLOOKUP(1,(참조!$B$2:$B$15=E191)*(참조!$D$2:$D$15=C191)*(참조!$E$2:$E$15=D191),참조!$C$2:$C$15,"")</f>
        <v/>
      </c>
    </row>
    <row r="192" hidden="1" s="27">
      <c r="A192" s="47" t="inlineStr">
        <is>
          <t>찬스모바일</t>
        </is>
      </c>
      <c r="B192" s="47" t="inlineStr">
        <is>
          <t>음성기본 4.5GB+</t>
        </is>
      </c>
      <c r="C192" s="47" t="inlineStr">
        <is>
          <t>무제한</t>
        </is>
      </c>
      <c r="D192" s="47" t="inlineStr">
        <is>
          <t>무제한</t>
        </is>
      </c>
      <c r="E192" s="47" t="inlineStr">
        <is>
          <t>월 4.5GB + 1Mbps</t>
        </is>
      </c>
      <c r="F192" s="47" t="inlineStr">
        <is>
          <t>LG U+</t>
        </is>
      </c>
      <c r="G192" s="47" t="inlineStr">
        <is>
          <t>LTE</t>
        </is>
      </c>
      <c r="H192" s="48" t="n">
        <v>10</v>
      </c>
      <c r="I192" s="48" t="n">
        <v>6</v>
      </c>
      <c r="J192" s="48" t="n">
        <v>16390</v>
      </c>
      <c r="K192" s="47">
        <f t="array" ref="K192">_xlfn.XLOOKUP(1,(참조!$B$2:$B$15=E192)*(참조!$D$2:$D$15=C192)*(참조!$E$2:$E$15=D192),참조!$C$2:$C$15,"")</f>
        <v/>
      </c>
    </row>
    <row r="193" hidden="1" s="27">
      <c r="A193" s="47" t="inlineStr">
        <is>
          <t>더원모바일</t>
        </is>
      </c>
      <c r="B193" s="47" t="inlineStr">
        <is>
          <t>TOP 5G 110GB 기본 (올리브영)</t>
        </is>
      </c>
      <c r="C193" s="47" t="inlineStr">
        <is>
          <t>무제한</t>
        </is>
      </c>
      <c r="D193" s="47" t="inlineStr">
        <is>
          <t>무제한</t>
        </is>
      </c>
      <c r="E193" s="47" t="inlineStr">
        <is>
          <t>월 110GB + 5Mbps</t>
        </is>
      </c>
      <c r="F193" s="47" t="inlineStr">
        <is>
          <t>KT</t>
        </is>
      </c>
      <c r="G193" s="47" t="inlineStr">
        <is>
          <t>5G</t>
        </is>
      </c>
      <c r="H193" s="48" t="n">
        <v>26400</v>
      </c>
      <c r="I193" s="48" t="n">
        <v>12</v>
      </c>
      <c r="J193" s="48" t="n">
        <v>47300</v>
      </c>
      <c r="K193" s="47">
        <f t="array" ref="K193">_xlfn.XLOOKUP(1,(참조!$B$2:$B$15=E193)*(참조!$D$2:$D$15=C193)*(참조!$E$2:$E$15=D193),참조!$C$2:$C$15,"")</f>
        <v/>
      </c>
    </row>
    <row r="194" hidden="1" s="27">
      <c r="A194" s="47" t="inlineStr">
        <is>
          <t>핀다이렉트</t>
        </is>
      </c>
      <c r="B194" s="47" t="inlineStr">
        <is>
          <t>[L] 핀다이렉트 Speed 10GB/200분</t>
        </is>
      </c>
      <c r="C194" s="47" t="inlineStr">
        <is>
          <t>200분</t>
        </is>
      </c>
      <c r="D194" s="47" t="inlineStr">
        <is>
          <t>100건</t>
        </is>
      </c>
      <c r="E194" s="47" t="inlineStr">
        <is>
          <t>월 10GB</t>
        </is>
      </c>
      <c r="F194" s="47" t="inlineStr">
        <is>
          <t>LG U+</t>
        </is>
      </c>
      <c r="G194" s="47" t="inlineStr">
        <is>
          <t>5G</t>
        </is>
      </c>
      <c r="H194" s="48" t="n">
        <v>10</v>
      </c>
      <c r="I194" s="48" t="n">
        <v>7</v>
      </c>
      <c r="J194" s="48" t="n">
        <v>9900</v>
      </c>
      <c r="K194" s="47">
        <f t="array" ref="K194">_xlfn.XLOOKUP(1,(참조!$B$2:$B$15=E194)*(참조!$D$2:$D$15=C194)*(참조!$E$2:$E$15=D194),참조!$C$2:$C$15,"")</f>
        <v/>
      </c>
    </row>
    <row r="195" hidden="1" s="27">
      <c r="A195" s="47" t="inlineStr">
        <is>
          <t>KG모바일</t>
        </is>
      </c>
      <c r="B195" s="47" t="inlineStr">
        <is>
          <t>[평생할인] 유심 5G 95GB+</t>
        </is>
      </c>
      <c r="C195" s="47" t="inlineStr">
        <is>
          <t>무제한</t>
        </is>
      </c>
      <c r="D195" s="47" t="inlineStr">
        <is>
          <t>무제한</t>
        </is>
      </c>
      <c r="E195" s="47" t="inlineStr">
        <is>
          <t>월 95GB + 3Mbps</t>
        </is>
      </c>
      <c r="F195" s="47" t="inlineStr">
        <is>
          <t>LG U+</t>
        </is>
      </c>
      <c r="G195" s="47" t="inlineStr">
        <is>
          <t>5G</t>
        </is>
      </c>
      <c r="H195" s="48" t="n">
        <v>33500</v>
      </c>
      <c r="I195" s="48" t="n"/>
      <c r="J195" s="48" t="n"/>
      <c r="K195" s="47">
        <f t="array" ref="K195">_xlfn.XLOOKUP(1,(참조!$B$2:$B$15=E195)*(참조!$D$2:$D$15=C195)*(참조!$E$2:$E$15=D195),참조!$C$2:$C$15,"")</f>
        <v/>
      </c>
    </row>
    <row r="196" hidden="1" s="27">
      <c r="A196" s="47" t="inlineStr">
        <is>
          <t>더원모바일</t>
        </is>
      </c>
      <c r="B196" s="47" t="inlineStr">
        <is>
          <t>TOP 5G 110GB 기본 (다이소)</t>
        </is>
      </c>
      <c r="C196" s="47" t="inlineStr">
        <is>
          <t>무제한</t>
        </is>
      </c>
      <c r="D196" s="47" t="inlineStr">
        <is>
          <t>무제한</t>
        </is>
      </c>
      <c r="E196" s="47" t="inlineStr">
        <is>
          <t>월 110GB + 5Mbps</t>
        </is>
      </c>
      <c r="F196" s="47" t="inlineStr">
        <is>
          <t>KT</t>
        </is>
      </c>
      <c r="G196" s="47" t="inlineStr">
        <is>
          <t>5G</t>
        </is>
      </c>
      <c r="H196" s="48" t="n">
        <v>26400</v>
      </c>
      <c r="I196" s="48" t="n">
        <v>12</v>
      </c>
      <c r="J196" s="48" t="n">
        <v>47300</v>
      </c>
      <c r="K196" s="47">
        <f t="array" ref="K196">_xlfn.XLOOKUP(1,(참조!$B$2:$B$15=E196)*(참조!$D$2:$D$15=C196)*(참조!$E$2:$E$15=D196),참조!$C$2:$C$15,"")</f>
        <v/>
      </c>
    </row>
    <row r="197" hidden="1" s="27">
      <c r="A197" s="47" t="inlineStr">
        <is>
          <t>KG모바일</t>
        </is>
      </c>
      <c r="B197" s="47" t="inlineStr">
        <is>
          <t>[평생할인] 유심 5G 150GB+</t>
        </is>
      </c>
      <c r="C197" s="47" t="inlineStr">
        <is>
          <t>무제한</t>
        </is>
      </c>
      <c r="D197" s="47" t="inlineStr">
        <is>
          <t>무제한</t>
        </is>
      </c>
      <c r="E197" s="47" t="inlineStr">
        <is>
          <t>월 150GB + 5Mbps</t>
        </is>
      </c>
      <c r="F197" s="47" t="inlineStr">
        <is>
          <t>LG U+</t>
        </is>
      </c>
      <c r="G197" s="47" t="inlineStr">
        <is>
          <t>5G</t>
        </is>
      </c>
      <c r="H197" s="48" t="n">
        <v>34500</v>
      </c>
      <c r="I197" s="48" t="n"/>
      <c r="J197" s="48" t="n"/>
      <c r="K197" s="47">
        <f t="array" ref="K197">_xlfn.XLOOKUP(1,(참조!$B$2:$B$15=E197)*(참조!$D$2:$D$15=C197)*(참조!$E$2:$E$15=D197),참조!$C$2:$C$15,"")</f>
        <v/>
      </c>
    </row>
    <row r="198" hidden="1" s="27">
      <c r="A198" s="47" t="inlineStr">
        <is>
          <t>이야기모바일</t>
        </is>
      </c>
      <c r="B198" s="47" t="inlineStr">
        <is>
          <t>함께이야기해S(300분+20GB)</t>
        </is>
      </c>
      <c r="C198" s="47" t="inlineStr">
        <is>
          <t>300분</t>
        </is>
      </c>
      <c r="D198" s="47" t="inlineStr">
        <is>
          <t>200건</t>
        </is>
      </c>
      <c r="E198" s="47" t="inlineStr">
        <is>
          <t>월 20GB</t>
        </is>
      </c>
      <c r="F198" s="47" t="inlineStr">
        <is>
          <t>SKT</t>
        </is>
      </c>
      <c r="G198" s="47" t="inlineStr">
        <is>
          <t>LTE</t>
        </is>
      </c>
      <c r="H198" s="48" t="n">
        <v>11000</v>
      </c>
      <c r="I198" s="48" t="n">
        <v>12</v>
      </c>
      <c r="J198" s="48" t="n">
        <v>19800</v>
      </c>
      <c r="K198" s="47">
        <f t="array" ref="K198">_xlfn.XLOOKUP(1,(참조!$B$2:$B$15=E198)*(참조!$D$2:$D$15=C198)*(참조!$E$2:$E$15=D198),참조!$C$2:$C$15,"")</f>
        <v/>
      </c>
    </row>
    <row r="199" hidden="1" s="27">
      <c r="A199" s="47" t="inlineStr">
        <is>
          <t>KG모바일</t>
        </is>
      </c>
      <c r="B199" s="47" t="inlineStr">
        <is>
          <t>[일반] 유심 5G 150GB+_24개월</t>
        </is>
      </c>
      <c r="C199" s="47" t="inlineStr">
        <is>
          <t>무제한</t>
        </is>
      </c>
      <c r="D199" s="47" t="inlineStr">
        <is>
          <t>무제한</t>
        </is>
      </c>
      <c r="E199" s="47" t="inlineStr">
        <is>
          <t>월 150GB + 5Mbps</t>
        </is>
      </c>
      <c r="F199" s="47" t="inlineStr">
        <is>
          <t>LG U+</t>
        </is>
      </c>
      <c r="G199" s="47" t="inlineStr">
        <is>
          <t>5G</t>
        </is>
      </c>
      <c r="H199" s="48" t="n">
        <v>27000</v>
      </c>
      <c r="I199" s="48" t="n">
        <v>24</v>
      </c>
      <c r="J199" s="48" t="n">
        <v>56100</v>
      </c>
      <c r="K199" s="47">
        <f t="array" ref="K199">_xlfn.XLOOKUP(1,(참조!$B$2:$B$15=E199)*(참조!$D$2:$D$15=C199)*(참조!$E$2:$E$15=D199),참조!$C$2:$C$15,"")</f>
        <v/>
      </c>
    </row>
    <row r="200" hidden="1" s="27">
      <c r="A200" s="47" t="inlineStr">
        <is>
          <t>U+유모바일</t>
        </is>
      </c>
      <c r="B200" s="47" t="inlineStr">
        <is>
          <t>[평생할인] 4GB/통화기본</t>
        </is>
      </c>
      <c r="C200" s="47" t="inlineStr">
        <is>
          <t>무제한</t>
        </is>
      </c>
      <c r="D200" s="47" t="inlineStr">
        <is>
          <t>무제한</t>
        </is>
      </c>
      <c r="E200" s="47" t="inlineStr">
        <is>
          <t>월 4GB</t>
        </is>
      </c>
      <c r="F200" s="47" t="inlineStr">
        <is>
          <t>LG U+</t>
        </is>
      </c>
      <c r="G200" s="47" t="inlineStr">
        <is>
          <t>LTE</t>
        </is>
      </c>
      <c r="H200" s="48" t="n">
        <v>7500</v>
      </c>
      <c r="I200" s="48" t="n"/>
      <c r="J200" s="48" t="n"/>
      <c r="K200" s="47">
        <f t="array" ref="K200">_xlfn.XLOOKUP(1,(참조!$B$2:$B$15=E200)*(참조!$D$2:$D$15=C200)*(참조!$E$2:$E$15=D200),참조!$C$2:$C$15,"")</f>
        <v/>
      </c>
    </row>
    <row r="201">
      <c r="A201" s="47" t="inlineStr">
        <is>
          <t>KG모바일</t>
        </is>
      </c>
      <c r="B201" s="47" t="inlineStr">
        <is>
          <t>[일반] 실속 5G 15GB/300분</t>
        </is>
      </c>
      <c r="C201" s="47" t="inlineStr">
        <is>
          <t>300분</t>
        </is>
      </c>
      <c r="D201" s="47" t="inlineStr">
        <is>
          <t>300건</t>
        </is>
      </c>
      <c r="E201" s="47" t="inlineStr">
        <is>
          <t>월 15GB</t>
        </is>
      </c>
      <c r="F201" s="47" t="inlineStr">
        <is>
          <t>LG U+</t>
        </is>
      </c>
      <c r="G201" s="47" t="inlineStr">
        <is>
          <t>5G</t>
        </is>
      </c>
      <c r="H201" s="48" t="n">
        <v>11000</v>
      </c>
      <c r="I201" s="48" t="n">
        <v>12</v>
      </c>
      <c r="J201" s="48" t="n">
        <v>22000</v>
      </c>
      <c r="K201" s="47">
        <f t="array" ref="K201">_xlfn.XLOOKUP(1,(참조!$B$2:$B$15=E201)*(참조!$D$2:$D$15=C201)*(참조!$E$2:$E$15=D201),참조!$C$2:$C$15,"")</f>
        <v/>
      </c>
    </row>
    <row r="202" hidden="1" s="27">
      <c r="A202" s="47" t="inlineStr">
        <is>
          <t>쉐이크모바일</t>
        </is>
      </c>
      <c r="B202" s="47" t="inlineStr">
        <is>
          <t>[모요only] 쉐이크 LTE 100GB+_다이소 매 월 5,000원</t>
        </is>
      </c>
      <c r="C202" s="47" t="inlineStr">
        <is>
          <t>무제한</t>
        </is>
      </c>
      <c r="D202" s="47" t="inlineStr">
        <is>
          <t>무제한</t>
        </is>
      </c>
      <c r="E202" s="47" t="inlineStr">
        <is>
          <t>월 100GB + 5Mbps</t>
        </is>
      </c>
      <c r="F202" s="47" t="inlineStr">
        <is>
          <t>KT</t>
        </is>
      </c>
      <c r="G202" s="47" t="inlineStr">
        <is>
          <t>LTE</t>
        </is>
      </c>
      <c r="H202" s="48" t="n">
        <v>24000</v>
      </c>
      <c r="I202" s="48" t="n">
        <v>12</v>
      </c>
      <c r="J202" s="48" t="n">
        <v>47300</v>
      </c>
      <c r="K202" s="47">
        <f t="array" ref="K202">_xlfn.XLOOKUP(1,(참조!$B$2:$B$15=E202)*(참조!$D$2:$D$15=C202)*(참조!$E$2:$E$15=D202),참조!$C$2:$C$15,"")</f>
        <v/>
      </c>
    </row>
    <row r="203" hidden="1" s="27">
      <c r="A203" s="47" t="inlineStr">
        <is>
          <t>U+유모바일</t>
        </is>
      </c>
      <c r="B203" s="47" t="inlineStr">
        <is>
          <t>[평생할인] 71GB+/통화기본</t>
        </is>
      </c>
      <c r="C203" s="47" t="inlineStr">
        <is>
          <t>무제한</t>
        </is>
      </c>
      <c r="D203" s="47" t="inlineStr">
        <is>
          <t>무제한</t>
        </is>
      </c>
      <c r="E203" s="47" t="inlineStr">
        <is>
          <t>월 11GB + 매일 2GB + 3Mbps</t>
        </is>
      </c>
      <c r="F203" s="47" t="inlineStr">
        <is>
          <t>LG U+</t>
        </is>
      </c>
      <c r="G203" s="47" t="inlineStr">
        <is>
          <t>LTE</t>
        </is>
      </c>
      <c r="H203" s="48" t="n">
        <v>32990</v>
      </c>
      <c r="I203" s="48" t="n"/>
      <c r="J203" s="48" t="n"/>
      <c r="K203" s="47">
        <f t="array" ref="K203">_xlfn.XLOOKUP(1,(참조!$B$2:$B$15=E203)*(참조!$D$2:$D$15=C203)*(참조!$E$2:$E$15=D203),참조!$C$2:$C$15,"")</f>
        <v/>
      </c>
    </row>
    <row r="204" hidden="1" s="27">
      <c r="A204" s="47" t="inlineStr">
        <is>
          <t>더원모바일</t>
        </is>
      </c>
      <c r="B204" s="47" t="inlineStr">
        <is>
          <t>TOP 15GB 기본 (후후)</t>
        </is>
      </c>
      <c r="C204" s="47" t="inlineStr">
        <is>
          <t>무제한</t>
        </is>
      </c>
      <c r="D204" s="47" t="inlineStr">
        <is>
          <t>무제한</t>
        </is>
      </c>
      <c r="E204" s="47" t="inlineStr">
        <is>
          <t>월 15GB + 1Mbps</t>
        </is>
      </c>
      <c r="F204" s="47" t="inlineStr">
        <is>
          <t>KT</t>
        </is>
      </c>
      <c r="G204" s="47" t="inlineStr">
        <is>
          <t>LTE</t>
        </is>
      </c>
      <c r="H204" s="48" t="n">
        <v>11000</v>
      </c>
      <c r="I204" s="48" t="n">
        <v>12</v>
      </c>
      <c r="J204" s="48" t="n">
        <v>29700</v>
      </c>
      <c r="K204" s="47">
        <f t="array" ref="K204">_xlfn.XLOOKUP(1,(참조!$B$2:$B$15=E204)*(참조!$D$2:$D$15=C204)*(참조!$E$2:$E$15=D204),참조!$C$2:$C$15,"")</f>
        <v/>
      </c>
    </row>
    <row r="205" hidden="1" s="27">
      <c r="A205" s="47" t="inlineStr">
        <is>
          <t>모나</t>
        </is>
      </c>
      <c r="B205" s="47" t="inlineStr">
        <is>
          <t>모나500분6G</t>
        </is>
      </c>
      <c r="C205" s="47" t="inlineStr">
        <is>
          <t>500분</t>
        </is>
      </c>
      <c r="D205" s="47" t="inlineStr">
        <is>
          <t>200건</t>
        </is>
      </c>
      <c r="E205" s="47" t="inlineStr">
        <is>
          <t>월 6GB</t>
        </is>
      </c>
      <c r="F205" s="47" t="inlineStr">
        <is>
          <t>LG U+</t>
        </is>
      </c>
      <c r="G205" s="47" t="inlineStr">
        <is>
          <t>LTE</t>
        </is>
      </c>
      <c r="H205" s="48" t="n">
        <v>10</v>
      </c>
      <c r="I205" s="48" t="n">
        <v>10</v>
      </c>
      <c r="J205" s="48" t="n">
        <v>29700</v>
      </c>
      <c r="K205" s="47">
        <f t="array" ref="K205">_xlfn.XLOOKUP(1,(참조!$B$2:$B$15=E205)*(참조!$D$2:$D$15=C205)*(참조!$E$2:$E$15=D205),참조!$C$2:$C$15,"")</f>
        <v/>
      </c>
    </row>
    <row r="206" hidden="1" s="27">
      <c r="A206" s="47" t="inlineStr">
        <is>
          <t>찬스모바일</t>
        </is>
      </c>
      <c r="B206" s="47" t="inlineStr">
        <is>
          <t>찬스100GB+5Mbps_12</t>
        </is>
      </c>
      <c r="C206" s="47" t="inlineStr">
        <is>
          <t>무제한</t>
        </is>
      </c>
      <c r="D206" s="47" t="inlineStr">
        <is>
          <t>무제한</t>
        </is>
      </c>
      <c r="E206" s="47" t="inlineStr">
        <is>
          <t>월 100GB + 5Mbps</t>
        </is>
      </c>
      <c r="F206" s="47" t="inlineStr">
        <is>
          <t>LG U+</t>
        </is>
      </c>
      <c r="G206" s="47" t="inlineStr">
        <is>
          <t>LTE</t>
        </is>
      </c>
      <c r="H206" s="48" t="n">
        <v>24209</v>
      </c>
      <c r="I206" s="48" t="n">
        <v>12</v>
      </c>
      <c r="J206" s="48" t="n">
        <v>47939</v>
      </c>
      <c r="K206" s="47">
        <f t="array" ref="K206">_xlfn.XLOOKUP(1,(참조!$B$2:$B$15=E206)*(참조!$D$2:$D$15=C206)*(참조!$E$2:$E$15=D206),참조!$C$2:$C$15,"")</f>
        <v/>
      </c>
    </row>
    <row r="207" hidden="1" s="27">
      <c r="A207" s="47" t="inlineStr">
        <is>
          <t>LG헬로모바일</t>
        </is>
      </c>
      <c r="B207" s="47" t="inlineStr">
        <is>
          <t>5G 스페셜 유심 180GB</t>
        </is>
      </c>
      <c r="C207" s="47" t="inlineStr">
        <is>
          <t>무제한</t>
        </is>
      </c>
      <c r="D207" s="47" t="inlineStr">
        <is>
          <t>무제한</t>
        </is>
      </c>
      <c r="E207" s="47" t="inlineStr">
        <is>
          <t>월 180GB + 10Mbps</t>
        </is>
      </c>
      <c r="F207" s="47" t="inlineStr">
        <is>
          <t>LG U+</t>
        </is>
      </c>
      <c r="G207" s="47" t="inlineStr">
        <is>
          <t>5G</t>
        </is>
      </c>
      <c r="H207" s="48" t="n">
        <v>35000</v>
      </c>
      <c r="I207" s="48" t="n">
        <v>7</v>
      </c>
      <c r="J207" s="48" t="n">
        <v>55000</v>
      </c>
      <c r="K207" s="47">
        <f t="array" ref="K207">_xlfn.XLOOKUP(1,(참조!$B$2:$B$15=E207)*(참조!$D$2:$D$15=C207)*(참조!$E$2:$E$15=D207),참조!$C$2:$C$15,"")</f>
        <v/>
      </c>
    </row>
    <row r="208" hidden="1" s="27">
      <c r="A208" s="47" t="inlineStr">
        <is>
          <t>모나</t>
        </is>
      </c>
      <c r="B208" s="47" t="inlineStr">
        <is>
          <t>5G_모나기본150G안심5</t>
        </is>
      </c>
      <c r="C208" s="47" t="inlineStr">
        <is>
          <t>무제한</t>
        </is>
      </c>
      <c r="D208" s="47" t="inlineStr">
        <is>
          <t>무제한</t>
        </is>
      </c>
      <c r="E208" s="47" t="inlineStr">
        <is>
          <t>월 150GB + 5Mbps</t>
        </is>
      </c>
      <c r="F208" s="47" t="inlineStr">
        <is>
          <t>LG U+</t>
        </is>
      </c>
      <c r="G208" s="47" t="inlineStr">
        <is>
          <t>5G</t>
        </is>
      </c>
      <c r="H208" s="48" t="n">
        <v>25900</v>
      </c>
      <c r="I208" s="48" t="n">
        <v>24</v>
      </c>
      <c r="J208" s="48" t="n">
        <v>62700</v>
      </c>
      <c r="K208" s="47">
        <f t="array" ref="K208">_xlfn.XLOOKUP(1,(참조!$B$2:$B$15=E208)*(참조!$D$2:$D$15=C208)*(참조!$E$2:$E$15=D208),참조!$C$2:$C$15,"")</f>
        <v/>
      </c>
    </row>
    <row r="209" hidden="1" s="27">
      <c r="A209" s="47" t="inlineStr">
        <is>
          <t>KG모바일</t>
        </is>
      </c>
      <c r="B209" s="47" t="inlineStr">
        <is>
          <t>[일반] 통화, 데이터 마음대로 (4.5GB+)</t>
        </is>
      </c>
      <c r="C209" s="47" t="inlineStr">
        <is>
          <t>무제한</t>
        </is>
      </c>
      <c r="D209" s="47" t="inlineStr">
        <is>
          <t>무제한</t>
        </is>
      </c>
      <c r="E209" s="47" t="inlineStr">
        <is>
          <t>월 4.5GB + 1Mbps</t>
        </is>
      </c>
      <c r="F209" s="47" t="inlineStr">
        <is>
          <t>LG U+</t>
        </is>
      </c>
      <c r="G209" s="47" t="inlineStr">
        <is>
          <t>LTE</t>
        </is>
      </c>
      <c r="H209" s="48" t="n">
        <v>10</v>
      </c>
      <c r="I209" s="48" t="n">
        <v>6</v>
      </c>
      <c r="J209" s="48" t="n">
        <v>18900</v>
      </c>
      <c r="K209" s="47">
        <f t="array" ref="K209">_xlfn.XLOOKUP(1,(참조!$B$2:$B$15=E209)*(참조!$D$2:$D$15=C209)*(참조!$E$2:$E$15=D209),참조!$C$2:$C$15,"")</f>
        <v/>
      </c>
    </row>
    <row r="210">
      <c r="A210" s="47" t="inlineStr">
        <is>
          <t>슈가모바일</t>
        </is>
      </c>
      <c r="B210" s="47" t="inlineStr">
        <is>
          <t>Sugar 100GB++ (12개월+)</t>
        </is>
      </c>
      <c r="C210" s="47" t="inlineStr">
        <is>
          <t>무제한</t>
        </is>
      </c>
      <c r="D210" s="47" t="inlineStr">
        <is>
          <t>무제한</t>
        </is>
      </c>
      <c r="E210" s="47" t="inlineStr">
        <is>
          <t>월 100GB + 5Mbps</t>
        </is>
      </c>
      <c r="F210" s="47" t="inlineStr">
        <is>
          <t>LG U+</t>
        </is>
      </c>
      <c r="G210" s="47" t="inlineStr">
        <is>
          <t>LTE</t>
        </is>
      </c>
      <c r="H210" s="48" t="n">
        <v>25500</v>
      </c>
      <c r="I210" s="48" t="n">
        <v>12</v>
      </c>
      <c r="J210" s="48" t="n">
        <v>49000</v>
      </c>
      <c r="K210" s="47">
        <f t="array" ref="K210">_xlfn.XLOOKUP(1,(참조!$B$2:$B$15=E210)*(참조!$D$2:$D$15=C210)*(참조!$E$2:$E$15=D210),참조!$C$2:$C$15,"")</f>
        <v/>
      </c>
    </row>
    <row r="211" hidden="1" s="27">
      <c r="A211" s="47" t="inlineStr">
        <is>
          <t>티플러스</t>
        </is>
      </c>
      <c r="B211" s="47" t="inlineStr">
        <is>
          <t>완전마음껏 100GB＋＋(CU 20%)_24개월할인</t>
        </is>
      </c>
      <c r="C211" s="47" t="inlineStr">
        <is>
          <t>무제한</t>
        </is>
      </c>
      <c r="D211" s="47" t="inlineStr">
        <is>
          <t>무제한</t>
        </is>
      </c>
      <c r="E211" s="47" t="inlineStr">
        <is>
          <t>월 100GB + 5Mbps</t>
        </is>
      </c>
      <c r="F211" s="47" t="inlineStr">
        <is>
          <t>KT</t>
        </is>
      </c>
      <c r="G211" s="47" t="inlineStr">
        <is>
          <t>LTE</t>
        </is>
      </c>
      <c r="H211" s="48" t="n">
        <v>26900</v>
      </c>
      <c r="I211" s="48" t="n">
        <v>24</v>
      </c>
      <c r="J211" s="48" t="n">
        <v>48400</v>
      </c>
      <c r="K211" s="47">
        <f t="array" ref="K211">_xlfn.XLOOKUP(1,(참조!$B$2:$B$15=E211)*(참조!$D$2:$D$15=C211)*(참조!$E$2:$E$15=D211),참조!$C$2:$C$15,"")</f>
        <v/>
      </c>
    </row>
    <row r="212" hidden="1" s="27">
      <c r="A212" s="47" t="inlineStr">
        <is>
          <t>KT스카이라이프</t>
        </is>
      </c>
      <c r="B212" s="47" t="inlineStr">
        <is>
          <t>슬림 2GB/200분</t>
        </is>
      </c>
      <c r="C212" s="47" t="inlineStr">
        <is>
          <t>200분</t>
        </is>
      </c>
      <c r="D212" s="47" t="inlineStr">
        <is>
          <t>200건</t>
        </is>
      </c>
      <c r="E212" s="47" t="inlineStr">
        <is>
          <t>월 2GB</t>
        </is>
      </c>
      <c r="F212" s="47" t="inlineStr">
        <is>
          <t>KT</t>
        </is>
      </c>
      <c r="G212" s="47" t="inlineStr">
        <is>
          <t>LTE</t>
        </is>
      </c>
      <c r="H212" s="48" t="n">
        <v>4900</v>
      </c>
      <c r="I212" s="48" t="n"/>
      <c r="J212" s="48" t="n"/>
      <c r="K212" s="47">
        <f t="array" ref="K212">_xlfn.XLOOKUP(1,(참조!$B$2:$B$15=E212)*(참조!$D$2:$D$15=C212)*(참조!$E$2:$E$15=D212),참조!$C$2:$C$15,"")</f>
        <v/>
      </c>
    </row>
    <row r="213">
      <c r="A213" s="47" t="inlineStr">
        <is>
          <t>더원모바일</t>
        </is>
      </c>
      <c r="B213" s="47" t="inlineStr">
        <is>
          <t>TOP 15GB 100분 (다이소)</t>
        </is>
      </c>
      <c r="C213" s="47" t="inlineStr">
        <is>
          <t>100분</t>
        </is>
      </c>
      <c r="D213" s="47" t="inlineStr">
        <is>
          <t>100건</t>
        </is>
      </c>
      <c r="E213" s="47" t="inlineStr">
        <is>
          <t>월 15GB + 3Mbps</t>
        </is>
      </c>
      <c r="F213" s="47" t="inlineStr">
        <is>
          <t>KT</t>
        </is>
      </c>
      <c r="G213" s="47" t="inlineStr">
        <is>
          <t>LTE</t>
        </is>
      </c>
      <c r="H213" s="48" t="n">
        <v>14300</v>
      </c>
      <c r="I213" s="48" t="n">
        <v>12</v>
      </c>
      <c r="J213" s="48" t="n">
        <v>35200</v>
      </c>
      <c r="K213" s="47">
        <f t="array" ref="K213">_xlfn.XLOOKUP(1,(참조!$B$2:$B$15=E213)*(참조!$D$2:$D$15=C213)*(참조!$E$2:$E$15=D213),참조!$C$2:$C$15,"")</f>
        <v/>
      </c>
    </row>
    <row r="214" hidden="1" s="27">
      <c r="A214" s="47" t="inlineStr">
        <is>
          <t>고고모바일</t>
        </is>
      </c>
      <c r="B214" s="47" t="inlineStr">
        <is>
          <t>[모요only] 5G 200분/12GB</t>
        </is>
      </c>
      <c r="C214" s="47" t="inlineStr">
        <is>
          <t>200분</t>
        </is>
      </c>
      <c r="D214" s="47" t="inlineStr">
        <is>
          <t>100건</t>
        </is>
      </c>
      <c r="E214" s="47" t="inlineStr">
        <is>
          <t>월 12GB</t>
        </is>
      </c>
      <c r="F214" s="47" t="inlineStr">
        <is>
          <t>KT</t>
        </is>
      </c>
      <c r="G214" s="47" t="inlineStr">
        <is>
          <t>5G</t>
        </is>
      </c>
      <c r="H214" s="48" t="n">
        <v>10</v>
      </c>
      <c r="I214" s="48" t="n">
        <v>7</v>
      </c>
      <c r="J214" s="48" t="n">
        <v>22000</v>
      </c>
      <c r="K214" s="47">
        <f t="array" ref="K214">_xlfn.XLOOKUP(1,(참조!$B$2:$B$15=E214)*(참조!$D$2:$D$15=C214)*(참조!$E$2:$E$15=D214),참조!$C$2:$C$15,"")</f>
        <v/>
      </c>
    </row>
    <row r="215" hidden="1" s="27">
      <c r="A215" s="47" t="inlineStr">
        <is>
          <t>티플러스</t>
        </is>
      </c>
      <c r="B215" s="47" t="inlineStr">
        <is>
          <t>가성비플러스(6GB/350분)</t>
        </is>
      </c>
      <c r="C215" s="47" t="inlineStr">
        <is>
          <t>350분</t>
        </is>
      </c>
      <c r="D215" s="47" t="inlineStr">
        <is>
          <t>100건</t>
        </is>
      </c>
      <c r="E215" s="47" t="inlineStr">
        <is>
          <t>월 6GB</t>
        </is>
      </c>
      <c r="F215" s="47" t="inlineStr">
        <is>
          <t>KT</t>
        </is>
      </c>
      <c r="G215" s="47" t="inlineStr">
        <is>
          <t>LTE</t>
        </is>
      </c>
      <c r="H215" s="48" t="n">
        <v>10</v>
      </c>
      <c r="I215" s="48" t="n">
        <v>6</v>
      </c>
      <c r="J215" s="48" t="n">
        <v>9900</v>
      </c>
      <c r="K215" s="47">
        <f t="array" ref="K215">_xlfn.XLOOKUP(1,(참조!$B$2:$B$15=E215)*(참조!$D$2:$D$15=C215)*(참조!$E$2:$E$15=D215),참조!$C$2:$C$15,"")</f>
        <v/>
      </c>
    </row>
    <row r="216" hidden="1" s="27">
      <c r="A216" s="47" t="inlineStr">
        <is>
          <t>KG모바일</t>
        </is>
      </c>
      <c r="B216" s="47" t="inlineStr">
        <is>
          <t>[평생할인] 데이터 마음대로 (6GB+/200분)</t>
        </is>
      </c>
      <c r="C216" s="47" t="inlineStr">
        <is>
          <t>200분</t>
        </is>
      </c>
      <c r="D216" s="47" t="inlineStr">
        <is>
          <t>100건</t>
        </is>
      </c>
      <c r="E216" s="47" t="inlineStr">
        <is>
          <t>월 6GB + 1Mbps</t>
        </is>
      </c>
      <c r="F216" s="47" t="inlineStr">
        <is>
          <t>LG U+</t>
        </is>
      </c>
      <c r="G216" s="47" t="inlineStr">
        <is>
          <t>LTE</t>
        </is>
      </c>
      <c r="H216" s="48" t="n">
        <v>3200</v>
      </c>
      <c r="I216" s="48" t="n"/>
      <c r="J216" s="48" t="n"/>
      <c r="K216" s="47">
        <f t="array" ref="K216">_xlfn.XLOOKUP(1,(참조!$B$2:$B$15=E216)*(참조!$D$2:$D$15=C216)*(참조!$E$2:$E$15=D216),참조!$C$2:$C$15,"")</f>
        <v/>
      </c>
    </row>
    <row r="217" hidden="1" s="27">
      <c r="A217" s="47" t="inlineStr">
        <is>
          <t>KG모바일</t>
        </is>
      </c>
      <c r="B217" s="47" t="inlineStr">
        <is>
          <t>[평생할인] 데이터 마음대로 (15GB+/300분)</t>
        </is>
      </c>
      <c r="C217" s="47" t="inlineStr">
        <is>
          <t>300분</t>
        </is>
      </c>
      <c r="D217" s="47" t="inlineStr">
        <is>
          <t>300건</t>
        </is>
      </c>
      <c r="E217" s="47" t="inlineStr">
        <is>
          <t>월 15GB + 3Mbps</t>
        </is>
      </c>
      <c r="F217" s="47" t="inlineStr">
        <is>
          <t>LG U+</t>
        </is>
      </c>
      <c r="G217" s="47" t="inlineStr">
        <is>
          <t>LTE</t>
        </is>
      </c>
      <c r="H217" s="48" t="n">
        <v>24100</v>
      </c>
      <c r="I217" s="48" t="n"/>
      <c r="J217" s="48" t="n"/>
      <c r="K217" s="47">
        <f t="array" ref="K217">_xlfn.XLOOKUP(1,(참조!$B$2:$B$15=E217)*(참조!$D$2:$D$15=C217)*(참조!$E$2:$E$15=D217),참조!$C$2:$C$15,"")</f>
        <v/>
      </c>
    </row>
    <row r="218" hidden="1" s="27">
      <c r="A218" s="47" t="inlineStr">
        <is>
          <t>U+유모바일</t>
        </is>
      </c>
      <c r="B218" s="47" t="inlineStr">
        <is>
          <t>빽다방 100잔 5G 10GB</t>
        </is>
      </c>
      <c r="C218" s="47" t="inlineStr">
        <is>
          <t>무제한</t>
        </is>
      </c>
      <c r="D218" s="47" t="inlineStr">
        <is>
          <t>무제한</t>
        </is>
      </c>
      <c r="E218" s="47" t="inlineStr">
        <is>
          <t>월 10GB</t>
        </is>
      </c>
      <c r="F218" s="47" t="inlineStr">
        <is>
          <t>LG U+</t>
        </is>
      </c>
      <c r="G218" s="47" t="inlineStr">
        <is>
          <t>5G</t>
        </is>
      </c>
      <c r="H218" s="48" t="n">
        <v>14000</v>
      </c>
      <c r="I218" s="48" t="n"/>
      <c r="J218" s="48" t="n"/>
      <c r="K218" s="47">
        <f t="array" ref="K218">_xlfn.XLOOKUP(1,(참조!$B$2:$B$15=E218)*(참조!$D$2:$D$15=C218)*(참조!$E$2:$E$15=D218),참조!$C$2:$C$15,"")</f>
        <v/>
      </c>
    </row>
    <row r="219" hidden="1" s="27">
      <c r="A219" s="47" t="inlineStr">
        <is>
          <t>KT엠모바일</t>
        </is>
      </c>
      <c r="B219" s="47" t="inlineStr">
        <is>
          <t>모두다 맘껏 안심 25GB+</t>
        </is>
      </c>
      <c r="C219" s="47" t="inlineStr">
        <is>
          <t>무제한</t>
        </is>
      </c>
      <c r="D219" s="47" t="inlineStr">
        <is>
          <t>무제한</t>
        </is>
      </c>
      <c r="E219" s="47" t="inlineStr">
        <is>
          <t>월 25GB + 400Kbps</t>
        </is>
      </c>
      <c r="F219" s="47" t="inlineStr">
        <is>
          <t>KT</t>
        </is>
      </c>
      <c r="G219" s="47" t="inlineStr">
        <is>
          <t>LTE</t>
        </is>
      </c>
      <c r="H219" s="48" t="n">
        <v>18400</v>
      </c>
      <c r="I219" s="48" t="n"/>
      <c r="J219" s="48" t="n"/>
      <c r="K219" s="47">
        <f t="array" ref="K219">_xlfn.XLOOKUP(1,(참조!$B$2:$B$15=E219)*(참조!$D$2:$D$15=C219)*(참조!$E$2:$E$15=D219),참조!$C$2:$C$15,"")</f>
        <v/>
      </c>
    </row>
    <row r="220" hidden="1" s="27">
      <c r="A220" s="47" t="inlineStr">
        <is>
          <t>시월모바일</t>
        </is>
      </c>
      <c r="B220" s="47" t="inlineStr">
        <is>
          <t>두해 통화기본15GB+</t>
        </is>
      </c>
      <c r="C220" s="47" t="inlineStr">
        <is>
          <t>무제한</t>
        </is>
      </c>
      <c r="D220" s="47" t="inlineStr">
        <is>
          <t>무제한</t>
        </is>
      </c>
      <c r="E220" s="47" t="inlineStr">
        <is>
          <t>월 15GB + 1Mbps</t>
        </is>
      </c>
      <c r="F220" s="47" t="inlineStr">
        <is>
          <t>LG U+</t>
        </is>
      </c>
      <c r="G220" s="47" t="inlineStr">
        <is>
          <t>LTE</t>
        </is>
      </c>
      <c r="H220" s="48" t="n">
        <v>13280</v>
      </c>
      <c r="I220" s="48" t="n">
        <v>24</v>
      </c>
      <c r="J220" s="48" t="n">
        <v>31980</v>
      </c>
      <c r="K220" s="47">
        <f t="array" ref="K220">_xlfn.XLOOKUP(1,(참조!$B$2:$B$15=E220)*(참조!$D$2:$D$15=C220)*(참조!$E$2:$E$15=D220),참조!$C$2:$C$15,"")</f>
        <v/>
      </c>
    </row>
    <row r="221" hidden="1" s="27">
      <c r="A221" s="47" t="inlineStr">
        <is>
          <t>모나</t>
        </is>
      </c>
      <c r="B221" s="47" t="inlineStr">
        <is>
          <t>코나아이데이터매일5G</t>
        </is>
      </c>
      <c r="C221" s="47" t="inlineStr">
        <is>
          <t>무제한</t>
        </is>
      </c>
      <c r="D221" s="47" t="inlineStr">
        <is>
          <t>무제한</t>
        </is>
      </c>
      <c r="E221" s="47" t="inlineStr">
        <is>
          <t>매일 5GB + 5Mbps</t>
        </is>
      </c>
      <c r="F221" s="47" t="inlineStr">
        <is>
          <t>LG U+</t>
        </is>
      </c>
      <c r="G221" s="47" t="inlineStr">
        <is>
          <t>LTE</t>
        </is>
      </c>
      <c r="H221" s="48" t="n">
        <v>32900</v>
      </c>
      <c r="I221" s="48" t="n"/>
      <c r="J221" s="48" t="n"/>
      <c r="K221" s="47">
        <f t="array" ref="K221">_xlfn.XLOOKUP(1,(참조!$B$2:$B$15=E221)*(참조!$D$2:$D$15=C221)*(참조!$E$2:$E$15=D221),참조!$C$2:$C$15,"")</f>
        <v/>
      </c>
    </row>
    <row r="222" hidden="1" s="27">
      <c r="A222" s="47" t="inlineStr">
        <is>
          <t>티플러스</t>
        </is>
      </c>
      <c r="B222" s="47" t="inlineStr">
        <is>
          <t>완전마음껏 100GB＋＋(네이버페이 매월 5000P)</t>
        </is>
      </c>
      <c r="C222" s="47" t="inlineStr">
        <is>
          <t>무제한</t>
        </is>
      </c>
      <c r="D222" s="47" t="inlineStr">
        <is>
          <t>무제한</t>
        </is>
      </c>
      <c r="E222" s="47" t="inlineStr">
        <is>
          <t>월 100GB + 5Mbps</t>
        </is>
      </c>
      <c r="F222" s="47" t="inlineStr">
        <is>
          <t>KT</t>
        </is>
      </c>
      <c r="G222" s="47" t="inlineStr">
        <is>
          <t>LTE</t>
        </is>
      </c>
      <c r="H222" s="48" t="n">
        <v>10900</v>
      </c>
      <c r="I222" s="48" t="n">
        <v>7</v>
      </c>
      <c r="J222" s="48" t="n">
        <v>50000</v>
      </c>
      <c r="K222" s="47">
        <f t="array" ref="K222">_xlfn.XLOOKUP(1,(참조!$B$2:$B$15=E222)*(참조!$D$2:$D$15=C222)*(참조!$E$2:$E$15=D222),참조!$C$2:$C$15,"")</f>
        <v/>
      </c>
    </row>
    <row r="223" hidden="1" s="27">
      <c r="A223" s="47" t="inlineStr">
        <is>
          <t>이지모바일</t>
        </is>
      </c>
      <c r="B223" s="47" t="inlineStr">
        <is>
          <t>[5G]EG 무제한 110G+5</t>
        </is>
      </c>
      <c r="C223" s="47" t="inlineStr">
        <is>
          <t>무제한</t>
        </is>
      </c>
      <c r="D223" s="47" t="inlineStr">
        <is>
          <t>무제한</t>
        </is>
      </c>
      <c r="E223" s="47" t="inlineStr">
        <is>
          <t>월 110GB + 5Mbps</t>
        </is>
      </c>
      <c r="F223" s="47" t="inlineStr">
        <is>
          <t>KT</t>
        </is>
      </c>
      <c r="G223" s="47" t="inlineStr">
        <is>
          <t>5G</t>
        </is>
      </c>
      <c r="H223" s="48" t="n">
        <v>9800</v>
      </c>
      <c r="I223" s="48" t="n">
        <v>6</v>
      </c>
      <c r="J223" s="48" t="n">
        <v>51700</v>
      </c>
      <c r="K223" s="47">
        <f t="array" ref="K223">_xlfn.XLOOKUP(1,(참조!$B$2:$B$15=E223)*(참조!$D$2:$D$15=C223)*(참조!$E$2:$E$15=D223),참조!$C$2:$C$15,"")</f>
        <v/>
      </c>
    </row>
    <row r="224" hidden="1" s="27">
      <c r="A224" s="47" t="inlineStr">
        <is>
          <t>KT스카이라이프</t>
        </is>
      </c>
      <c r="B224" s="47" t="inlineStr">
        <is>
          <t>모두 충분 15GB+(후후안심)</t>
        </is>
      </c>
      <c r="C224" s="47" t="inlineStr">
        <is>
          <t>무제한</t>
        </is>
      </c>
      <c r="D224" s="47" t="inlineStr">
        <is>
          <t>무제한</t>
        </is>
      </c>
      <c r="E224" s="47" t="inlineStr">
        <is>
          <t>월 15GB + 1Mbps</t>
        </is>
      </c>
      <c r="F224" s="47" t="inlineStr">
        <is>
          <t>KT</t>
        </is>
      </c>
      <c r="G224" s="47" t="inlineStr">
        <is>
          <t>LTE</t>
        </is>
      </c>
      <c r="H224" s="48" t="n">
        <v>21200</v>
      </c>
      <c r="I224" s="48" t="n"/>
      <c r="J224" s="48" t="n"/>
      <c r="K224" s="47">
        <f t="array" ref="K224">_xlfn.XLOOKUP(1,(참조!$B$2:$B$15=E224)*(참조!$D$2:$D$15=C224)*(참조!$E$2:$E$15=D224),참조!$C$2:$C$15,"")</f>
        <v/>
      </c>
    </row>
    <row r="225" hidden="1" s="27">
      <c r="A225" s="47" t="inlineStr">
        <is>
          <t>U+유모바일</t>
        </is>
      </c>
      <c r="B225" s="47" t="inlineStr">
        <is>
          <t>[GS25 12만] 5G 10GB/200분</t>
        </is>
      </c>
      <c r="C225" s="47" t="inlineStr">
        <is>
          <t>200분</t>
        </is>
      </c>
      <c r="D225" s="47" t="inlineStr">
        <is>
          <t>100건</t>
        </is>
      </c>
      <c r="E225" s="47" t="inlineStr">
        <is>
          <t>월 10GB</t>
        </is>
      </c>
      <c r="F225" s="47" t="inlineStr">
        <is>
          <t>LG U+</t>
        </is>
      </c>
      <c r="G225" s="47" t="inlineStr">
        <is>
          <t>5G</t>
        </is>
      </c>
      <c r="H225" s="48" t="n">
        <v>14000</v>
      </c>
      <c r="I225" s="48" t="n"/>
      <c r="J225" s="48" t="n"/>
      <c r="K225" s="47">
        <f t="array" ref="K225">_xlfn.XLOOKUP(1,(참조!$B$2:$B$15=E225)*(참조!$D$2:$D$15=C225)*(참조!$E$2:$E$15=D225),참조!$C$2:$C$15,"")</f>
        <v/>
      </c>
    </row>
    <row r="226" hidden="1" s="27">
      <c r="A226" s="47" t="inlineStr">
        <is>
          <t>티플러스</t>
        </is>
      </c>
      <c r="B226" s="47" t="inlineStr">
        <is>
          <t>완전마음껏 11GB＋＋(네이버페이 매월 5000P)</t>
        </is>
      </c>
      <c r="C226" s="47" t="inlineStr">
        <is>
          <t>무제한</t>
        </is>
      </c>
      <c r="D226" s="47" t="inlineStr">
        <is>
          <t>무제한</t>
        </is>
      </c>
      <c r="E226" s="47" t="inlineStr">
        <is>
          <t>월 11GB + 매일 2GB + 3Mbps</t>
        </is>
      </c>
      <c r="F226" s="47" t="inlineStr">
        <is>
          <t>KT</t>
        </is>
      </c>
      <c r="G226" s="47" t="inlineStr">
        <is>
          <t>LTE</t>
        </is>
      </c>
      <c r="H226" s="48" t="n">
        <v>8900</v>
      </c>
      <c r="I226" s="48" t="n">
        <v>7</v>
      </c>
      <c r="J226" s="48" t="n">
        <v>35900</v>
      </c>
      <c r="K226" s="47">
        <f t="array" ref="K226">_xlfn.XLOOKUP(1,(참조!$B$2:$B$15=E226)*(참조!$D$2:$D$15=C226)*(참조!$E$2:$E$15=D226),참조!$C$2:$C$15,"")</f>
        <v/>
      </c>
    </row>
    <row r="227" hidden="1" s="27">
      <c r="A227" s="47" t="inlineStr">
        <is>
          <t>이야기모바일</t>
        </is>
      </c>
      <c r="B227" s="47" t="inlineStr">
        <is>
          <t>이야기 K 데이터 11GB+(모아진)</t>
        </is>
      </c>
      <c r="C227" s="47" t="inlineStr">
        <is>
          <t>무제한</t>
        </is>
      </c>
      <c r="D227" s="47" t="inlineStr">
        <is>
          <t>무제한</t>
        </is>
      </c>
      <c r="E227" s="47" t="inlineStr">
        <is>
          <t>월 11GB + 매일 2GB + 3Mbps</t>
        </is>
      </c>
      <c r="F227" s="47" t="inlineStr">
        <is>
          <t>KT</t>
        </is>
      </c>
      <c r="G227" s="47" t="inlineStr">
        <is>
          <t>LTE</t>
        </is>
      </c>
      <c r="H227" s="48" t="n">
        <v>25400</v>
      </c>
      <c r="I227" s="48" t="n">
        <v>24</v>
      </c>
      <c r="J227" s="48" t="n">
        <v>40590</v>
      </c>
      <c r="K227" s="47">
        <f t="array" ref="K227">_xlfn.XLOOKUP(1,(참조!$B$2:$B$15=E227)*(참조!$D$2:$D$15=C227)*(참조!$E$2:$E$15=D227),참조!$C$2:$C$15,"")</f>
        <v/>
      </c>
    </row>
    <row r="228" hidden="1" s="27">
      <c r="A228" s="47" t="inlineStr">
        <is>
          <t>이지모바일</t>
        </is>
      </c>
      <c r="B228" s="47" t="inlineStr">
        <is>
          <t>EG 무제한 71G+3M</t>
        </is>
      </c>
      <c r="C228" s="47" t="inlineStr">
        <is>
          <t>무제한</t>
        </is>
      </c>
      <c r="D228" s="47" t="inlineStr">
        <is>
          <t>무제한</t>
        </is>
      </c>
      <c r="E228" s="47" t="inlineStr">
        <is>
          <t>월 11GB + 매일 2GB + 3Mbps</t>
        </is>
      </c>
      <c r="F228" s="47" t="inlineStr">
        <is>
          <t>KT</t>
        </is>
      </c>
      <c r="G228" s="47" t="inlineStr">
        <is>
          <t>LTE</t>
        </is>
      </c>
      <c r="H228" s="48" t="n">
        <v>6700</v>
      </c>
      <c r="I228" s="48" t="n">
        <v>6</v>
      </c>
      <c r="J228" s="48" t="n">
        <v>37400</v>
      </c>
      <c r="K228" s="47">
        <f t="array" ref="K228">_xlfn.XLOOKUP(1,(참조!$B$2:$B$15=E228)*(참조!$D$2:$D$15=C228)*(참조!$E$2:$E$15=D228),참조!$C$2:$C$15,"")</f>
        <v/>
      </c>
    </row>
    <row r="229" hidden="1" s="27">
      <c r="A229" s="47" t="inlineStr">
        <is>
          <t>이지모바일</t>
        </is>
      </c>
      <c r="B229" s="47" t="inlineStr">
        <is>
          <t>이지 오래쓰는 데이터 6G/200분</t>
        </is>
      </c>
      <c r="C229" s="47" t="inlineStr">
        <is>
          <t>200분</t>
        </is>
      </c>
      <c r="D229" s="47" t="inlineStr">
        <is>
          <t>100건</t>
        </is>
      </c>
      <c r="E229" s="47" t="inlineStr">
        <is>
          <t>월 6GB</t>
        </is>
      </c>
      <c r="F229" s="47" t="inlineStr">
        <is>
          <t>LG U+</t>
        </is>
      </c>
      <c r="G229" s="47" t="inlineStr">
        <is>
          <t>LTE</t>
        </is>
      </c>
      <c r="H229" s="48" t="n">
        <v>880</v>
      </c>
      <c r="I229" s="48" t="n">
        <v>12</v>
      </c>
      <c r="J229" s="48" t="n">
        <v>14300</v>
      </c>
      <c r="K229" s="47">
        <f t="array" ref="K229">_xlfn.XLOOKUP(1,(참조!$B$2:$B$15=E229)*(참조!$D$2:$D$15=C229)*(참조!$E$2:$E$15=D229),참조!$C$2:$C$15,"")</f>
        <v/>
      </c>
    </row>
    <row r="230" hidden="1" s="27">
      <c r="A230" s="47" t="inlineStr">
        <is>
          <t>이지모바일</t>
        </is>
      </c>
      <c r="B230" s="47" t="inlineStr">
        <is>
          <t>오래쓰는 All 무제한</t>
        </is>
      </c>
      <c r="C230" s="47" t="inlineStr">
        <is>
          <t>무제한</t>
        </is>
      </c>
      <c r="D230" s="47" t="inlineStr">
        <is>
          <t>무제한</t>
        </is>
      </c>
      <c r="E230" s="47" t="inlineStr">
        <is>
          <t>월 11GB + 매일 2GB + 3Mbps</t>
        </is>
      </c>
      <c r="F230" s="47" t="inlineStr">
        <is>
          <t>LG U+</t>
        </is>
      </c>
      <c r="G230" s="47" t="inlineStr">
        <is>
          <t>LTE</t>
        </is>
      </c>
      <c r="H230" s="48" t="n">
        <v>23100</v>
      </c>
      <c r="I230" s="48" t="n">
        <v>12</v>
      </c>
      <c r="J230" s="48" t="n">
        <v>39600</v>
      </c>
      <c r="K230" s="47">
        <f t="array" ref="K230">_xlfn.XLOOKUP(1,(참조!$B$2:$B$15=E230)*(참조!$D$2:$D$15=C230)*(참조!$E$2:$E$15=D230),참조!$C$2:$C$15,"")</f>
        <v/>
      </c>
    </row>
    <row r="231" hidden="1" s="27">
      <c r="A231" s="47" t="inlineStr">
        <is>
          <t>KG모바일</t>
        </is>
      </c>
      <c r="B231" s="47" t="inlineStr">
        <is>
          <t>[평생할인] 유심 5G 125GB+</t>
        </is>
      </c>
      <c r="C231" s="47" t="inlineStr">
        <is>
          <t>무제한</t>
        </is>
      </c>
      <c r="D231" s="47" t="inlineStr">
        <is>
          <t>무제한</t>
        </is>
      </c>
      <c r="E231" s="47" t="inlineStr">
        <is>
          <t>월 125GB + 5Mbps</t>
        </is>
      </c>
      <c r="F231" s="47" t="inlineStr">
        <is>
          <t>LG U+</t>
        </is>
      </c>
      <c r="G231" s="47" t="inlineStr">
        <is>
          <t>5G</t>
        </is>
      </c>
      <c r="H231" s="48" t="n">
        <v>34000</v>
      </c>
      <c r="I231" s="48" t="n"/>
      <c r="J231" s="48" t="n"/>
      <c r="K231" s="47">
        <f t="array" ref="K231">_xlfn.XLOOKUP(1,(참조!$B$2:$B$15=E231)*(참조!$D$2:$D$15=C231)*(참조!$E$2:$E$15=D231),참조!$C$2:$C$15,"")</f>
        <v/>
      </c>
    </row>
    <row r="232" hidden="1" s="27">
      <c r="A232" s="47" t="inlineStr">
        <is>
          <t>티플러스</t>
        </is>
      </c>
      <c r="B232" s="47" t="inlineStr">
        <is>
          <t>KT 11GB+ (밀리의서재+올리브영 매월 5천원 상품권!)</t>
        </is>
      </c>
      <c r="C232" s="47" t="inlineStr">
        <is>
          <t>무제한</t>
        </is>
      </c>
      <c r="D232" s="47" t="inlineStr">
        <is>
          <t>무제한</t>
        </is>
      </c>
      <c r="E232" s="47" t="inlineStr">
        <is>
          <t>월 11GB + 매일 2GB + 3Mbps</t>
        </is>
      </c>
      <c r="F232" s="47" t="inlineStr">
        <is>
          <t>KT</t>
        </is>
      </c>
      <c r="G232" s="47" t="inlineStr">
        <is>
          <t>LTE</t>
        </is>
      </c>
      <c r="H232" s="48" t="n">
        <v>7900</v>
      </c>
      <c r="I232" s="48" t="n">
        <v>7</v>
      </c>
      <c r="J232" s="48" t="n">
        <v>45100</v>
      </c>
      <c r="K232" s="47">
        <f t="array" ref="K232">_xlfn.XLOOKUP(1,(참조!$B$2:$B$15=E232)*(참조!$D$2:$D$15=C232)*(참조!$E$2:$E$15=D232),참조!$C$2:$C$15,"")</f>
        <v/>
      </c>
    </row>
    <row r="233" hidden="1" s="27">
      <c r="A233" s="47" t="inlineStr">
        <is>
          <t>KG모바일</t>
        </is>
      </c>
      <c r="B233" s="47" t="inlineStr">
        <is>
          <t>[평생할인] 데이터 마음대로 (5GB+/200분)</t>
        </is>
      </c>
      <c r="C233" s="47" t="inlineStr">
        <is>
          <t>200분</t>
        </is>
      </c>
      <c r="D233" s="47" t="inlineStr">
        <is>
          <t>100건</t>
        </is>
      </c>
      <c r="E233" s="47" t="inlineStr">
        <is>
          <t>월 5GB + 1Mbps</t>
        </is>
      </c>
      <c r="F233" s="47" t="inlineStr">
        <is>
          <t>LG U+</t>
        </is>
      </c>
      <c r="G233" s="47" t="inlineStr">
        <is>
          <t>LTE</t>
        </is>
      </c>
      <c r="H233" s="48" t="n">
        <v>3100</v>
      </c>
      <c r="I233" s="48" t="n"/>
      <c r="J233" s="48" t="n"/>
      <c r="K233" s="47">
        <f t="array" ref="K233">_xlfn.XLOOKUP(1,(참조!$B$2:$B$15=E233)*(참조!$D$2:$D$15=C233)*(참조!$E$2:$E$15=D233),참조!$C$2:$C$15,"")</f>
        <v/>
      </c>
    </row>
    <row r="234" hidden="1" s="27">
      <c r="A234" s="47" t="inlineStr">
        <is>
          <t>KG모바일</t>
        </is>
      </c>
      <c r="B234" s="47" t="inlineStr">
        <is>
          <t>[평생할인] 통화, 데이터 마음대로 Pro</t>
        </is>
      </c>
      <c r="C234" s="47" t="inlineStr">
        <is>
          <t>무제한</t>
        </is>
      </c>
      <c r="D234" s="47" t="inlineStr">
        <is>
          <t>무제한</t>
        </is>
      </c>
      <c r="E234" s="47" t="inlineStr">
        <is>
          <t>매일 5GB + 5Mbps</t>
        </is>
      </c>
      <c r="F234" s="47" t="inlineStr">
        <is>
          <t>LG U+</t>
        </is>
      </c>
      <c r="G234" s="47" t="inlineStr">
        <is>
          <t>LTE</t>
        </is>
      </c>
      <c r="H234" s="48" t="n">
        <v>34000</v>
      </c>
      <c r="I234" s="48" t="n"/>
      <c r="J234" s="48" t="n"/>
      <c r="K234" s="47">
        <f t="array" ref="K234">_xlfn.XLOOKUP(1,(참조!$B$2:$B$15=E234)*(참조!$D$2:$D$15=C234)*(참조!$E$2:$E$15=D234),참조!$C$2:$C$15,"")</f>
        <v/>
      </c>
    </row>
    <row r="235" hidden="1" s="27">
      <c r="A235" s="47" t="inlineStr">
        <is>
          <t>더원모바일</t>
        </is>
      </c>
      <c r="B235" s="47" t="inlineStr">
        <is>
          <t>TOP 11GB 기본 (CU할인)</t>
        </is>
      </c>
      <c r="C235" s="47" t="inlineStr">
        <is>
          <t>무제한</t>
        </is>
      </c>
      <c r="D235" s="47" t="inlineStr">
        <is>
          <t>무제한</t>
        </is>
      </c>
      <c r="E235" s="47" t="inlineStr">
        <is>
          <t>월 11GB + 매일 2GB + 3Mbps</t>
        </is>
      </c>
      <c r="F235" s="47" t="inlineStr">
        <is>
          <t>KT</t>
        </is>
      </c>
      <c r="G235" s="47" t="inlineStr">
        <is>
          <t>LTE</t>
        </is>
      </c>
      <c r="H235" s="48" t="n">
        <v>7700</v>
      </c>
      <c r="I235" s="48" t="n">
        <v>7</v>
      </c>
      <c r="J235" s="48" t="n">
        <v>38500</v>
      </c>
      <c r="K235" s="47">
        <f t="array" ref="K235">_xlfn.XLOOKUP(1,(참조!$B$2:$B$15=E235)*(참조!$D$2:$D$15=C235)*(참조!$E$2:$E$15=D235),참조!$C$2:$C$15,"")</f>
        <v/>
      </c>
    </row>
    <row r="236" hidden="1" s="27">
      <c r="A236" s="47" t="inlineStr">
        <is>
          <t>시월모바일</t>
        </is>
      </c>
      <c r="B236" s="47" t="inlineStr">
        <is>
          <t>두해 통화기본11GB+매일2GB</t>
        </is>
      </c>
      <c r="C236" s="47" t="inlineStr">
        <is>
          <t>무제한</t>
        </is>
      </c>
      <c r="D236" s="47" t="inlineStr">
        <is>
          <t>무제한</t>
        </is>
      </c>
      <c r="E236" s="47" t="inlineStr">
        <is>
          <t>월 11GB + 매일 2GB + 3Mbps</t>
        </is>
      </c>
      <c r="F236" s="47" t="inlineStr">
        <is>
          <t>LG U+</t>
        </is>
      </c>
      <c r="G236" s="47" t="inlineStr">
        <is>
          <t>LTE</t>
        </is>
      </c>
      <c r="H236" s="48" t="n">
        <v>25860</v>
      </c>
      <c r="I236" s="48" t="n">
        <v>24</v>
      </c>
      <c r="J236" s="48" t="n">
        <v>39610</v>
      </c>
      <c r="K236" s="47">
        <f t="array" ref="K236">_xlfn.XLOOKUP(1,(참조!$B$2:$B$15=E236)*(참조!$D$2:$D$15=C236)*(참조!$E$2:$E$15=D236),참조!$C$2:$C$15,"")</f>
        <v/>
      </c>
    </row>
    <row r="237" hidden="1" s="27">
      <c r="A237" s="47" t="inlineStr">
        <is>
          <t>티플러스</t>
        </is>
      </c>
      <c r="B237" s="47" t="inlineStr">
        <is>
          <t>가성비플러스(20GB/350분)_평생요금</t>
        </is>
      </c>
      <c r="C237" s="47" t="inlineStr">
        <is>
          <t>350분</t>
        </is>
      </c>
      <c r="D237" s="47" t="inlineStr">
        <is>
          <t>100건</t>
        </is>
      </c>
      <c r="E237" s="47" t="inlineStr">
        <is>
          <t>월 20GB</t>
        </is>
      </c>
      <c r="F237" s="47" t="inlineStr">
        <is>
          <t>KT</t>
        </is>
      </c>
      <c r="G237" s="47" t="inlineStr">
        <is>
          <t>LTE</t>
        </is>
      </c>
      <c r="H237" s="48" t="n">
        <v>8900</v>
      </c>
      <c r="I237" s="48" t="n"/>
      <c r="J237" s="48" t="n"/>
      <c r="K237" s="47">
        <f t="array" ref="K237">_xlfn.XLOOKUP(1,(참조!$B$2:$B$15=E237)*(참조!$D$2:$D$15=C237)*(참조!$E$2:$E$15=D237),참조!$C$2:$C$15,"")</f>
        <v/>
      </c>
    </row>
    <row r="238" hidden="1" s="27">
      <c r="A238" s="47" t="inlineStr">
        <is>
          <t>인스모바일</t>
        </is>
      </c>
      <c r="B238" s="47" t="inlineStr">
        <is>
          <t>데이터 안심 10GB+(USIM)</t>
        </is>
      </c>
      <c r="C238" s="47" t="inlineStr">
        <is>
          <t>100분</t>
        </is>
      </c>
      <c r="D238" s="47" t="inlineStr">
        <is>
          <t>100건</t>
        </is>
      </c>
      <c r="E238" s="47" t="inlineStr">
        <is>
          <t>월 10GB + 1Mbps</t>
        </is>
      </c>
      <c r="F238" s="47" t="inlineStr">
        <is>
          <t>LG U+</t>
        </is>
      </c>
      <c r="G238" s="47" t="inlineStr">
        <is>
          <t>LTE</t>
        </is>
      </c>
      <c r="H238" s="48" t="n">
        <v>10</v>
      </c>
      <c r="I238" s="48" t="n">
        <v>6</v>
      </c>
      <c r="J238" s="48" t="n">
        <v>31900</v>
      </c>
      <c r="K238" s="47">
        <f t="array" ref="K238">_xlfn.XLOOKUP(1,(참조!$B$2:$B$15=E238)*(참조!$D$2:$D$15=C238)*(참조!$E$2:$E$15=D238),참조!$C$2:$C$15,"")</f>
        <v/>
      </c>
    </row>
    <row r="239" hidden="1" s="27">
      <c r="A239" s="47" t="inlineStr">
        <is>
          <t>찬스모바일</t>
        </is>
      </c>
      <c r="B239" s="47" t="inlineStr">
        <is>
          <t>[CHM] 음성 100분 5GB+</t>
        </is>
      </c>
      <c r="C239" s="47" t="inlineStr">
        <is>
          <t>100분</t>
        </is>
      </c>
      <c r="D239" s="47" t="inlineStr">
        <is>
          <t>100건</t>
        </is>
      </c>
      <c r="E239" s="47" t="inlineStr">
        <is>
          <t>월 5GB + 1Mbps</t>
        </is>
      </c>
      <c r="F239" s="47" t="inlineStr">
        <is>
          <t>LG U+</t>
        </is>
      </c>
      <c r="G239" s="47" t="inlineStr">
        <is>
          <t>LTE</t>
        </is>
      </c>
      <c r="H239" s="48" t="n">
        <v>10</v>
      </c>
      <c r="I239" s="48" t="n">
        <v>6</v>
      </c>
      <c r="J239" s="48" t="n">
        <v>15400</v>
      </c>
      <c r="K239" s="47">
        <f t="array" ref="K239">_xlfn.XLOOKUP(1,(참조!$B$2:$B$15=E239)*(참조!$D$2:$D$15=C239)*(참조!$E$2:$E$15=D239),참조!$C$2:$C$15,"")</f>
        <v/>
      </c>
    </row>
    <row r="240" hidden="1" s="27">
      <c r="A240" s="47" t="inlineStr">
        <is>
          <t>이야기모바일</t>
        </is>
      </c>
      <c r="B240" s="47" t="inlineStr">
        <is>
          <t>이야기 라이트 4.5GB+</t>
        </is>
      </c>
      <c r="C240" s="47" t="inlineStr">
        <is>
          <t>무제한</t>
        </is>
      </c>
      <c r="D240" s="47" t="inlineStr">
        <is>
          <t>무제한</t>
        </is>
      </c>
      <c r="E240" s="47" t="inlineStr">
        <is>
          <t>월 4.5GB + 1Mbps</t>
        </is>
      </c>
      <c r="F240" s="47" t="inlineStr">
        <is>
          <t>LG U+</t>
        </is>
      </c>
      <c r="G240" s="47" t="inlineStr">
        <is>
          <t>LTE</t>
        </is>
      </c>
      <c r="H240" s="48" t="n">
        <v>10</v>
      </c>
      <c r="I240" s="48" t="n">
        <v>6</v>
      </c>
      <c r="J240" s="48" t="n">
        <v>18700</v>
      </c>
      <c r="K240" s="47">
        <f t="array" ref="K240">_xlfn.XLOOKUP(1,(참조!$B$2:$B$15=E240)*(참조!$D$2:$D$15=C240)*(참조!$E$2:$E$15=D240),참조!$C$2:$C$15,"")</f>
        <v/>
      </c>
    </row>
    <row r="241" hidden="1" s="27">
      <c r="A241" s="47" t="inlineStr">
        <is>
          <t>쉐이크모바일</t>
        </is>
      </c>
      <c r="B241" s="47" t="inlineStr">
        <is>
          <t>[모요only] 쉐이크 LTE 11GB+_모아진 전자 구독</t>
        </is>
      </c>
      <c r="C241" s="47" t="inlineStr">
        <is>
          <t>무제한</t>
        </is>
      </c>
      <c r="D241" s="47" t="inlineStr">
        <is>
          <t>무제한</t>
        </is>
      </c>
      <c r="E241" s="47" t="inlineStr">
        <is>
          <t>월 11GB + 매일 2GB + 3Mbps</t>
        </is>
      </c>
      <c r="F241" s="47" t="inlineStr">
        <is>
          <t>KT</t>
        </is>
      </c>
      <c r="G241" s="47" t="inlineStr">
        <is>
          <t>LTE</t>
        </is>
      </c>
      <c r="H241" s="48" t="n">
        <v>7800</v>
      </c>
      <c r="I241" s="48" t="n">
        <v>7</v>
      </c>
      <c r="J241" s="48" t="n">
        <v>40700</v>
      </c>
      <c r="K241" s="47">
        <f t="array" ref="K241">_xlfn.XLOOKUP(1,(참조!$B$2:$B$15=E241)*(참조!$D$2:$D$15=C241)*(참조!$E$2:$E$15=D241),참조!$C$2:$C$15,"")</f>
        <v/>
      </c>
    </row>
    <row r="242" hidden="1" s="27">
      <c r="A242" s="47" t="inlineStr">
        <is>
          <t>쉐이크모바일</t>
        </is>
      </c>
      <c r="B242" s="47" t="inlineStr">
        <is>
          <t>[모요only] 쉐이크 LTE 11GB+_CU</t>
        </is>
      </c>
      <c r="C242" s="47" t="inlineStr">
        <is>
          <t>무제한</t>
        </is>
      </c>
      <c r="D242" s="47" t="inlineStr">
        <is>
          <t>무제한</t>
        </is>
      </c>
      <c r="E242" s="47" t="inlineStr">
        <is>
          <t>월 11GB + 매일 2GB + 3Mbps</t>
        </is>
      </c>
      <c r="F242" s="47" t="inlineStr">
        <is>
          <t>KT</t>
        </is>
      </c>
      <c r="G242" s="47" t="inlineStr">
        <is>
          <t>LTE</t>
        </is>
      </c>
      <c r="H242" s="48" t="n">
        <v>7800</v>
      </c>
      <c r="I242" s="48" t="n">
        <v>7</v>
      </c>
      <c r="J242" s="48" t="n">
        <v>40700</v>
      </c>
      <c r="K242" s="47">
        <f t="array" ref="K242">_xlfn.XLOOKUP(1,(참조!$B$2:$B$15=E242)*(참조!$D$2:$D$15=C242)*(참조!$E$2:$E$15=D242),참조!$C$2:$C$15,"")</f>
        <v/>
      </c>
    </row>
    <row r="243" hidden="1" s="27">
      <c r="A243" s="47" t="inlineStr">
        <is>
          <t>U+유모바일</t>
        </is>
      </c>
      <c r="B243" s="47" t="inlineStr">
        <is>
          <t>[평생할인] 2.5GB/통화기본</t>
        </is>
      </c>
      <c r="C243" s="47" t="inlineStr">
        <is>
          <t>무제한</t>
        </is>
      </c>
      <c r="D243" s="47" t="inlineStr">
        <is>
          <t>무제한</t>
        </is>
      </c>
      <c r="E243" s="47" t="inlineStr">
        <is>
          <t>월 2.5GB</t>
        </is>
      </c>
      <c r="F243" s="47" t="inlineStr">
        <is>
          <t>LG U+</t>
        </is>
      </c>
      <c r="G243" s="47" t="inlineStr">
        <is>
          <t>LTE</t>
        </is>
      </c>
      <c r="H243" s="48" t="n">
        <v>6900</v>
      </c>
      <c r="I243" s="48" t="n"/>
      <c r="J243" s="48" t="n"/>
      <c r="K243" s="47">
        <f t="array" ref="K243">_xlfn.XLOOKUP(1,(참조!$B$2:$B$15=E243)*(참조!$D$2:$D$15=C243)*(참조!$E$2:$E$15=D243),참조!$C$2:$C$15,"")</f>
        <v/>
      </c>
    </row>
    <row r="244" hidden="1" s="27">
      <c r="A244" s="47" t="inlineStr">
        <is>
          <t>고고모바일</t>
        </is>
      </c>
      <c r="B244" s="47" t="inlineStr">
        <is>
          <t>5G200분/10GB</t>
        </is>
      </c>
      <c r="C244" s="47" t="inlineStr">
        <is>
          <t>200분</t>
        </is>
      </c>
      <c r="D244" s="47" t="inlineStr">
        <is>
          <t>100건</t>
        </is>
      </c>
      <c r="E244" s="47" t="inlineStr">
        <is>
          <t>월 10GB</t>
        </is>
      </c>
      <c r="F244" s="47" t="inlineStr">
        <is>
          <t>KT</t>
        </is>
      </c>
      <c r="G244" s="47" t="inlineStr">
        <is>
          <t>5G</t>
        </is>
      </c>
      <c r="H244" s="48" t="n">
        <v>16170</v>
      </c>
      <c r="I244" s="48" t="n"/>
      <c r="J244" s="48" t="n"/>
      <c r="K244" s="47">
        <f t="array" ref="K244">_xlfn.XLOOKUP(1,(참조!$B$2:$B$15=E244)*(참조!$D$2:$D$15=C244)*(참조!$E$2:$E$15=D244),참조!$C$2:$C$15,"")</f>
        <v/>
      </c>
    </row>
    <row r="245" hidden="1" s="27">
      <c r="A245" s="47" t="inlineStr">
        <is>
          <t>티플러스</t>
        </is>
      </c>
      <c r="B245" s="47" t="inlineStr">
        <is>
          <t>완전마음껏 100GB＋＋(밀리의서재)_24개월할인</t>
        </is>
      </c>
      <c r="C245" s="47" t="inlineStr">
        <is>
          <t>무제한</t>
        </is>
      </c>
      <c r="D245" s="47" t="inlineStr">
        <is>
          <t>무제한</t>
        </is>
      </c>
      <c r="E245" s="47" t="inlineStr">
        <is>
          <t>월 100GB + 5Mbps</t>
        </is>
      </c>
      <c r="F245" s="47" t="inlineStr">
        <is>
          <t>KT</t>
        </is>
      </c>
      <c r="G245" s="47" t="inlineStr">
        <is>
          <t>LTE</t>
        </is>
      </c>
      <c r="H245" s="48" t="n">
        <v>26900</v>
      </c>
      <c r="I245" s="48" t="n">
        <v>24</v>
      </c>
      <c r="J245" s="48" t="n">
        <v>48400</v>
      </c>
      <c r="K245" s="47">
        <f t="array" ref="K245">_xlfn.XLOOKUP(1,(참조!$B$2:$B$15=E245)*(참조!$D$2:$D$15=C245)*(참조!$E$2:$E$15=D245),참조!$C$2:$C$15,"")</f>
        <v/>
      </c>
    </row>
    <row r="246" hidden="1" s="27">
      <c r="A246" s="47" t="inlineStr">
        <is>
          <t>U+유모바일</t>
        </is>
      </c>
      <c r="B246" s="47" t="inlineStr">
        <is>
          <t>[평생할인] 9GB/3000분</t>
        </is>
      </c>
      <c r="C246" s="47" t="inlineStr">
        <is>
          <t>3,000분</t>
        </is>
      </c>
      <c r="D246" s="47" t="inlineStr">
        <is>
          <t>1,000건</t>
        </is>
      </c>
      <c r="E246" s="47" t="inlineStr">
        <is>
          <t>월 9GB</t>
        </is>
      </c>
      <c r="F246" s="47" t="inlineStr">
        <is>
          <t>LG U+</t>
        </is>
      </c>
      <c r="G246" s="47" t="inlineStr">
        <is>
          <t>LTE</t>
        </is>
      </c>
      <c r="H246" s="48" t="n">
        <v>12500</v>
      </c>
      <c r="I246" s="48" t="n"/>
      <c r="J246" s="48" t="n"/>
      <c r="K246" s="47">
        <f t="array" ref="K246">_xlfn.XLOOKUP(1,(참조!$B$2:$B$15=E246)*(참조!$D$2:$D$15=C246)*(참조!$E$2:$E$15=D246),참조!$C$2:$C$15,"")</f>
        <v/>
      </c>
    </row>
    <row r="247" hidden="1" s="27">
      <c r="A247" s="47" t="inlineStr">
        <is>
          <t>KG모바일</t>
        </is>
      </c>
      <c r="B247" s="47" t="inlineStr">
        <is>
          <t>[평생할인] 데이터 마음대로 (10GB+/200분)</t>
        </is>
      </c>
      <c r="C247" s="47" t="inlineStr">
        <is>
          <t>200분</t>
        </is>
      </c>
      <c r="D247" s="47" t="inlineStr">
        <is>
          <t>100건</t>
        </is>
      </c>
      <c r="E247" s="47" t="inlineStr">
        <is>
          <t>월 10GB + 1Mbps</t>
        </is>
      </c>
      <c r="F247" s="47" t="inlineStr">
        <is>
          <t>LG U+</t>
        </is>
      </c>
      <c r="G247" s="47" t="inlineStr">
        <is>
          <t>LTE</t>
        </is>
      </c>
      <c r="H247" s="48" t="n">
        <v>5800</v>
      </c>
      <c r="I247" s="48" t="n"/>
      <c r="J247" s="48" t="n"/>
      <c r="K247" s="47">
        <f t="array" ref="K247">_xlfn.XLOOKUP(1,(참조!$B$2:$B$15=E247)*(참조!$D$2:$D$15=C247)*(참조!$E$2:$E$15=D247),참조!$C$2:$C$15,"")</f>
        <v/>
      </c>
    </row>
    <row r="248" hidden="1" s="27">
      <c r="A248" s="47" t="inlineStr">
        <is>
          <t>KT엠모바일</t>
        </is>
      </c>
      <c r="B248" s="47" t="inlineStr">
        <is>
          <t>통화 맘껏 10GB</t>
        </is>
      </c>
      <c r="C248" s="47" t="inlineStr">
        <is>
          <t>무제한</t>
        </is>
      </c>
      <c r="D248" s="47" t="inlineStr">
        <is>
          <t>무제한</t>
        </is>
      </c>
      <c r="E248" s="47" t="inlineStr">
        <is>
          <t>월 10GB</t>
        </is>
      </c>
      <c r="F248" s="47" t="inlineStr">
        <is>
          <t>KT</t>
        </is>
      </c>
      <c r="G248" s="47" t="inlineStr">
        <is>
          <t>LTE</t>
        </is>
      </c>
      <c r="H248" s="48" t="n">
        <v>10400</v>
      </c>
      <c r="I248" s="48" t="n"/>
      <c r="J248" s="48" t="n"/>
      <c r="K248" s="47">
        <f t="array" ref="K248">_xlfn.XLOOKUP(1,(참조!$B$2:$B$15=E248)*(참조!$D$2:$D$15=C248)*(참조!$E$2:$E$15=D248),참조!$C$2:$C$15,"")</f>
        <v/>
      </c>
    </row>
    <row r="249" hidden="1" s="27">
      <c r="A249" s="47" t="inlineStr">
        <is>
          <t>KT스카이라이프</t>
        </is>
      </c>
      <c r="B249" s="47" t="inlineStr">
        <is>
          <t>통화 충분 1.5GB</t>
        </is>
      </c>
      <c r="C249" s="47" t="inlineStr">
        <is>
          <t>무제한</t>
        </is>
      </c>
      <c r="D249" s="47" t="inlineStr">
        <is>
          <t>무제한</t>
        </is>
      </c>
      <c r="E249" s="47" t="inlineStr">
        <is>
          <t>월 1.5GB</t>
        </is>
      </c>
      <c r="F249" s="47" t="inlineStr">
        <is>
          <t>KT</t>
        </is>
      </c>
      <c r="G249" s="47" t="inlineStr">
        <is>
          <t>LTE</t>
        </is>
      </c>
      <c r="H249" s="48" t="n">
        <v>6600</v>
      </c>
      <c r="I249" s="48" t="n"/>
      <c r="J249" s="48" t="n"/>
      <c r="K249" s="47">
        <f t="array" ref="K249">_xlfn.XLOOKUP(1,(참조!$B$2:$B$15=E249)*(참조!$D$2:$D$15=C249)*(참조!$E$2:$E$15=D249),참조!$C$2:$C$15,"")</f>
        <v/>
      </c>
    </row>
    <row r="250" hidden="1" s="27">
      <c r="A250" s="47" t="inlineStr">
        <is>
          <t>더원모바일</t>
        </is>
      </c>
      <c r="B250" s="47" t="inlineStr">
        <is>
          <t>TOP 100GB 기본 (올리브영)</t>
        </is>
      </c>
      <c r="C250" s="47" t="inlineStr">
        <is>
          <t>무제한</t>
        </is>
      </c>
      <c r="D250" s="47" t="inlineStr">
        <is>
          <t>무제한</t>
        </is>
      </c>
      <c r="E250" s="47" t="inlineStr">
        <is>
          <t>월 100GB + 5Mbps</t>
        </is>
      </c>
      <c r="F250" s="47" t="inlineStr">
        <is>
          <t>KT</t>
        </is>
      </c>
      <c r="G250" s="47" t="inlineStr">
        <is>
          <t>LTE</t>
        </is>
      </c>
      <c r="H250" s="48" t="n">
        <v>22990</v>
      </c>
      <c r="I250" s="48" t="n">
        <v>12</v>
      </c>
      <c r="J250" s="48" t="n">
        <v>46200</v>
      </c>
      <c r="K250" s="47">
        <f t="array" ref="K250">_xlfn.XLOOKUP(1,(참조!$B$2:$B$15=E250)*(참조!$D$2:$D$15=C250)*(참조!$E$2:$E$15=D250),참조!$C$2:$C$15,"")</f>
        <v/>
      </c>
    </row>
    <row r="251" hidden="1" s="27">
      <c r="A251" s="47" t="inlineStr">
        <is>
          <t>더원모바일</t>
        </is>
      </c>
      <c r="B251" s="47" t="inlineStr">
        <is>
          <t>TOP 100GB 기본 (웨이브 광고형)</t>
        </is>
      </c>
      <c r="C251" s="47" t="inlineStr">
        <is>
          <t>무제한</t>
        </is>
      </c>
      <c r="D251" s="47" t="inlineStr">
        <is>
          <t>무제한</t>
        </is>
      </c>
      <c r="E251" s="47" t="inlineStr">
        <is>
          <t>월 100GB + 5Mbps</t>
        </is>
      </c>
      <c r="F251" s="47" t="inlineStr">
        <is>
          <t>KT</t>
        </is>
      </c>
      <c r="G251" s="47" t="inlineStr">
        <is>
          <t>LTE</t>
        </is>
      </c>
      <c r="H251" s="48" t="n">
        <v>22990</v>
      </c>
      <c r="I251" s="48" t="n">
        <v>12</v>
      </c>
      <c r="J251" s="48" t="n">
        <v>46200</v>
      </c>
      <c r="K251" s="47">
        <f t="array" ref="K251">_xlfn.XLOOKUP(1,(참조!$B$2:$B$15=E251)*(참조!$D$2:$D$15=C251)*(참조!$E$2:$E$15=D251),참조!$C$2:$C$15,"")</f>
        <v/>
      </c>
    </row>
    <row r="252" hidden="1" s="27">
      <c r="A252" s="47" t="inlineStr">
        <is>
          <t>티플러스</t>
        </is>
      </c>
      <c r="B252" s="47" t="inlineStr">
        <is>
          <t>가성비플러스(20GB/350분)</t>
        </is>
      </c>
      <c r="C252" s="47" t="inlineStr">
        <is>
          <t>350분</t>
        </is>
      </c>
      <c r="D252" s="47" t="inlineStr">
        <is>
          <t>100건</t>
        </is>
      </c>
      <c r="E252" s="47" t="inlineStr">
        <is>
          <t>월 20GB</t>
        </is>
      </c>
      <c r="F252" s="47" t="inlineStr">
        <is>
          <t>KT</t>
        </is>
      </c>
      <c r="G252" s="47" t="inlineStr">
        <is>
          <t>LTE</t>
        </is>
      </c>
      <c r="H252" s="48" t="n">
        <v>900</v>
      </c>
      <c r="I252" s="48" t="n">
        <v>7</v>
      </c>
      <c r="J252" s="48" t="n">
        <v>29700</v>
      </c>
      <c r="K252" s="47">
        <f t="array" ref="K252">_xlfn.XLOOKUP(1,(참조!$B$2:$B$15=E252)*(참조!$D$2:$D$15=C252)*(참조!$E$2:$E$15=D252),참조!$C$2:$C$15,"")</f>
        <v/>
      </c>
    </row>
    <row r="253" hidden="1" s="27">
      <c r="A253" s="47" t="inlineStr">
        <is>
          <t>모나</t>
        </is>
      </c>
      <c r="B253" s="47" t="inlineStr">
        <is>
          <t>모나기본4.5G안심1+</t>
        </is>
      </c>
      <c r="C253" s="47" t="inlineStr">
        <is>
          <t>무제한</t>
        </is>
      </c>
      <c r="D253" s="47" t="inlineStr">
        <is>
          <t>무제한</t>
        </is>
      </c>
      <c r="E253" s="47" t="inlineStr">
        <is>
          <t>월 4.5GB + 1Mbps</t>
        </is>
      </c>
      <c r="F253" s="47" t="inlineStr">
        <is>
          <t>LG U+</t>
        </is>
      </c>
      <c r="G253" s="47" t="inlineStr">
        <is>
          <t>LTE</t>
        </is>
      </c>
      <c r="H253" s="48" t="n">
        <v>10</v>
      </c>
      <c r="I253" s="48" t="n">
        <v>6</v>
      </c>
      <c r="J253" s="48" t="n">
        <v>29700</v>
      </c>
      <c r="K253" s="47">
        <f t="array" ref="K253">_xlfn.XLOOKUP(1,(참조!$B$2:$B$15=E253)*(참조!$D$2:$D$15=C253)*(참조!$E$2:$E$15=D253),참조!$C$2:$C$15,"")</f>
        <v/>
      </c>
    </row>
    <row r="254" hidden="1" s="27">
      <c r="A254" s="47" t="inlineStr">
        <is>
          <t>찬스모바일</t>
        </is>
      </c>
      <c r="B254" s="47" t="inlineStr">
        <is>
          <t>음성기본 11GB+일 2GB+_24개월</t>
        </is>
      </c>
      <c r="C254" s="47" t="inlineStr">
        <is>
          <t>무제한</t>
        </is>
      </c>
      <c r="D254" s="47" t="inlineStr">
        <is>
          <t>무제한</t>
        </is>
      </c>
      <c r="E254" s="47" t="inlineStr">
        <is>
          <t>월 11GB + 매일 2GB + 3Mbps</t>
        </is>
      </c>
      <c r="F254" s="47" t="inlineStr">
        <is>
          <t>LG U+</t>
        </is>
      </c>
      <c r="G254" s="47" t="inlineStr">
        <is>
          <t>LTE</t>
        </is>
      </c>
      <c r="H254" s="48" t="n">
        <v>25410</v>
      </c>
      <c r="I254" s="48" t="n">
        <v>24</v>
      </c>
      <c r="J254" s="48" t="n">
        <v>38500</v>
      </c>
      <c r="K254" s="47">
        <f t="array" ref="K254">_xlfn.XLOOKUP(1,(참조!$B$2:$B$15=E254)*(참조!$D$2:$D$15=C254)*(참조!$E$2:$E$15=D254),참조!$C$2:$C$15,"")</f>
        <v/>
      </c>
    </row>
    <row r="255" hidden="1" s="27">
      <c r="A255" s="47" t="inlineStr">
        <is>
          <t>이지모바일</t>
        </is>
      </c>
      <c r="B255" s="47" t="inlineStr">
        <is>
          <t>[선착순 특가]EG 7무제한 15G+1(매월10GB+CU할인)</t>
        </is>
      </c>
      <c r="C255" s="47" t="inlineStr">
        <is>
          <t>무제한</t>
        </is>
      </c>
      <c r="D255" s="47" t="inlineStr">
        <is>
          <t>무제한</t>
        </is>
      </c>
      <c r="E255" s="47" t="inlineStr">
        <is>
          <t>월 15GB + 1Mbps</t>
        </is>
      </c>
      <c r="F255" s="47" t="inlineStr">
        <is>
          <t>KT</t>
        </is>
      </c>
      <c r="G255" s="47" t="inlineStr">
        <is>
          <t>LTE</t>
        </is>
      </c>
      <c r="H255" s="48" t="n">
        <v>4900</v>
      </c>
      <c r="I255" s="48" t="n">
        <v>7</v>
      </c>
      <c r="J255" s="48" t="n">
        <v>26950</v>
      </c>
      <c r="K255" s="47">
        <f t="array" ref="K255">_xlfn.XLOOKUP(1,(참조!$B$2:$B$15=E255)*(참조!$D$2:$D$15=C255)*(참조!$E$2:$E$15=D255),참조!$C$2:$C$15,"")</f>
        <v/>
      </c>
    </row>
    <row r="256" hidden="1" s="27">
      <c r="A256" s="47" t="inlineStr">
        <is>
          <t>KG모바일</t>
        </is>
      </c>
      <c r="B256" s="47" t="inlineStr">
        <is>
          <t>[일반] 유심 5G 95GB+_24개월</t>
        </is>
      </c>
      <c r="C256" s="47" t="inlineStr">
        <is>
          <t>무제한</t>
        </is>
      </c>
      <c r="D256" s="47" t="inlineStr">
        <is>
          <t>무제한</t>
        </is>
      </c>
      <c r="E256" s="47" t="inlineStr">
        <is>
          <t>월 95GB + 3Mbps</t>
        </is>
      </c>
      <c r="F256" s="47" t="inlineStr">
        <is>
          <t>LG U+</t>
        </is>
      </c>
      <c r="G256" s="47" t="inlineStr">
        <is>
          <t>5G</t>
        </is>
      </c>
      <c r="H256" s="48" t="n">
        <v>26800</v>
      </c>
      <c r="I256" s="48" t="n">
        <v>24</v>
      </c>
      <c r="J256" s="48" t="n">
        <v>49500</v>
      </c>
      <c r="K256" s="47">
        <f t="array" ref="K256">_xlfn.XLOOKUP(1,(참조!$B$2:$B$15=E256)*(참조!$D$2:$D$15=C256)*(참조!$E$2:$E$15=D256),참조!$C$2:$C$15,"")</f>
        <v/>
      </c>
    </row>
    <row r="257" hidden="1" s="27">
      <c r="A257" s="47" t="inlineStr">
        <is>
          <t>고고모바일</t>
        </is>
      </c>
      <c r="B257" s="47" t="inlineStr">
        <is>
          <t>무제한15GB+1M(밀리의서재 매월 무료)</t>
        </is>
      </c>
      <c r="C257" s="47" t="inlineStr">
        <is>
          <t>무제한</t>
        </is>
      </c>
      <c r="D257" s="47" t="inlineStr">
        <is>
          <t>무제한</t>
        </is>
      </c>
      <c r="E257" s="47" t="inlineStr">
        <is>
          <t>월 15GB + 1Mbps</t>
        </is>
      </c>
      <c r="F257" s="47" t="inlineStr">
        <is>
          <t>KT</t>
        </is>
      </c>
      <c r="G257" s="47" t="inlineStr">
        <is>
          <t>LTE</t>
        </is>
      </c>
      <c r="H257" s="48" t="n">
        <v>23870</v>
      </c>
      <c r="I257" s="48" t="n"/>
      <c r="J257" s="48" t="n"/>
      <c r="K257" s="47">
        <f t="array" ref="K257">_xlfn.XLOOKUP(1,(참조!$B$2:$B$15=E257)*(참조!$D$2:$D$15=C257)*(참조!$E$2:$E$15=D257),참조!$C$2:$C$15,"")</f>
        <v/>
      </c>
    </row>
    <row r="258" hidden="1" s="27">
      <c r="A258" s="47" t="inlineStr">
        <is>
          <t>찬스모바일</t>
        </is>
      </c>
      <c r="B258" s="47" t="inlineStr">
        <is>
          <t>찬스 음성기본 15GB+</t>
        </is>
      </c>
      <c r="C258" s="47" t="inlineStr">
        <is>
          <t>무제한</t>
        </is>
      </c>
      <c r="D258" s="47" t="inlineStr">
        <is>
          <t>무제한</t>
        </is>
      </c>
      <c r="E258" s="47" t="inlineStr">
        <is>
          <t>월 15GB + 1Mbps</t>
        </is>
      </c>
      <c r="F258" s="47" t="inlineStr">
        <is>
          <t>LG U+</t>
        </is>
      </c>
      <c r="G258" s="47" t="inlineStr">
        <is>
          <t>LTE</t>
        </is>
      </c>
      <c r="H258" s="48" t="n">
        <v>12989</v>
      </c>
      <c r="I258" s="48" t="n">
        <v>12</v>
      </c>
      <c r="J258" s="48" t="n">
        <v>24100</v>
      </c>
      <c r="K258" s="47">
        <f t="array" ref="K258">_xlfn.XLOOKUP(1,(참조!$B$2:$B$15=E258)*(참조!$D$2:$D$15=C258)*(참조!$E$2:$E$15=D258),참조!$C$2:$C$15,"")</f>
        <v/>
      </c>
    </row>
    <row r="259" hidden="1" s="27">
      <c r="A259" s="47" t="inlineStr">
        <is>
          <t>핀다이렉트</t>
        </is>
      </c>
      <c r="B259" s="47" t="inlineStr">
        <is>
          <t>[모요only] [K] 핀다이렉트Z + 밀리의서재(12) _PIN</t>
        </is>
      </c>
      <c r="C259" s="47" t="inlineStr">
        <is>
          <t>무제한</t>
        </is>
      </c>
      <c r="D259" s="47" t="inlineStr">
        <is>
          <t>무제한</t>
        </is>
      </c>
      <c r="E259" s="47" t="inlineStr">
        <is>
          <t>월 11GB + 매일 2GB + 3Mbps</t>
        </is>
      </c>
      <c r="F259" s="47" t="inlineStr">
        <is>
          <t>KT</t>
        </is>
      </c>
      <c r="G259" s="47" t="inlineStr">
        <is>
          <t>LTE</t>
        </is>
      </c>
      <c r="H259" s="48" t="n">
        <v>23000</v>
      </c>
      <c r="I259" s="48" t="n">
        <v>12</v>
      </c>
      <c r="J259" s="48" t="n">
        <v>39600</v>
      </c>
      <c r="K259" s="47">
        <f t="array" ref="K259">_xlfn.XLOOKUP(1,(참조!$B$2:$B$15=E259)*(참조!$D$2:$D$15=C259)*(참조!$E$2:$E$15=D259),참조!$C$2:$C$15,"")</f>
        <v/>
      </c>
    </row>
    <row r="260" hidden="1" s="27">
      <c r="A260" s="47" t="inlineStr">
        <is>
          <t>U+유모바일</t>
        </is>
      </c>
      <c r="B260" s="47" t="inlineStr">
        <is>
          <t>[평생할인] 1GB+/통화기본</t>
        </is>
      </c>
      <c r="C260" s="47" t="inlineStr">
        <is>
          <t>무제한</t>
        </is>
      </c>
      <c r="D260" s="47" t="inlineStr">
        <is>
          <t>무제한</t>
        </is>
      </c>
      <c r="E260" s="47" t="inlineStr">
        <is>
          <t>월 1GB + 1Mbps</t>
        </is>
      </c>
      <c r="F260" s="47" t="inlineStr">
        <is>
          <t>LG U+</t>
        </is>
      </c>
      <c r="G260" s="47" t="inlineStr">
        <is>
          <t>LTE</t>
        </is>
      </c>
      <c r="H260" s="48" t="n">
        <v>9900</v>
      </c>
      <c r="I260" s="48" t="n"/>
      <c r="J260" s="48" t="n"/>
      <c r="K260" s="47">
        <f t="array" ref="K260">_xlfn.XLOOKUP(1,(참조!$B$2:$B$15=E260)*(참조!$D$2:$D$15=C260)*(참조!$E$2:$E$15=D260),참조!$C$2:$C$15,"")</f>
        <v/>
      </c>
    </row>
    <row r="261" hidden="1" s="27">
      <c r="A261" s="47" t="inlineStr">
        <is>
          <t>티플러스</t>
        </is>
      </c>
      <c r="B261" s="47" t="inlineStr">
        <is>
          <t>5G 티플 110G＋(밀리의서재)</t>
        </is>
      </c>
      <c r="C261" s="47" t="inlineStr">
        <is>
          <t>무제한</t>
        </is>
      </c>
      <c r="D261" s="47" t="inlineStr">
        <is>
          <t>무제한</t>
        </is>
      </c>
      <c r="E261" s="47" t="inlineStr">
        <is>
          <t>월 110GB + 5Mbps</t>
        </is>
      </c>
      <c r="F261" s="47" t="inlineStr">
        <is>
          <t>KT</t>
        </is>
      </c>
      <c r="G261" s="47" t="inlineStr">
        <is>
          <t>5G</t>
        </is>
      </c>
      <c r="H261" s="48" t="n">
        <v>12900</v>
      </c>
      <c r="I261" s="48" t="n">
        <v>7</v>
      </c>
      <c r="J261" s="48" t="n">
        <v>58300</v>
      </c>
      <c r="K261" s="47">
        <f t="array" ref="K261">_xlfn.XLOOKUP(1,(참조!$B$2:$B$15=E261)*(참조!$D$2:$D$15=C261)*(참조!$E$2:$E$15=D261),참조!$C$2:$C$15,"")</f>
        <v/>
      </c>
    </row>
    <row r="262" hidden="1" s="27">
      <c r="A262" s="47" t="inlineStr">
        <is>
          <t>더원모바일</t>
        </is>
      </c>
      <c r="B262" s="47" t="inlineStr">
        <is>
          <t>ONE 5G 30GB 기본</t>
        </is>
      </c>
      <c r="C262" s="47" t="inlineStr">
        <is>
          <t>무제한</t>
        </is>
      </c>
      <c r="D262" s="47" t="inlineStr">
        <is>
          <t>무제한</t>
        </is>
      </c>
      <c r="E262" s="47" t="inlineStr">
        <is>
          <t>월 30GB</t>
        </is>
      </c>
      <c r="F262" s="47" t="inlineStr">
        <is>
          <t>KT</t>
        </is>
      </c>
      <c r="G262" s="47" t="inlineStr">
        <is>
          <t>5G</t>
        </is>
      </c>
      <c r="H262" s="48" t="n">
        <v>8030</v>
      </c>
      <c r="I262" s="48" t="n">
        <v>12</v>
      </c>
      <c r="J262" s="48" t="n">
        <v>39600</v>
      </c>
      <c r="K262" s="47">
        <f t="array" ref="K262">_xlfn.XLOOKUP(1,(참조!$B$2:$B$15=E262)*(참조!$D$2:$D$15=C262)*(참조!$E$2:$E$15=D262),참조!$C$2:$C$15,"")</f>
        <v/>
      </c>
    </row>
    <row r="263" hidden="1" s="27">
      <c r="A263" s="47" t="inlineStr">
        <is>
          <t>이지모바일</t>
        </is>
      </c>
      <c r="B263" s="47" t="inlineStr">
        <is>
          <t>EG 10무제한 100G+5(CU할인)</t>
        </is>
      </c>
      <c r="C263" s="47" t="inlineStr">
        <is>
          <t>무제한</t>
        </is>
      </c>
      <c r="D263" s="47" t="inlineStr">
        <is>
          <t>무제한</t>
        </is>
      </c>
      <c r="E263" s="47" t="inlineStr">
        <is>
          <t>월 100GB + 5Mbps</t>
        </is>
      </c>
      <c r="F263" s="47" t="inlineStr">
        <is>
          <t>KT</t>
        </is>
      </c>
      <c r="G263" s="47" t="inlineStr">
        <is>
          <t>LTE</t>
        </is>
      </c>
      <c r="H263" s="48" t="n">
        <v>23000</v>
      </c>
      <c r="I263" s="48" t="n">
        <v>10</v>
      </c>
      <c r="J263" s="48" t="n">
        <v>44550</v>
      </c>
      <c r="K263" s="47">
        <f t="array" ref="K263">_xlfn.XLOOKUP(1,(참조!$B$2:$B$15=E263)*(참조!$D$2:$D$15=C263)*(참조!$E$2:$E$15=D263),참조!$C$2:$C$15,"")</f>
        <v/>
      </c>
    </row>
    <row r="264" hidden="1" s="27">
      <c r="A264" s="47" t="inlineStr">
        <is>
          <t>마블링</t>
        </is>
      </c>
      <c r="B264" s="47" t="inlineStr">
        <is>
          <t>[모요only] 마블링 무제한 15GB+</t>
        </is>
      </c>
      <c r="C264" s="47" t="inlineStr">
        <is>
          <t>무제한</t>
        </is>
      </c>
      <c r="D264" s="47" t="inlineStr">
        <is>
          <t>무제한</t>
        </is>
      </c>
      <c r="E264" s="47" t="inlineStr">
        <is>
          <t>월 15GB + 1Mbps</t>
        </is>
      </c>
      <c r="F264" s="47" t="inlineStr">
        <is>
          <t>LG U+</t>
        </is>
      </c>
      <c r="G264" s="47" t="inlineStr">
        <is>
          <t>LTE</t>
        </is>
      </c>
      <c r="H264" s="48" t="n">
        <v>12980</v>
      </c>
      <c r="I264" s="48" t="n">
        <v>12</v>
      </c>
      <c r="J264" s="48" t="n">
        <v>24090</v>
      </c>
      <c r="K264" s="47">
        <f t="array" ref="K264">_xlfn.XLOOKUP(1,(참조!$B$2:$B$15=E264)*(참조!$D$2:$D$15=C264)*(참조!$E$2:$E$15=D264),참조!$C$2:$C$15,"")</f>
        <v/>
      </c>
    </row>
    <row r="265" hidden="1" s="27">
      <c r="A265" s="47" t="inlineStr">
        <is>
          <t>이지모바일</t>
        </is>
      </c>
      <c r="B265" s="47" t="inlineStr">
        <is>
          <t>오래쓰는 무한100GB+</t>
        </is>
      </c>
      <c r="C265" s="47" t="inlineStr">
        <is>
          <t>무제한</t>
        </is>
      </c>
      <c r="D265" s="47" t="inlineStr">
        <is>
          <t>무제한</t>
        </is>
      </c>
      <c r="E265" s="47" t="inlineStr">
        <is>
          <t>월 100GB + 5Mbps</t>
        </is>
      </c>
      <c r="F265" s="47" t="inlineStr">
        <is>
          <t>LG U+</t>
        </is>
      </c>
      <c r="G265" s="47" t="inlineStr">
        <is>
          <t>LTE</t>
        </is>
      </c>
      <c r="H265" s="48" t="n">
        <v>25850</v>
      </c>
      <c r="I265" s="48" t="n">
        <v>12</v>
      </c>
      <c r="J265" s="48" t="n">
        <v>46200</v>
      </c>
      <c r="K265" s="47">
        <f t="array" ref="K265">_xlfn.XLOOKUP(1,(참조!$B$2:$B$15=E265)*(참조!$D$2:$D$15=C265)*(참조!$E$2:$E$15=D265),참조!$C$2:$C$15,"")</f>
        <v/>
      </c>
    </row>
    <row r="266" hidden="1" s="27">
      <c r="A266" s="47" t="inlineStr">
        <is>
          <t>인스모바일</t>
        </is>
      </c>
      <c r="B266" s="47" t="inlineStr">
        <is>
          <t>[12개월]인스 유심 스트롱 11GB+</t>
        </is>
      </c>
      <c r="C266" s="47" t="inlineStr">
        <is>
          <t>무제한</t>
        </is>
      </c>
      <c r="D266" s="47" t="inlineStr">
        <is>
          <t>무제한</t>
        </is>
      </c>
      <c r="E266" s="47" t="inlineStr">
        <is>
          <t>월 11GB + 매일 2GB + 3Mbps</t>
        </is>
      </c>
      <c r="F266" s="47" t="inlineStr">
        <is>
          <t>LG U+</t>
        </is>
      </c>
      <c r="G266" s="47" t="inlineStr">
        <is>
          <t>LTE</t>
        </is>
      </c>
      <c r="H266" s="48" t="n">
        <v>21700</v>
      </c>
      <c r="I266" s="48" t="n">
        <v>12</v>
      </c>
      <c r="J266" s="48" t="n">
        <v>39000</v>
      </c>
      <c r="K266" s="47">
        <f t="array" ref="K266">_xlfn.XLOOKUP(1,(참조!$B$2:$B$15=E266)*(참조!$D$2:$D$15=C266)*(참조!$E$2:$E$15=D266),참조!$C$2:$C$15,"")</f>
        <v/>
      </c>
    </row>
    <row r="267" hidden="1" s="27">
      <c r="A267" s="47" t="inlineStr">
        <is>
          <t>티플러스</t>
        </is>
      </c>
      <c r="B267" s="47" t="inlineStr">
        <is>
          <t>5G 가성비플러스(10GB/350분)_평생요금</t>
        </is>
      </c>
      <c r="C267" s="47" t="inlineStr">
        <is>
          <t>350분</t>
        </is>
      </c>
      <c r="D267" s="47" t="inlineStr">
        <is>
          <t>100건</t>
        </is>
      </c>
      <c r="E267" s="47" t="inlineStr">
        <is>
          <t>월 10GB</t>
        </is>
      </c>
      <c r="F267" s="47" t="inlineStr">
        <is>
          <t>KT</t>
        </is>
      </c>
      <c r="G267" s="47" t="inlineStr">
        <is>
          <t>5G</t>
        </is>
      </c>
      <c r="H267" s="48" t="n">
        <v>4500</v>
      </c>
      <c r="I267" s="48" t="n"/>
      <c r="J267" s="48" t="n"/>
      <c r="K267" s="47">
        <f t="array" ref="K267">_xlfn.XLOOKUP(1,(참조!$B$2:$B$15=E267)*(참조!$D$2:$D$15=C267)*(참조!$E$2:$E$15=D267),참조!$C$2:$C$15,"")</f>
        <v/>
      </c>
    </row>
    <row r="268">
      <c r="A268" s="47" t="inlineStr">
        <is>
          <t>티플러스</t>
        </is>
      </c>
      <c r="B268" s="47" t="inlineStr">
        <is>
          <t>가성비플러스(6GB/350분)</t>
        </is>
      </c>
      <c r="C268" s="47" t="inlineStr">
        <is>
          <t>350분</t>
        </is>
      </c>
      <c r="D268" s="47" t="inlineStr">
        <is>
          <t>100건</t>
        </is>
      </c>
      <c r="E268" s="47" t="inlineStr">
        <is>
          <t>월 6GB</t>
        </is>
      </c>
      <c r="F268" s="47" t="inlineStr">
        <is>
          <t>LG U+</t>
        </is>
      </c>
      <c r="G268" s="47" t="inlineStr">
        <is>
          <t>LTE</t>
        </is>
      </c>
      <c r="H268" s="48" t="n">
        <v>10</v>
      </c>
      <c r="I268" s="48" t="n">
        <v>12</v>
      </c>
      <c r="J268" s="48" t="n">
        <v>9900</v>
      </c>
      <c r="K268" s="47">
        <f t="array" ref="K268">_xlfn.XLOOKUP(1,(참조!$B$2:$B$15=E268)*(참조!$D$2:$D$15=C268)*(참조!$E$2:$E$15=D268),참조!$C$2:$C$15,"")</f>
        <v/>
      </c>
    </row>
    <row r="269" hidden="1" s="27">
      <c r="A269" s="47" t="inlineStr">
        <is>
          <t>슈가모바일</t>
        </is>
      </c>
      <c r="B269" s="47" t="inlineStr">
        <is>
          <t>Sugar 11GB+매일2GB+ (12개월+)</t>
        </is>
      </c>
      <c r="C269" s="47" t="inlineStr">
        <is>
          <t>무제한</t>
        </is>
      </c>
      <c r="D269" s="47" t="inlineStr">
        <is>
          <t>무제한</t>
        </is>
      </c>
      <c r="E269" s="47" t="inlineStr">
        <is>
          <t>월 11GB + 매일 2GB + 3Mbps</t>
        </is>
      </c>
      <c r="F269" s="47" t="inlineStr">
        <is>
          <t>LG U+</t>
        </is>
      </c>
      <c r="G269" s="47" t="inlineStr">
        <is>
          <t>LTE</t>
        </is>
      </c>
      <c r="H269" s="48" t="n">
        <v>22000</v>
      </c>
      <c r="I269" s="48" t="n">
        <v>12</v>
      </c>
      <c r="J269" s="48" t="n">
        <v>41300</v>
      </c>
      <c r="K269" s="47">
        <f t="array" ref="K269">_xlfn.XLOOKUP(1,(참조!$B$2:$B$15=E269)*(참조!$D$2:$D$15=C269)*(참조!$E$2:$E$15=D269),참조!$C$2:$C$15,"")</f>
        <v/>
      </c>
    </row>
    <row r="270" hidden="1" s="27">
      <c r="A270" s="47" t="inlineStr">
        <is>
          <t>U+유모바일</t>
        </is>
      </c>
      <c r="B270" s="47" t="inlineStr">
        <is>
          <t>[윌 240개] 플러스 알파 71GB+</t>
        </is>
      </c>
      <c r="C270" s="47" t="inlineStr">
        <is>
          <t>무제한</t>
        </is>
      </c>
      <c r="D270" s="47" t="inlineStr">
        <is>
          <t>무제한</t>
        </is>
      </c>
      <c r="E270" s="47" t="inlineStr">
        <is>
          <t>월 11GB + 매일 2GB + 3Mbps</t>
        </is>
      </c>
      <c r="F270" s="47" t="inlineStr">
        <is>
          <t>LG U+</t>
        </is>
      </c>
      <c r="G270" s="47" t="inlineStr">
        <is>
          <t>LTE</t>
        </is>
      </c>
      <c r="H270" s="48" t="n">
        <v>34600</v>
      </c>
      <c r="I270" s="48" t="n"/>
      <c r="J270" s="48" t="n"/>
      <c r="K270" s="47">
        <f t="array" ref="K270">_xlfn.XLOOKUP(1,(참조!$B$2:$B$15=E270)*(참조!$D$2:$D$15=C270)*(참조!$E$2:$E$15=D270),참조!$C$2:$C$15,"")</f>
        <v/>
      </c>
    </row>
    <row r="271" hidden="1" s="27">
      <c r="A271" s="47" t="inlineStr">
        <is>
          <t>U+유모바일</t>
        </is>
      </c>
      <c r="B271" s="47" t="inlineStr">
        <is>
          <t>[평생할인] 5G 4GB/통화기본</t>
        </is>
      </c>
      <c r="C271" s="47" t="inlineStr">
        <is>
          <t>무제한</t>
        </is>
      </c>
      <c r="D271" s="47" t="inlineStr">
        <is>
          <t>무제한</t>
        </is>
      </c>
      <c r="E271" s="47" t="inlineStr">
        <is>
          <t>월 4GB</t>
        </is>
      </c>
      <c r="F271" s="47" t="inlineStr">
        <is>
          <t>LG U+</t>
        </is>
      </c>
      <c r="G271" s="47" t="inlineStr">
        <is>
          <t>5G</t>
        </is>
      </c>
      <c r="H271" s="48" t="n">
        <v>7800</v>
      </c>
      <c r="I271" s="48" t="n"/>
      <c r="J271" s="48" t="n"/>
      <c r="K271" s="47">
        <f t="array" ref="K271">_xlfn.XLOOKUP(1,(참조!$B$2:$B$15=E271)*(참조!$D$2:$D$15=C271)*(참조!$E$2:$E$15=D271),참조!$C$2:$C$15,"")</f>
        <v/>
      </c>
    </row>
    <row r="272" hidden="1" s="27">
      <c r="A272" s="47" t="inlineStr">
        <is>
          <t>KT엠모바일</t>
        </is>
      </c>
      <c r="B272" s="47" t="inlineStr">
        <is>
          <t>모두다 맘껏 15GB+(PAY쿠폰 5000P)</t>
        </is>
      </c>
      <c r="C272" s="47" t="inlineStr">
        <is>
          <t>무제한</t>
        </is>
      </c>
      <c r="D272" s="47" t="inlineStr">
        <is>
          <t>무제한</t>
        </is>
      </c>
      <c r="E272" s="47" t="inlineStr">
        <is>
          <t>월 15GB + 1Mbps</t>
        </is>
      </c>
      <c r="F272" s="47" t="inlineStr">
        <is>
          <t>KT</t>
        </is>
      </c>
      <c r="G272" s="47" t="inlineStr">
        <is>
          <t>LTE</t>
        </is>
      </c>
      <c r="H272" s="48" t="n">
        <v>18700</v>
      </c>
      <c r="I272" s="48" t="n"/>
      <c r="J272" s="48" t="n"/>
      <c r="K272" s="47">
        <f t="array" ref="K272">_xlfn.XLOOKUP(1,(참조!$B$2:$B$15=E272)*(참조!$D$2:$D$15=C272)*(참조!$E$2:$E$15=D272),참조!$C$2:$C$15,"")</f>
        <v/>
      </c>
    </row>
    <row r="273" hidden="1" s="27">
      <c r="A273" s="47" t="inlineStr">
        <is>
          <t>더원모바일</t>
        </is>
      </c>
      <c r="B273" s="47" t="inlineStr">
        <is>
          <t>TOP 15GB 기본 (밀리의서재)</t>
        </is>
      </c>
      <c r="C273" s="47" t="inlineStr">
        <is>
          <t>무제한</t>
        </is>
      </c>
      <c r="D273" s="47" t="inlineStr">
        <is>
          <t>무제한</t>
        </is>
      </c>
      <c r="E273" s="47" t="inlineStr">
        <is>
          <t>월 15GB + 1Mbps</t>
        </is>
      </c>
      <c r="F273" s="47" t="inlineStr">
        <is>
          <t>KT</t>
        </is>
      </c>
      <c r="G273" s="47" t="inlineStr">
        <is>
          <t>LTE</t>
        </is>
      </c>
      <c r="H273" s="48" t="n">
        <v>5500</v>
      </c>
      <c r="I273" s="48" t="n">
        <v>7</v>
      </c>
      <c r="J273" s="48" t="n">
        <v>29700</v>
      </c>
      <c r="K273" s="47">
        <f t="array" ref="K273">_xlfn.XLOOKUP(1,(참조!$B$2:$B$15=E273)*(참조!$D$2:$D$15=C273)*(참조!$E$2:$E$15=D273),참조!$C$2:$C$15,"")</f>
        <v/>
      </c>
    </row>
    <row r="274" hidden="1" s="27">
      <c r="A274" s="47" t="inlineStr">
        <is>
          <t>이야기모바일</t>
        </is>
      </c>
      <c r="B274" s="47" t="inlineStr">
        <is>
          <t>함께이야기해S(100분+15GB)</t>
        </is>
      </c>
      <c r="C274" s="47" t="inlineStr">
        <is>
          <t>100분</t>
        </is>
      </c>
      <c r="D274" s="47" t="inlineStr">
        <is>
          <t>150건</t>
        </is>
      </c>
      <c r="E274" s="47" t="inlineStr">
        <is>
          <t>월 15GB</t>
        </is>
      </c>
      <c r="F274" s="47" t="inlineStr">
        <is>
          <t>SKT</t>
        </is>
      </c>
      <c r="G274" s="47" t="inlineStr">
        <is>
          <t>LTE</t>
        </is>
      </c>
      <c r="H274" s="48" t="n">
        <v>7700</v>
      </c>
      <c r="I274" s="48" t="n">
        <v>12</v>
      </c>
      <c r="J274" s="48" t="n">
        <v>14850</v>
      </c>
      <c r="K274" s="47">
        <f t="array" ref="K274">_xlfn.XLOOKUP(1,(참조!$B$2:$B$15=E274)*(참조!$D$2:$D$15=C274)*(참조!$E$2:$E$15=D274),참조!$C$2:$C$15,"")</f>
        <v/>
      </c>
    </row>
    <row r="275" hidden="1" s="27">
      <c r="A275" s="47" t="inlineStr">
        <is>
          <t>모나</t>
        </is>
      </c>
      <c r="B275" s="47" t="inlineStr">
        <is>
          <t>5G_모나기본125G안심5</t>
        </is>
      </c>
      <c r="C275" s="47" t="inlineStr">
        <is>
          <t>무제한</t>
        </is>
      </c>
      <c r="D275" s="47" t="inlineStr">
        <is>
          <t>무제한</t>
        </is>
      </c>
      <c r="E275" s="47" t="inlineStr">
        <is>
          <t>월 125GB + 5Mbps</t>
        </is>
      </c>
      <c r="F275" s="47" t="inlineStr">
        <is>
          <t>LG U+</t>
        </is>
      </c>
      <c r="G275" s="47" t="inlineStr">
        <is>
          <t>5G</t>
        </is>
      </c>
      <c r="H275" s="48" t="n">
        <v>28500</v>
      </c>
      <c r="I275" s="48" t="n">
        <v>24</v>
      </c>
      <c r="J275" s="48" t="n">
        <v>57200</v>
      </c>
      <c r="K275" s="47">
        <f t="array" ref="K275">_xlfn.XLOOKUP(1,(참조!$B$2:$B$15=E275)*(참조!$D$2:$D$15=C275)*(참조!$E$2:$E$15=D275),참조!$C$2:$C$15,"")</f>
        <v/>
      </c>
    </row>
    <row r="276" hidden="1" s="27">
      <c r="A276" s="47" t="inlineStr">
        <is>
          <t>슈가모바일</t>
        </is>
      </c>
      <c r="B276" s="47" t="inlineStr">
        <is>
          <t>Sugar 7GB+1Mbps(R)</t>
        </is>
      </c>
      <c r="C276" s="47" t="inlineStr">
        <is>
          <t>1,000분</t>
        </is>
      </c>
      <c r="D276" s="47" t="inlineStr">
        <is>
          <t>200건</t>
        </is>
      </c>
      <c r="E276" s="47" t="inlineStr">
        <is>
          <t>월 7GB + 1Mbps</t>
        </is>
      </c>
      <c r="F276" s="47" t="inlineStr">
        <is>
          <t>LG U+</t>
        </is>
      </c>
      <c r="G276" s="47" t="inlineStr">
        <is>
          <t>LTE</t>
        </is>
      </c>
      <c r="H276" s="48" t="n">
        <v>500</v>
      </c>
      <c r="I276" s="48" t="n">
        <v>6</v>
      </c>
      <c r="J276" s="48" t="n">
        <v>24200</v>
      </c>
      <c r="K276" s="47">
        <f t="array" ref="K276">_xlfn.XLOOKUP(1,(참조!$B$2:$B$15=E276)*(참조!$D$2:$D$15=C276)*(참조!$E$2:$E$15=D276),참조!$C$2:$C$15,"")</f>
        <v/>
      </c>
    </row>
    <row r="277" hidden="1" s="27">
      <c r="A277" s="47" t="inlineStr">
        <is>
          <t>티플러스</t>
        </is>
      </c>
      <c r="B277" s="47" t="inlineStr">
        <is>
          <t>5G 가성비플러스(6GB/350분)</t>
        </is>
      </c>
      <c r="C277" s="47" t="inlineStr">
        <is>
          <t>350분</t>
        </is>
      </c>
      <c r="D277" s="47" t="inlineStr">
        <is>
          <t>100건</t>
        </is>
      </c>
      <c r="E277" s="47" t="inlineStr">
        <is>
          <t>월 6GB</t>
        </is>
      </c>
      <c r="F277" s="47" t="inlineStr">
        <is>
          <t>KT</t>
        </is>
      </c>
      <c r="G277" s="47" t="inlineStr">
        <is>
          <t>5G</t>
        </is>
      </c>
      <c r="H277" s="48" t="n">
        <v>10</v>
      </c>
      <c r="I277" s="48" t="n">
        <v>6</v>
      </c>
      <c r="J277" s="48" t="n">
        <v>9900</v>
      </c>
      <c r="K277" s="47">
        <f t="array" ref="K277">_xlfn.XLOOKUP(1,(참조!$B$2:$B$15=E277)*(참조!$D$2:$D$15=C277)*(참조!$E$2:$E$15=D277),참조!$C$2:$C$15,"")</f>
        <v/>
      </c>
    </row>
    <row r="278" hidden="1" s="27">
      <c r="A278" s="47" t="inlineStr">
        <is>
          <t>모나</t>
        </is>
      </c>
      <c r="B278" s="47" t="inlineStr">
        <is>
          <t>5G_모나기본180G안심10</t>
        </is>
      </c>
      <c r="C278" s="47" t="inlineStr">
        <is>
          <t>무제한</t>
        </is>
      </c>
      <c r="D278" s="47" t="inlineStr">
        <is>
          <t>무제한</t>
        </is>
      </c>
      <c r="E278" s="47" t="inlineStr">
        <is>
          <t>월 180GB + 10Mbps</t>
        </is>
      </c>
      <c r="F278" s="47" t="inlineStr">
        <is>
          <t>LG U+</t>
        </is>
      </c>
      <c r="G278" s="47" t="inlineStr">
        <is>
          <t>5G</t>
        </is>
      </c>
      <c r="H278" s="48" t="n">
        <v>38500</v>
      </c>
      <c r="I278" s="48" t="n"/>
      <c r="J278" s="48" t="n"/>
      <c r="K278" s="47">
        <f t="array" ref="K278">_xlfn.XLOOKUP(1,(참조!$B$2:$B$15=E278)*(참조!$D$2:$D$15=C278)*(참조!$E$2:$E$15=D278),참조!$C$2:$C$15,"")</f>
        <v/>
      </c>
    </row>
    <row r="279" hidden="1" s="27">
      <c r="A279" s="47" t="inlineStr">
        <is>
          <t>슈가모바일</t>
        </is>
      </c>
      <c r="B279" s="47" t="inlineStr">
        <is>
          <t>5G 슈가통화마음대로 125GB++</t>
        </is>
      </c>
      <c r="C279" s="47" t="inlineStr">
        <is>
          <t>무제한</t>
        </is>
      </c>
      <c r="D279" s="47" t="inlineStr">
        <is>
          <t>무제한</t>
        </is>
      </c>
      <c r="E279" s="47" t="inlineStr">
        <is>
          <t>월 125GB + 5Mbps</t>
        </is>
      </c>
      <c r="F279" s="47" t="inlineStr">
        <is>
          <t>LG U+</t>
        </is>
      </c>
      <c r="G279" s="47" t="inlineStr">
        <is>
          <t>5G</t>
        </is>
      </c>
      <c r="H279" s="48" t="n">
        <v>12000</v>
      </c>
      <c r="I279" s="48" t="n">
        <v>7</v>
      </c>
      <c r="J279" s="48" t="n">
        <v>51700</v>
      </c>
      <c r="K279" s="47">
        <f t="array" ref="K279">_xlfn.XLOOKUP(1,(참조!$B$2:$B$15=E279)*(참조!$D$2:$D$15=C279)*(참조!$E$2:$E$15=D279),참조!$C$2:$C$15,"")</f>
        <v/>
      </c>
    </row>
    <row r="280" hidden="1" s="27">
      <c r="A280" s="47" t="inlineStr">
        <is>
          <t>KG모바일</t>
        </is>
      </c>
      <c r="B280" s="47" t="inlineStr">
        <is>
          <t>[모요 전용] 통화, 데이터 마음대로 100GB+</t>
        </is>
      </c>
      <c r="C280" s="47" t="inlineStr">
        <is>
          <t>무제한</t>
        </is>
      </c>
      <c r="D280" s="47" t="inlineStr">
        <is>
          <t>무제한</t>
        </is>
      </c>
      <c r="E280" s="47" t="inlineStr">
        <is>
          <t>월 100GB + 5Mbps</t>
        </is>
      </c>
      <c r="F280" s="47" t="inlineStr">
        <is>
          <t>LG U+</t>
        </is>
      </c>
      <c r="G280" s="47" t="inlineStr">
        <is>
          <t>LTE</t>
        </is>
      </c>
      <c r="H280" s="48" t="n">
        <v>9900</v>
      </c>
      <c r="I280" s="48" t="n">
        <v>7</v>
      </c>
      <c r="J280" s="48" t="n">
        <v>41900</v>
      </c>
      <c r="K280" s="47">
        <f t="array" ref="K280">_xlfn.XLOOKUP(1,(참조!$B$2:$B$15=E280)*(참조!$D$2:$D$15=C280)*(참조!$E$2:$E$15=D280),참조!$C$2:$C$15,"")</f>
        <v/>
      </c>
    </row>
    <row r="281" hidden="1" s="27">
      <c r="A281" s="47" t="inlineStr">
        <is>
          <t>인스모바일</t>
        </is>
      </c>
      <c r="B281" s="47" t="inlineStr">
        <is>
          <t>[24개월] 인스 유심 스트롱 15GB+</t>
        </is>
      </c>
      <c r="C281" s="47" t="inlineStr">
        <is>
          <t>100분</t>
        </is>
      </c>
      <c r="D281" s="47" t="inlineStr">
        <is>
          <t>100건</t>
        </is>
      </c>
      <c r="E281" s="47" t="inlineStr">
        <is>
          <t>월 15GB + 3Mbps</t>
        </is>
      </c>
      <c r="F281" s="47" t="inlineStr">
        <is>
          <t>LG U+</t>
        </is>
      </c>
      <c r="G281" s="47" t="inlineStr">
        <is>
          <t>LTE</t>
        </is>
      </c>
      <c r="H281" s="48" t="n">
        <v>17500</v>
      </c>
      <c r="I281" s="48" t="n">
        <v>24</v>
      </c>
      <c r="J281" s="48" t="n">
        <v>34000</v>
      </c>
      <c r="K281" s="47">
        <f t="array" ref="K281">_xlfn.XLOOKUP(1,(참조!$B$2:$B$15=E281)*(참조!$D$2:$D$15=C281)*(참조!$E$2:$E$15=D281),참조!$C$2:$C$15,"")</f>
        <v/>
      </c>
    </row>
    <row r="282" hidden="1" s="27">
      <c r="A282" s="47" t="inlineStr">
        <is>
          <t>인스모바일</t>
        </is>
      </c>
      <c r="B282" s="47" t="inlineStr">
        <is>
          <t>올프리 4.5GB+(USIM)</t>
        </is>
      </c>
      <c r="C282" s="47" t="inlineStr">
        <is>
          <t>무제한</t>
        </is>
      </c>
      <c r="D282" s="47" t="inlineStr">
        <is>
          <t>무제한</t>
        </is>
      </c>
      <c r="E282" s="47" t="inlineStr">
        <is>
          <t>월 4.5GB + 1Mbps</t>
        </is>
      </c>
      <c r="F282" s="47" t="inlineStr">
        <is>
          <t>LG U+</t>
        </is>
      </c>
      <c r="G282" s="47" t="inlineStr">
        <is>
          <t>LTE</t>
        </is>
      </c>
      <c r="H282" s="48" t="n">
        <v>10</v>
      </c>
      <c r="I282" s="48" t="n">
        <v>6</v>
      </c>
      <c r="J282" s="48" t="n">
        <v>22000</v>
      </c>
      <c r="K282" s="47">
        <f t="array" ref="K282">_xlfn.XLOOKUP(1,(참조!$B$2:$B$15=E282)*(참조!$D$2:$D$15=C282)*(참조!$E$2:$E$15=D282),참조!$C$2:$C$15,"")</f>
        <v/>
      </c>
    </row>
    <row r="283" hidden="1" s="27">
      <c r="A283" s="47" t="inlineStr">
        <is>
          <t>슈가모바일</t>
        </is>
      </c>
      <c r="B283" s="47" t="inlineStr">
        <is>
          <t>5G 슈가(Sugar)통화마음대로 95GB+</t>
        </is>
      </c>
      <c r="C283" s="47" t="inlineStr">
        <is>
          <t>무제한</t>
        </is>
      </c>
      <c r="D283" s="47" t="inlineStr">
        <is>
          <t>무제한</t>
        </is>
      </c>
      <c r="E283" s="47" t="inlineStr">
        <is>
          <t>월 95GB + 3Mbps</t>
        </is>
      </c>
      <c r="F283" s="47" t="inlineStr">
        <is>
          <t>LG U+</t>
        </is>
      </c>
      <c r="G283" s="47" t="inlineStr">
        <is>
          <t>5G</t>
        </is>
      </c>
      <c r="H283" s="48" t="n">
        <v>28800</v>
      </c>
      <c r="I283" s="48" t="n"/>
      <c r="J283" s="48" t="n"/>
      <c r="K283" s="47">
        <f t="array" ref="K283">_xlfn.XLOOKUP(1,(참조!$B$2:$B$15=E283)*(참조!$D$2:$D$15=C283)*(참조!$E$2:$E$15=D283),참조!$C$2:$C$15,"")</f>
        <v/>
      </c>
    </row>
    <row r="284" hidden="1" s="27">
      <c r="A284" s="47" t="inlineStr">
        <is>
          <t>슈가모바일</t>
        </is>
      </c>
      <c r="B284" s="47" t="inlineStr">
        <is>
          <t>Sugar 매일5GB++ (12개월+)</t>
        </is>
      </c>
      <c r="C284" s="47" t="inlineStr">
        <is>
          <t>무제한</t>
        </is>
      </c>
      <c r="D284" s="47" t="inlineStr">
        <is>
          <t>무제한</t>
        </is>
      </c>
      <c r="E284" s="47" t="inlineStr">
        <is>
          <t>매일 5GB + 5Mbps</t>
        </is>
      </c>
      <c r="F284" s="47" t="inlineStr">
        <is>
          <t>LG U+</t>
        </is>
      </c>
      <c r="G284" s="47" t="inlineStr">
        <is>
          <t>LTE</t>
        </is>
      </c>
      <c r="H284" s="48" t="n">
        <v>25500</v>
      </c>
      <c r="I284" s="48" t="n">
        <v>12</v>
      </c>
      <c r="J284" s="48" t="n">
        <v>48000</v>
      </c>
      <c r="K284" s="47">
        <f t="array" ref="K284">_xlfn.XLOOKUP(1,(참조!$B$2:$B$15=E284)*(참조!$D$2:$D$15=C284)*(참조!$E$2:$E$15=D284),참조!$C$2:$C$15,"")</f>
        <v/>
      </c>
    </row>
    <row r="285" hidden="1" s="27">
      <c r="A285" s="47" t="inlineStr">
        <is>
          <t>티플러스</t>
        </is>
      </c>
      <c r="B285" s="47" t="inlineStr">
        <is>
          <t>KT 11GB+ (CU 매월 20%+올리브영 매월 5천원 상품권!)</t>
        </is>
      </c>
      <c r="C285" s="47" t="inlineStr">
        <is>
          <t>무제한</t>
        </is>
      </c>
      <c r="D285" s="47" t="inlineStr">
        <is>
          <t>무제한</t>
        </is>
      </c>
      <c r="E285" s="47" t="inlineStr">
        <is>
          <t>월 11GB + 매일 2GB + 3Mbps</t>
        </is>
      </c>
      <c r="F285" s="47" t="inlineStr">
        <is>
          <t>KT</t>
        </is>
      </c>
      <c r="G285" s="47" t="inlineStr">
        <is>
          <t>LTE</t>
        </is>
      </c>
      <c r="H285" s="48" t="n">
        <v>7900</v>
      </c>
      <c r="I285" s="48" t="n">
        <v>7</v>
      </c>
      <c r="J285" s="48" t="n">
        <v>44000</v>
      </c>
      <c r="K285" s="47">
        <f t="array" ref="K285">_xlfn.XLOOKUP(1,(참조!$B$2:$B$15=E285)*(참조!$D$2:$D$15=C285)*(참조!$E$2:$E$15=D285),참조!$C$2:$C$15,"")</f>
        <v/>
      </c>
    </row>
    <row r="286" hidden="1" s="27">
      <c r="A286" s="47" t="inlineStr">
        <is>
          <t>인스모바일</t>
        </is>
      </c>
      <c r="B286" s="47" t="inlineStr">
        <is>
          <t>[12개월] 인스 유심 스트롱 100GB+</t>
        </is>
      </c>
      <c r="C286" s="47" t="inlineStr">
        <is>
          <t>무제한</t>
        </is>
      </c>
      <c r="D286" s="47" t="inlineStr">
        <is>
          <t>무제한</t>
        </is>
      </c>
      <c r="E286" s="47" t="inlineStr">
        <is>
          <t>월 100GB + 5Mbps</t>
        </is>
      </c>
      <c r="F286" s="47" t="inlineStr">
        <is>
          <t>LG U+</t>
        </is>
      </c>
      <c r="G286" s="47" t="inlineStr">
        <is>
          <t>LTE</t>
        </is>
      </c>
      <c r="H286" s="48" t="n">
        <v>24230</v>
      </c>
      <c r="I286" s="48" t="n">
        <v>12</v>
      </c>
      <c r="J286" s="48" t="n">
        <v>47000</v>
      </c>
      <c r="K286" s="47">
        <f t="array" ref="K286">_xlfn.XLOOKUP(1,(참조!$B$2:$B$15=E286)*(참조!$D$2:$D$15=C286)*(참조!$E$2:$E$15=D286),참조!$C$2:$C$15,"")</f>
        <v/>
      </c>
    </row>
    <row r="287" hidden="1" s="27">
      <c r="A287" s="47" t="inlineStr">
        <is>
          <t>티플러스</t>
        </is>
      </c>
      <c r="B287" s="47" t="inlineStr">
        <is>
          <t>가성비플러스(15GB/350분)</t>
        </is>
      </c>
      <c r="C287" s="47" t="inlineStr">
        <is>
          <t>350분</t>
        </is>
      </c>
      <c r="D287" s="47" t="inlineStr">
        <is>
          <t>100건</t>
        </is>
      </c>
      <c r="E287" s="47" t="inlineStr">
        <is>
          <t>월 15GB</t>
        </is>
      </c>
      <c r="F287" s="47" t="inlineStr">
        <is>
          <t>SKT</t>
        </is>
      </c>
      <c r="G287" s="47" t="inlineStr">
        <is>
          <t>LTE</t>
        </is>
      </c>
      <c r="H287" s="48" t="n">
        <v>10</v>
      </c>
      <c r="I287" s="48" t="n">
        <v>7</v>
      </c>
      <c r="J287" s="48" t="n">
        <v>22000</v>
      </c>
      <c r="K287" s="47">
        <f t="array" ref="K287">_xlfn.XLOOKUP(1,(참조!$B$2:$B$15=E287)*(참조!$D$2:$D$15=C287)*(참조!$E$2:$E$15=D287),참조!$C$2:$C$15,"")</f>
        <v/>
      </c>
    </row>
    <row r="288" hidden="1" s="27">
      <c r="A288" s="47" t="inlineStr">
        <is>
          <t>티플러스</t>
        </is>
      </c>
      <c r="B288" s="47" t="inlineStr">
        <is>
          <t>티플 데이터마음껏10G(100분)</t>
        </is>
      </c>
      <c r="C288" s="47" t="inlineStr">
        <is>
          <t>100분</t>
        </is>
      </c>
      <c r="D288" s="47" t="inlineStr">
        <is>
          <t>100건</t>
        </is>
      </c>
      <c r="E288" s="47" t="inlineStr">
        <is>
          <t>월 10GB + 1Mbps</t>
        </is>
      </c>
      <c r="F288" s="47" t="inlineStr">
        <is>
          <t>LG U+</t>
        </is>
      </c>
      <c r="G288" s="47" t="inlineStr">
        <is>
          <t>LTE</t>
        </is>
      </c>
      <c r="H288" s="48" t="n">
        <v>10</v>
      </c>
      <c r="I288" s="48" t="n">
        <v>6</v>
      </c>
      <c r="J288" s="48" t="n">
        <v>17500</v>
      </c>
      <c r="K288" s="47">
        <f t="array" ref="K288">_xlfn.XLOOKUP(1,(참조!$B$2:$B$15=E288)*(참조!$D$2:$D$15=C288)*(참조!$E$2:$E$15=D288),참조!$C$2:$C$15,"")</f>
        <v/>
      </c>
    </row>
    <row r="289" hidden="1" s="27">
      <c r="A289" s="47" t="inlineStr">
        <is>
          <t>U+유모바일</t>
        </is>
      </c>
      <c r="B289" s="47" t="inlineStr">
        <is>
          <t>[평생할인] 6GB/통화기본</t>
        </is>
      </c>
      <c r="C289" s="47" t="inlineStr">
        <is>
          <t>무제한</t>
        </is>
      </c>
      <c r="D289" s="47" t="inlineStr">
        <is>
          <t>무제한</t>
        </is>
      </c>
      <c r="E289" s="47" t="inlineStr">
        <is>
          <t>월 6GB</t>
        </is>
      </c>
      <c r="F289" s="47" t="inlineStr">
        <is>
          <t>LG U+</t>
        </is>
      </c>
      <c r="G289" s="47" t="inlineStr">
        <is>
          <t>LTE</t>
        </is>
      </c>
      <c r="H289" s="48" t="n">
        <v>9500</v>
      </c>
      <c r="I289" s="48" t="n"/>
      <c r="J289" s="48" t="n"/>
      <c r="K289" s="47">
        <f t="array" ref="K289">_xlfn.XLOOKUP(1,(참조!$B$2:$B$15=E289)*(참조!$D$2:$D$15=C289)*(참조!$E$2:$E$15=D289),참조!$C$2:$C$15,"")</f>
        <v/>
      </c>
    </row>
    <row r="290" hidden="1" s="27">
      <c r="A290" s="47" t="inlineStr">
        <is>
          <t>KT스카이라이프</t>
        </is>
      </c>
      <c r="B290" s="47" t="inlineStr">
        <is>
          <t>모두 충분 15GB+(모아진)</t>
        </is>
      </c>
      <c r="C290" s="47" t="inlineStr">
        <is>
          <t>무제한</t>
        </is>
      </c>
      <c r="D290" s="47" t="inlineStr">
        <is>
          <t>무제한</t>
        </is>
      </c>
      <c r="E290" s="47" t="inlineStr">
        <is>
          <t>월 15GB + 1Mbps</t>
        </is>
      </c>
      <c r="F290" s="47" t="inlineStr">
        <is>
          <t>KT</t>
        </is>
      </c>
      <c r="G290" s="47" t="inlineStr">
        <is>
          <t>LTE</t>
        </is>
      </c>
      <c r="H290" s="48" t="n">
        <v>21400</v>
      </c>
      <c r="I290" s="48" t="n"/>
      <c r="J290" s="48" t="n"/>
      <c r="K290" s="47">
        <f t="array" ref="K290">_xlfn.XLOOKUP(1,(참조!$B$2:$B$15=E290)*(참조!$D$2:$D$15=C290)*(참조!$E$2:$E$15=D290),참조!$C$2:$C$15,"")</f>
        <v/>
      </c>
    </row>
    <row r="291" hidden="1" s="27">
      <c r="A291" s="47" t="inlineStr">
        <is>
          <t>인스모바일</t>
        </is>
      </c>
      <c r="B291" s="47" t="inlineStr">
        <is>
          <t>[평생할인]실속 150분+1GB(USIM)</t>
        </is>
      </c>
      <c r="C291" s="47" t="inlineStr">
        <is>
          <t>150분</t>
        </is>
      </c>
      <c r="D291" s="47" t="inlineStr">
        <is>
          <t>50건</t>
        </is>
      </c>
      <c r="E291" s="47" t="inlineStr">
        <is>
          <t>월 1GB</t>
        </is>
      </c>
      <c r="F291" s="47" t="inlineStr">
        <is>
          <t>LG U+</t>
        </is>
      </c>
      <c r="G291" s="47" t="inlineStr">
        <is>
          <t>LTE</t>
        </is>
      </c>
      <c r="H291" s="48" t="n">
        <v>2530</v>
      </c>
      <c r="I291" s="48" t="n"/>
      <c r="J291" s="48" t="n"/>
      <c r="K291" s="47">
        <f t="array" ref="K291">_xlfn.XLOOKUP(1,(참조!$B$2:$B$15=E291)*(참조!$D$2:$D$15=C291)*(참조!$E$2:$E$15=D291),참조!$C$2:$C$15,"")</f>
        <v/>
      </c>
    </row>
    <row r="292" hidden="1" s="27">
      <c r="A292" s="47" t="inlineStr">
        <is>
          <t>핀다이렉트</t>
        </is>
      </c>
      <c r="B292" s="47" t="inlineStr">
        <is>
          <t>[모요only] [K] 핀다이렉트Z 11GB+(네이버페이) _PIN</t>
        </is>
      </c>
      <c r="C292" s="47" t="inlineStr">
        <is>
          <t>무제한</t>
        </is>
      </c>
      <c r="D292" s="47" t="inlineStr">
        <is>
          <t>무제한</t>
        </is>
      </c>
      <c r="E292" s="47" t="inlineStr">
        <is>
          <t>월 11GB + 매일 2GB + 3Mbps</t>
        </is>
      </c>
      <c r="F292" s="47" t="inlineStr">
        <is>
          <t>KT</t>
        </is>
      </c>
      <c r="G292" s="47" t="inlineStr">
        <is>
          <t>LTE</t>
        </is>
      </c>
      <c r="H292" s="48" t="n">
        <v>21000</v>
      </c>
      <c r="I292" s="48" t="n">
        <v>7</v>
      </c>
      <c r="J292" s="48" t="n">
        <v>44000</v>
      </c>
      <c r="K292" s="47">
        <f t="array" ref="K292">_xlfn.XLOOKUP(1,(참조!$B$2:$B$15=E292)*(참조!$D$2:$D$15=C292)*(참조!$E$2:$E$15=D292),참조!$C$2:$C$15,"")</f>
        <v/>
      </c>
    </row>
    <row r="293" hidden="1" s="27">
      <c r="A293" s="47" t="inlineStr">
        <is>
          <t>티플러스</t>
        </is>
      </c>
      <c r="B293" s="47" t="inlineStr">
        <is>
          <t>5G 가성비플러스(10GB/350분)</t>
        </is>
      </c>
      <c r="C293" s="47" t="inlineStr">
        <is>
          <t>350분</t>
        </is>
      </c>
      <c r="D293" s="47" t="inlineStr">
        <is>
          <t>100건</t>
        </is>
      </c>
      <c r="E293" s="47" t="inlineStr">
        <is>
          <t>월 10GB</t>
        </is>
      </c>
      <c r="F293" s="47" t="inlineStr">
        <is>
          <t>LG U+</t>
        </is>
      </c>
      <c r="G293" s="47" t="inlineStr">
        <is>
          <t>5G</t>
        </is>
      </c>
      <c r="H293" s="48" t="n">
        <v>10</v>
      </c>
      <c r="I293" s="48" t="n">
        <v>6</v>
      </c>
      <c r="J293" s="48" t="n">
        <v>15400</v>
      </c>
      <c r="K293" s="47">
        <f t="array" ref="K293">_xlfn.XLOOKUP(1,(참조!$B$2:$B$15=E293)*(참조!$D$2:$D$15=C293)*(참조!$E$2:$E$15=D293),참조!$C$2:$C$15,"")</f>
        <v/>
      </c>
    </row>
    <row r="294" hidden="1" s="27">
      <c r="A294" s="47" t="inlineStr">
        <is>
          <t>인스모바일</t>
        </is>
      </c>
      <c r="B294" s="47" t="inlineStr">
        <is>
          <t>인스 유심 스트롱 100GB+</t>
        </is>
      </c>
      <c r="C294" s="47" t="inlineStr">
        <is>
          <t>무제한</t>
        </is>
      </c>
      <c r="D294" s="47" t="inlineStr">
        <is>
          <t>무제한</t>
        </is>
      </c>
      <c r="E294" s="47" t="inlineStr">
        <is>
          <t>월 100GB + 5Mbps</t>
        </is>
      </c>
      <c r="F294" s="47" t="inlineStr">
        <is>
          <t>LG U+</t>
        </is>
      </c>
      <c r="G294" s="47" t="inlineStr">
        <is>
          <t>LTE</t>
        </is>
      </c>
      <c r="H294" s="48" t="n">
        <v>9600</v>
      </c>
      <c r="I294" s="48" t="n">
        <v>7</v>
      </c>
      <c r="J294" s="48" t="n">
        <v>47000</v>
      </c>
      <c r="K294" s="47">
        <f t="array" ref="K294">_xlfn.XLOOKUP(1,(참조!$B$2:$B$15=E294)*(참조!$D$2:$D$15=C294)*(참조!$E$2:$E$15=D294),참조!$C$2:$C$15,"")</f>
        <v/>
      </c>
    </row>
    <row r="295" hidden="1" s="27">
      <c r="A295" s="47" t="inlineStr">
        <is>
          <t>스마텔</t>
        </is>
      </c>
      <c r="B295" s="47" t="inlineStr">
        <is>
          <t>데이터충분히(10G+200분)</t>
        </is>
      </c>
      <c r="C295" s="47" t="inlineStr">
        <is>
          <t>200분</t>
        </is>
      </c>
      <c r="D295" s="47" t="inlineStr">
        <is>
          <t>100건</t>
        </is>
      </c>
      <c r="E295" s="47" t="inlineStr">
        <is>
          <t>월 10GB</t>
        </is>
      </c>
      <c r="F295" s="47" t="inlineStr">
        <is>
          <t>LG U+</t>
        </is>
      </c>
      <c r="G295" s="47" t="inlineStr">
        <is>
          <t>LTE</t>
        </is>
      </c>
      <c r="H295" s="48" t="n">
        <v>10</v>
      </c>
      <c r="I295" s="48" t="n">
        <v>8</v>
      </c>
      <c r="J295" s="48" t="n">
        <v>15400</v>
      </c>
      <c r="K295" s="47">
        <f t="array" ref="K295">_xlfn.XLOOKUP(1,(참조!$B$2:$B$15=E295)*(참조!$D$2:$D$15=C295)*(참조!$E$2:$E$15=D295),참조!$C$2:$C$15,"")</f>
        <v/>
      </c>
    </row>
    <row r="296" hidden="1" s="27">
      <c r="A296" s="47" t="inlineStr">
        <is>
          <t>찬스모바일</t>
        </is>
      </c>
      <c r="B296" s="47" t="inlineStr">
        <is>
          <t>음성 200분 6GB+</t>
        </is>
      </c>
      <c r="C296" s="47" t="inlineStr">
        <is>
          <t>200분</t>
        </is>
      </c>
      <c r="D296" s="47" t="inlineStr">
        <is>
          <t>100건</t>
        </is>
      </c>
      <c r="E296" s="47" t="inlineStr">
        <is>
          <t>월 6GB + 1Mbps</t>
        </is>
      </c>
      <c r="F296" s="47" t="inlineStr">
        <is>
          <t>LG U+</t>
        </is>
      </c>
      <c r="G296" s="47" t="inlineStr">
        <is>
          <t>LTE</t>
        </is>
      </c>
      <c r="H296" s="48" t="n">
        <v>10</v>
      </c>
      <c r="I296" s="48" t="n">
        <v>6</v>
      </c>
      <c r="J296" s="48" t="n">
        <v>17600</v>
      </c>
      <c r="K296" s="47">
        <f t="array" ref="K296">_xlfn.XLOOKUP(1,(참조!$B$2:$B$15=E296)*(참조!$D$2:$D$15=C296)*(참조!$E$2:$E$15=D296),참조!$C$2:$C$15,"")</f>
        <v/>
      </c>
    </row>
    <row r="297" hidden="1" s="27">
      <c r="A297" s="47" t="inlineStr">
        <is>
          <t>티플러스</t>
        </is>
      </c>
      <c r="B297" s="47" t="inlineStr">
        <is>
          <t>5G 가성비플러스(6GB/350분)</t>
        </is>
      </c>
      <c r="C297" s="47" t="inlineStr">
        <is>
          <t>350분</t>
        </is>
      </c>
      <c r="D297" s="47" t="inlineStr">
        <is>
          <t>100건</t>
        </is>
      </c>
      <c r="E297" s="47" t="inlineStr">
        <is>
          <t>월 6GB</t>
        </is>
      </c>
      <c r="F297" s="47" t="inlineStr">
        <is>
          <t>LG U+</t>
        </is>
      </c>
      <c r="G297" s="47" t="inlineStr">
        <is>
          <t>5G</t>
        </is>
      </c>
      <c r="H297" s="48" t="n">
        <v>10</v>
      </c>
      <c r="I297" s="48" t="n">
        <v>12</v>
      </c>
      <c r="J297" s="48" t="n">
        <v>9900</v>
      </c>
      <c r="K297" s="47">
        <f t="array" ref="K297">_xlfn.XLOOKUP(1,(참조!$B$2:$B$15=E297)*(참조!$D$2:$D$15=C297)*(참조!$E$2:$E$15=D297),참조!$C$2:$C$15,"")</f>
        <v/>
      </c>
    </row>
    <row r="298" hidden="1" s="27">
      <c r="A298" s="47" t="inlineStr">
        <is>
          <t>티플러스</t>
        </is>
      </c>
      <c r="B298" s="47" t="inlineStr">
        <is>
          <t>The 완전마음껏15G＋_24개월 할인</t>
        </is>
      </c>
      <c r="C298" s="47" t="inlineStr">
        <is>
          <t>무제한</t>
        </is>
      </c>
      <c r="D298" s="47" t="inlineStr">
        <is>
          <t>무제한</t>
        </is>
      </c>
      <c r="E298" s="47" t="inlineStr">
        <is>
          <t>월 15GB + 1Mbps</t>
        </is>
      </c>
      <c r="F298" s="47" t="inlineStr">
        <is>
          <t>LG U+</t>
        </is>
      </c>
      <c r="G298" s="47" t="inlineStr">
        <is>
          <t>LTE</t>
        </is>
      </c>
      <c r="H298" s="48" t="n">
        <v>12900</v>
      </c>
      <c r="I298" s="48" t="n">
        <v>24</v>
      </c>
      <c r="J298" s="48" t="n">
        <v>31460</v>
      </c>
      <c r="K298" s="47">
        <f t="array" ref="K298">_xlfn.XLOOKUP(1,(참조!$B$2:$B$15=E298)*(참조!$D$2:$D$15=C298)*(참조!$E$2:$E$15=D298),참조!$C$2:$C$15,"")</f>
        <v/>
      </c>
    </row>
    <row r="299" hidden="1" s="27">
      <c r="A299" s="47" t="inlineStr">
        <is>
          <t>U+유모바일</t>
        </is>
      </c>
      <c r="B299" s="47" t="inlineStr">
        <is>
          <t>[평생할인] 1GB+/100분</t>
        </is>
      </c>
      <c r="C299" s="47" t="inlineStr">
        <is>
          <t>100분</t>
        </is>
      </c>
      <c r="D299" s="47" t="inlineStr">
        <is>
          <t>100건</t>
        </is>
      </c>
      <c r="E299" s="47" t="inlineStr">
        <is>
          <t>월 1GB + 1Mbps</t>
        </is>
      </c>
      <c r="F299" s="47" t="inlineStr">
        <is>
          <t>LG U+</t>
        </is>
      </c>
      <c r="G299" s="47" t="inlineStr">
        <is>
          <t>LTE</t>
        </is>
      </c>
      <c r="H299" s="48" t="n">
        <v>7900</v>
      </c>
      <c r="I299" s="48" t="n"/>
      <c r="J299" s="48" t="n"/>
      <c r="K299" s="47">
        <f t="array" ref="K299">_xlfn.XLOOKUP(1,(참조!$B$2:$B$15=E299)*(참조!$D$2:$D$15=C299)*(참조!$E$2:$E$15=D299),참조!$C$2:$C$15,"")</f>
        <v/>
      </c>
    </row>
    <row r="300" hidden="1" s="27">
      <c r="A300" s="47" t="inlineStr">
        <is>
          <t>U+유모바일</t>
        </is>
      </c>
      <c r="B300" s="47" t="inlineStr">
        <is>
          <t>[평생할인] 5G 5GB/200분</t>
        </is>
      </c>
      <c r="C300" s="47" t="inlineStr">
        <is>
          <t>200분</t>
        </is>
      </c>
      <c r="D300" s="47" t="inlineStr">
        <is>
          <t>100건</t>
        </is>
      </c>
      <c r="E300" s="47" t="inlineStr">
        <is>
          <t>월 5GB</t>
        </is>
      </c>
      <c r="F300" s="47" t="inlineStr">
        <is>
          <t>LG U+</t>
        </is>
      </c>
      <c r="G300" s="47" t="inlineStr">
        <is>
          <t>5G</t>
        </is>
      </c>
      <c r="H300" s="48" t="n">
        <v>7900</v>
      </c>
      <c r="I300" s="48" t="n"/>
      <c r="J300" s="48" t="n"/>
      <c r="K300" s="47">
        <f t="array" ref="K300">_xlfn.XLOOKUP(1,(참조!$B$2:$B$15=E300)*(참조!$D$2:$D$15=C300)*(참조!$E$2:$E$15=D300),참조!$C$2:$C$15,"")</f>
        <v/>
      </c>
    </row>
    <row r="301" hidden="1" s="27">
      <c r="A301" s="47" t="inlineStr">
        <is>
          <t>티플러스</t>
        </is>
      </c>
      <c r="B301" s="47" t="inlineStr">
        <is>
          <t>티플 11G＋_24개월 할인</t>
        </is>
      </c>
      <c r="C301" s="47" t="inlineStr">
        <is>
          <t>무제한</t>
        </is>
      </c>
      <c r="D301" s="47" t="inlineStr">
        <is>
          <t>무제한</t>
        </is>
      </c>
      <c r="E301" s="47" t="inlineStr">
        <is>
          <t>월 11GB + 매일 2GB + 3Mbps</t>
        </is>
      </c>
      <c r="F301" s="47" t="inlineStr">
        <is>
          <t>LG U+</t>
        </is>
      </c>
      <c r="G301" s="47" t="inlineStr">
        <is>
          <t>LTE</t>
        </is>
      </c>
      <c r="H301" s="48" t="n">
        <v>24900</v>
      </c>
      <c r="I301" s="48" t="n">
        <v>24</v>
      </c>
      <c r="J301" s="48" t="n">
        <v>39600</v>
      </c>
      <c r="K301" s="47">
        <f t="array" ref="K301">_xlfn.XLOOKUP(1,(참조!$B$2:$B$15=E301)*(참조!$D$2:$D$15=C301)*(참조!$E$2:$E$15=D301),참조!$C$2:$C$15,"")</f>
        <v/>
      </c>
    </row>
    <row r="302" hidden="1" s="27">
      <c r="A302" s="47" t="inlineStr">
        <is>
          <t>스마텔</t>
        </is>
      </c>
      <c r="B302" s="47" t="inlineStr">
        <is>
          <t>5G 음성무제한 15GB</t>
        </is>
      </c>
      <c r="C302" s="47" t="inlineStr">
        <is>
          <t>무제한</t>
        </is>
      </c>
      <c r="D302" s="47" t="inlineStr">
        <is>
          <t>200건</t>
        </is>
      </c>
      <c r="E302" s="47" t="inlineStr">
        <is>
          <t>월 15GB</t>
        </is>
      </c>
      <c r="F302" s="47" t="inlineStr">
        <is>
          <t>SKT</t>
        </is>
      </c>
      <c r="G302" s="47" t="inlineStr">
        <is>
          <t>5G</t>
        </is>
      </c>
      <c r="H302" s="48" t="n">
        <v>12900</v>
      </c>
      <c r="I302" s="48" t="n"/>
      <c r="J302" s="48" t="n"/>
      <c r="K302" s="47">
        <f t="array" ref="K302">_xlfn.XLOOKUP(1,(참조!$B$2:$B$15=E302)*(참조!$D$2:$D$15=C302)*(참조!$E$2:$E$15=D302),참조!$C$2:$C$15,"")</f>
        <v/>
      </c>
    </row>
    <row r="303" hidden="1" s="27">
      <c r="A303" s="47" t="inlineStr">
        <is>
          <t>모나</t>
        </is>
      </c>
      <c r="B303" s="47" t="inlineStr">
        <is>
          <t>모나200분5G안심1</t>
        </is>
      </c>
      <c r="C303" s="47" t="inlineStr">
        <is>
          <t>200분</t>
        </is>
      </c>
      <c r="D303" s="47" t="inlineStr">
        <is>
          <t>100건</t>
        </is>
      </c>
      <c r="E303" s="47" t="inlineStr">
        <is>
          <t>월 5GB + 1Mbps</t>
        </is>
      </c>
      <c r="F303" s="47" t="inlineStr">
        <is>
          <t>LG U+</t>
        </is>
      </c>
      <c r="G303" s="47" t="inlineStr">
        <is>
          <t>LTE</t>
        </is>
      </c>
      <c r="H303" s="48" t="n">
        <v>10</v>
      </c>
      <c r="I303" s="48" t="n">
        <v>6</v>
      </c>
      <c r="J303" s="48" t="n">
        <v>24200</v>
      </c>
      <c r="K303" s="47">
        <f t="array" ref="K303">_xlfn.XLOOKUP(1,(참조!$B$2:$B$15=E303)*(참조!$D$2:$D$15=C303)*(참조!$E$2:$E$15=D303),참조!$C$2:$C$15,"")</f>
        <v/>
      </c>
    </row>
    <row r="304" hidden="1" s="27">
      <c r="A304" s="47" t="inlineStr">
        <is>
          <t>KT스카이라이프</t>
        </is>
      </c>
      <c r="B304" s="47" t="inlineStr">
        <is>
          <t>모두 충분 15GB+(밀리의서재)</t>
        </is>
      </c>
      <c r="C304" s="47" t="inlineStr">
        <is>
          <t>무제한</t>
        </is>
      </c>
      <c r="D304" s="47" t="inlineStr">
        <is>
          <t>무제한</t>
        </is>
      </c>
      <c r="E304" s="47" t="inlineStr">
        <is>
          <t>월 15GB + 1Mbps</t>
        </is>
      </c>
      <c r="F304" s="47" t="inlineStr">
        <is>
          <t>KT</t>
        </is>
      </c>
      <c r="G304" s="47" t="inlineStr">
        <is>
          <t>LTE</t>
        </is>
      </c>
      <c r="H304" s="48" t="n">
        <v>21500</v>
      </c>
      <c r="I304" s="48" t="n"/>
      <c r="J304" s="48" t="n"/>
      <c r="K304" s="47">
        <f t="array" ref="K304">_xlfn.XLOOKUP(1,(참조!$B$2:$B$15=E304)*(참조!$D$2:$D$15=C304)*(참조!$E$2:$E$15=D304),참조!$C$2:$C$15,"")</f>
        <v/>
      </c>
    </row>
    <row r="305" hidden="1" s="27">
      <c r="A305" s="47" t="inlineStr">
        <is>
          <t>인스모바일</t>
        </is>
      </c>
      <c r="B305" s="47" t="inlineStr">
        <is>
          <t>인스 유심 스피드(5G) 음성200분+7GB</t>
        </is>
      </c>
      <c r="C305" s="47" t="inlineStr">
        <is>
          <t>200분</t>
        </is>
      </c>
      <c r="D305" s="47" t="inlineStr">
        <is>
          <t>100건</t>
        </is>
      </c>
      <c r="E305" s="47" t="inlineStr">
        <is>
          <t>월 7GB</t>
        </is>
      </c>
      <c r="F305" s="47" t="inlineStr">
        <is>
          <t>LG U+</t>
        </is>
      </c>
      <c r="G305" s="47" t="inlineStr">
        <is>
          <t>5G</t>
        </is>
      </c>
      <c r="H305" s="48" t="n">
        <v>10</v>
      </c>
      <c r="I305" s="48" t="n">
        <v>6</v>
      </c>
      <c r="J305" s="48" t="n">
        <v>28600</v>
      </c>
      <c r="K305" s="47">
        <f t="array" ref="K305">_xlfn.XLOOKUP(1,(참조!$B$2:$B$15=E305)*(참조!$D$2:$D$15=C305)*(참조!$E$2:$E$15=D305),참조!$C$2:$C$15,"")</f>
        <v/>
      </c>
    </row>
    <row r="306" hidden="1" s="27">
      <c r="A306" s="47" t="inlineStr">
        <is>
          <t>핀다이렉트</t>
        </is>
      </c>
      <c r="B306" s="47" t="inlineStr">
        <is>
          <t>[모요only] [K] 핀다이렉트Z Max (100GB) _PIN</t>
        </is>
      </c>
      <c r="C306" s="47" t="inlineStr">
        <is>
          <t>무제한</t>
        </is>
      </c>
      <c r="D306" s="47" t="inlineStr">
        <is>
          <t>무제한</t>
        </is>
      </c>
      <c r="E306" s="47" t="inlineStr">
        <is>
          <t>월 100GB + 5Mbps</t>
        </is>
      </c>
      <c r="F306" s="47" t="inlineStr">
        <is>
          <t>KT</t>
        </is>
      </c>
      <c r="G306" s="47" t="inlineStr">
        <is>
          <t>LTE</t>
        </is>
      </c>
      <c r="H306" s="48" t="n">
        <v>9900</v>
      </c>
      <c r="I306" s="48" t="n">
        <v>7</v>
      </c>
      <c r="J306" s="48" t="n">
        <v>42900</v>
      </c>
      <c r="K306" s="47">
        <f t="array" ref="K306">_xlfn.XLOOKUP(1,(참조!$B$2:$B$15=E306)*(참조!$D$2:$D$15=C306)*(참조!$E$2:$E$15=D306),참조!$C$2:$C$15,"")</f>
        <v/>
      </c>
    </row>
    <row r="307" hidden="1" s="27">
      <c r="A307" s="47" t="inlineStr">
        <is>
          <t>티플러스</t>
        </is>
      </c>
      <c r="B307" s="47" t="inlineStr">
        <is>
          <t>완전마음껏 100GB＋＋(밀리의서재)_18개월할인</t>
        </is>
      </c>
      <c r="C307" s="47" t="inlineStr">
        <is>
          <t>무제한</t>
        </is>
      </c>
      <c r="D307" s="47" t="inlineStr">
        <is>
          <t>무제한</t>
        </is>
      </c>
      <c r="E307" s="47" t="inlineStr">
        <is>
          <t>월 100GB + 5Mbps</t>
        </is>
      </c>
      <c r="F307" s="47" t="inlineStr">
        <is>
          <t>KT</t>
        </is>
      </c>
      <c r="G307" s="47" t="inlineStr">
        <is>
          <t>LTE</t>
        </is>
      </c>
      <c r="H307" s="48" t="n">
        <v>24900</v>
      </c>
      <c r="I307" s="48" t="n">
        <v>18</v>
      </c>
      <c r="J307" s="48" t="n">
        <v>48400</v>
      </c>
      <c r="K307" s="47">
        <f t="array" ref="K307">_xlfn.XLOOKUP(1,(참조!$B$2:$B$15=E307)*(참조!$D$2:$D$15=C307)*(참조!$E$2:$E$15=D307),참조!$C$2:$C$15,"")</f>
        <v/>
      </c>
    </row>
    <row r="308" hidden="1" s="27">
      <c r="A308" s="47" t="inlineStr">
        <is>
          <t>시월모바일</t>
        </is>
      </c>
      <c r="B308" s="47" t="inlineStr">
        <is>
          <t>시월 무제한 11GB+매일2GB+3Mbps</t>
        </is>
      </c>
      <c r="C308" s="47" t="inlineStr">
        <is>
          <t>무제한</t>
        </is>
      </c>
      <c r="D308" s="47" t="inlineStr">
        <is>
          <t>무제한</t>
        </is>
      </c>
      <c r="E308" s="47" t="inlineStr">
        <is>
          <t>월 11GB + 매일 2GB + 3Mbps</t>
        </is>
      </c>
      <c r="F308" s="47" t="inlineStr">
        <is>
          <t>LG U+</t>
        </is>
      </c>
      <c r="G308" s="47" t="inlineStr">
        <is>
          <t>LTE</t>
        </is>
      </c>
      <c r="H308" s="48" t="n">
        <v>12730</v>
      </c>
      <c r="I308" s="48" t="n">
        <v>7</v>
      </c>
      <c r="J308" s="48" t="n">
        <v>39680</v>
      </c>
      <c r="K308" s="47">
        <f t="array" ref="K308">_xlfn.XLOOKUP(1,(참조!$B$2:$B$15=E308)*(참조!$D$2:$D$15=C308)*(참조!$E$2:$E$15=D308),참조!$C$2:$C$15,"")</f>
        <v/>
      </c>
    </row>
    <row r="309" hidden="1" s="27">
      <c r="A309" s="47" t="inlineStr">
        <is>
          <t>KT엠모바일</t>
        </is>
      </c>
      <c r="B309" s="47" t="inlineStr">
        <is>
          <t>모두다 맘껏 7GB+(PAY쿠폰 5000P)</t>
        </is>
      </c>
      <c r="C309" s="47" t="inlineStr">
        <is>
          <t>무제한</t>
        </is>
      </c>
      <c r="D309" s="47" t="inlineStr">
        <is>
          <t>무제한</t>
        </is>
      </c>
      <c r="E309" s="47" t="inlineStr">
        <is>
          <t>월 7GB + 1Mbps</t>
        </is>
      </c>
      <c r="F309" s="47" t="inlineStr">
        <is>
          <t>KT</t>
        </is>
      </c>
      <c r="G309" s="47" t="inlineStr">
        <is>
          <t>LTE</t>
        </is>
      </c>
      <c r="H309" s="48" t="n">
        <v>13500</v>
      </c>
      <c r="I309" s="48" t="n"/>
      <c r="J309" s="48" t="n"/>
      <c r="K309" s="47">
        <f t="array" ref="K309">_xlfn.XLOOKUP(1,(참조!$B$2:$B$15=E309)*(참조!$D$2:$D$15=C309)*(참조!$E$2:$E$15=D309),참조!$C$2:$C$15,"")</f>
        <v/>
      </c>
    </row>
    <row r="310" hidden="1" s="27">
      <c r="A310" s="47" t="inlineStr">
        <is>
          <t>슈가모바일</t>
        </is>
      </c>
      <c r="B310" s="47" t="inlineStr">
        <is>
          <t>5G Sugar 실속(300분/15GB)</t>
        </is>
      </c>
      <c r="C310" s="47" t="inlineStr">
        <is>
          <t>300분</t>
        </is>
      </c>
      <c r="D310" s="47" t="inlineStr">
        <is>
          <t>200건</t>
        </is>
      </c>
      <c r="E310" s="47" t="inlineStr">
        <is>
          <t>월 15GB</t>
        </is>
      </c>
      <c r="F310" s="47" t="inlineStr">
        <is>
          <t>LG U+</t>
        </is>
      </c>
      <c r="G310" s="47" t="inlineStr">
        <is>
          <t>5G</t>
        </is>
      </c>
      <c r="H310" s="48" t="n">
        <v>7700</v>
      </c>
      <c r="I310" s="48" t="n"/>
      <c r="J310" s="48" t="n"/>
      <c r="K310" s="47">
        <f t="array" ref="K310">_xlfn.XLOOKUP(1,(참조!$B$2:$B$15=E310)*(참조!$D$2:$D$15=C310)*(참조!$E$2:$E$15=D310),참조!$C$2:$C$15,"")</f>
        <v/>
      </c>
    </row>
    <row r="311" hidden="1" s="27">
      <c r="A311" s="47" t="inlineStr">
        <is>
          <t>인스모바일</t>
        </is>
      </c>
      <c r="B311" s="47" t="inlineStr">
        <is>
          <t>[24개월] 인스 유심 스트롱 11GB+</t>
        </is>
      </c>
      <c r="C311" s="47" t="inlineStr">
        <is>
          <t>무제한</t>
        </is>
      </c>
      <c r="D311" s="47" t="inlineStr">
        <is>
          <t>무제한</t>
        </is>
      </c>
      <c r="E311" s="47" t="inlineStr">
        <is>
          <t>월 11GB + 매일 2GB + 3Mbps</t>
        </is>
      </c>
      <c r="F311" s="47" t="inlineStr">
        <is>
          <t>LG U+</t>
        </is>
      </c>
      <c r="G311" s="47" t="inlineStr">
        <is>
          <t>LTE</t>
        </is>
      </c>
      <c r="H311" s="48" t="n">
        <v>25800</v>
      </c>
      <c r="I311" s="48" t="n">
        <v>24</v>
      </c>
      <c r="J311" s="48" t="n">
        <v>39000</v>
      </c>
      <c r="K311" s="47">
        <f t="array" ref="K311">_xlfn.XLOOKUP(1,(참조!$B$2:$B$15=E311)*(참조!$D$2:$D$15=C311)*(참조!$E$2:$E$15=D311),참조!$C$2:$C$15,"")</f>
        <v/>
      </c>
    </row>
    <row r="312" hidden="1" s="27">
      <c r="A312" s="47" t="inlineStr">
        <is>
          <t>핀다이렉트</t>
        </is>
      </c>
      <c r="B312" s="47" t="inlineStr">
        <is>
          <t>[모요only] [S] DIGITAL DETOX 7GB 챌린지 _PIN</t>
        </is>
      </c>
      <c r="C312" s="47" t="inlineStr">
        <is>
          <t>100분</t>
        </is>
      </c>
      <c r="D312" s="47" t="inlineStr">
        <is>
          <t>100건</t>
        </is>
      </c>
      <c r="E312" s="47" t="inlineStr">
        <is>
          <t>월 7GB</t>
        </is>
      </c>
      <c r="F312" s="47" t="inlineStr">
        <is>
          <t>SKT</t>
        </is>
      </c>
      <c r="G312" s="47" t="inlineStr">
        <is>
          <t>LTE</t>
        </is>
      </c>
      <c r="H312" s="48" t="n">
        <v>10</v>
      </c>
      <c r="I312" s="48" t="n">
        <v>7</v>
      </c>
      <c r="J312" s="48" t="n">
        <v>17600</v>
      </c>
      <c r="K312" s="47">
        <f t="array" ref="K312">_xlfn.XLOOKUP(1,(참조!$B$2:$B$15=E312)*(참조!$D$2:$D$15=C312)*(참조!$E$2:$E$15=D312),참조!$C$2:$C$15,"")</f>
        <v/>
      </c>
    </row>
    <row r="313" hidden="1" s="27">
      <c r="A313" s="47" t="inlineStr">
        <is>
          <t>티플러스</t>
        </is>
      </c>
      <c r="B313" s="47" t="inlineStr">
        <is>
          <t>5G 티플 180GB+</t>
        </is>
      </c>
      <c r="C313" s="47" t="inlineStr">
        <is>
          <t>무제한</t>
        </is>
      </c>
      <c r="D313" s="47" t="inlineStr">
        <is>
          <t>무제한</t>
        </is>
      </c>
      <c r="E313" s="47" t="inlineStr">
        <is>
          <t>월 180GB + 10Mbps</t>
        </is>
      </c>
      <c r="F313" s="47" t="inlineStr">
        <is>
          <t>LG U+</t>
        </is>
      </c>
      <c r="G313" s="47" t="inlineStr">
        <is>
          <t>5G</t>
        </is>
      </c>
      <c r="H313" s="48" t="n">
        <v>10900</v>
      </c>
      <c r="I313" s="48" t="n">
        <v>7</v>
      </c>
      <c r="J313" s="48" t="n">
        <v>60500</v>
      </c>
      <c r="K313" s="47">
        <f t="array" ref="K313">_xlfn.XLOOKUP(1,(참조!$B$2:$B$15=E313)*(참조!$D$2:$D$15=C313)*(참조!$E$2:$E$15=D313),참조!$C$2:$C$15,"")</f>
        <v/>
      </c>
    </row>
    <row r="314" hidden="1" s="27">
      <c r="A314" s="47" t="inlineStr">
        <is>
          <t>U+유모바일</t>
        </is>
      </c>
      <c r="B314" s="47" t="inlineStr">
        <is>
          <t>교보문고 북 플러스알파 15GB+</t>
        </is>
      </c>
      <c r="C314" s="47" t="inlineStr">
        <is>
          <t>무제한</t>
        </is>
      </c>
      <c r="D314" s="47" t="inlineStr">
        <is>
          <t>무제한</t>
        </is>
      </c>
      <c r="E314" s="47" t="inlineStr">
        <is>
          <t>월 15GB + 1Mbps</t>
        </is>
      </c>
      <c r="F314" s="47" t="inlineStr">
        <is>
          <t>LG U+</t>
        </is>
      </c>
      <c r="G314" s="47" t="inlineStr">
        <is>
          <t>LTE</t>
        </is>
      </c>
      <c r="H314" s="48" t="n">
        <v>22400</v>
      </c>
      <c r="I314" s="48" t="n"/>
      <c r="J314" s="48" t="n"/>
      <c r="K314" s="47">
        <f t="array" ref="K314">_xlfn.XLOOKUP(1,(참조!$B$2:$B$15=E314)*(참조!$D$2:$D$15=C314)*(참조!$E$2:$E$15=D314),참조!$C$2:$C$15,"")</f>
        <v/>
      </c>
    </row>
    <row r="315" hidden="1" s="27">
      <c r="A315" s="47" t="inlineStr">
        <is>
          <t>U+유모바일</t>
        </is>
      </c>
      <c r="B315" s="47" t="inlineStr">
        <is>
          <t>[쿠팡이츠 12만] 25GB+/통화기본</t>
        </is>
      </c>
      <c r="C315" s="47" t="inlineStr">
        <is>
          <t>무제한</t>
        </is>
      </c>
      <c r="D315" s="47" t="inlineStr">
        <is>
          <t>무제한</t>
        </is>
      </c>
      <c r="E315" s="47" t="inlineStr">
        <is>
          <t>월 25GB + 1Mbps</t>
        </is>
      </c>
      <c r="F315" s="47" t="inlineStr">
        <is>
          <t>LG U+</t>
        </is>
      </c>
      <c r="G315" s="47" t="inlineStr">
        <is>
          <t>LTE</t>
        </is>
      </c>
      <c r="H315" s="48" t="n">
        <v>24000</v>
      </c>
      <c r="I315" s="48" t="n"/>
      <c r="J315" s="48" t="n"/>
      <c r="K315" s="47">
        <f t="array" ref="K315">_xlfn.XLOOKUP(1,(참조!$B$2:$B$15=E315)*(참조!$D$2:$D$15=C315)*(참조!$E$2:$E$15=D315),참조!$C$2:$C$15,"")</f>
        <v/>
      </c>
    </row>
    <row r="316" hidden="1" s="27">
      <c r="A316" s="47" t="inlineStr">
        <is>
          <t>티플러스</t>
        </is>
      </c>
      <c r="B316" s="47" t="inlineStr">
        <is>
          <t>5G 티플 가성비(300분/15GB)</t>
        </is>
      </c>
      <c r="C316" s="47" t="inlineStr">
        <is>
          <t>300분</t>
        </is>
      </c>
      <c r="D316" s="47" t="inlineStr">
        <is>
          <t>300건</t>
        </is>
      </c>
      <c r="E316" s="47" t="inlineStr">
        <is>
          <t>월 15GB</t>
        </is>
      </c>
      <c r="F316" s="47" t="inlineStr">
        <is>
          <t>LG U+</t>
        </is>
      </c>
      <c r="G316" s="47" t="inlineStr">
        <is>
          <t>5G</t>
        </is>
      </c>
      <c r="H316" s="48" t="n">
        <v>10</v>
      </c>
      <c r="I316" s="48" t="n">
        <v>6</v>
      </c>
      <c r="J316" s="48" t="n">
        <v>24200</v>
      </c>
      <c r="K316" s="47">
        <f t="array" ref="K316">_xlfn.XLOOKUP(1,(참조!$B$2:$B$15=E316)*(참조!$D$2:$D$15=C316)*(참조!$E$2:$E$15=D316),참조!$C$2:$C$15,"")</f>
        <v/>
      </c>
    </row>
    <row r="317" hidden="1" s="27">
      <c r="A317" s="47" t="inlineStr">
        <is>
          <t>고고모바일</t>
        </is>
      </c>
      <c r="B317" s="47" t="inlineStr">
        <is>
          <t>LTE무제한 15GB+1M(CU20%할인)</t>
        </is>
      </c>
      <c r="C317" s="47" t="inlineStr">
        <is>
          <t>무제한</t>
        </is>
      </c>
      <c r="D317" s="47" t="inlineStr">
        <is>
          <t>무제한</t>
        </is>
      </c>
      <c r="E317" s="47" t="inlineStr">
        <is>
          <t>월 15GB + 1Mbps</t>
        </is>
      </c>
      <c r="F317" s="47" t="inlineStr">
        <is>
          <t>KT</t>
        </is>
      </c>
      <c r="G317" s="47" t="inlineStr">
        <is>
          <t>LTE</t>
        </is>
      </c>
      <c r="H317" s="48" t="n">
        <v>24310</v>
      </c>
      <c r="I317" s="48" t="n"/>
      <c r="J317" s="48" t="n"/>
      <c r="K317" s="47">
        <f t="array" ref="K317">_xlfn.XLOOKUP(1,(참조!$B$2:$B$15=E317)*(참조!$D$2:$D$15=C317)*(참조!$E$2:$E$15=D317),참조!$C$2:$C$15,"")</f>
        <v/>
      </c>
    </row>
    <row r="318" hidden="1" s="27">
      <c r="A318" s="47" t="inlineStr">
        <is>
          <t>KG모바일</t>
        </is>
      </c>
      <c r="B318" s="47" t="inlineStr">
        <is>
          <t>[평생할인] 통화, 데이터 마음대로 7GB+</t>
        </is>
      </c>
      <c r="C318" s="47" t="inlineStr">
        <is>
          <t>무제한</t>
        </is>
      </c>
      <c r="D318" s="47" t="inlineStr">
        <is>
          <t>무제한</t>
        </is>
      </c>
      <c r="E318" s="47" t="inlineStr">
        <is>
          <t>월 7GB + 1Mbps</t>
        </is>
      </c>
      <c r="F318" s="47" t="inlineStr">
        <is>
          <t>LG U+</t>
        </is>
      </c>
      <c r="G318" s="47" t="inlineStr">
        <is>
          <t>LTE</t>
        </is>
      </c>
      <c r="H318" s="48" t="n">
        <v>14900</v>
      </c>
      <c r="I318" s="48" t="n"/>
      <c r="J318" s="48" t="n"/>
      <c r="K318" s="47">
        <f t="array" ref="K318">_xlfn.XLOOKUP(1,(참조!$B$2:$B$15=E318)*(참조!$D$2:$D$15=C318)*(참조!$E$2:$E$15=D318),참조!$C$2:$C$15,"")</f>
        <v/>
      </c>
    </row>
    <row r="319" hidden="1" s="27">
      <c r="A319" s="47" t="inlineStr">
        <is>
          <t>U+유모바일</t>
        </is>
      </c>
      <c r="B319" s="47" t="inlineStr">
        <is>
          <t>[윌 240개] 플러스 알파 15GB+</t>
        </is>
      </c>
      <c r="C319" s="47" t="inlineStr">
        <is>
          <t>무제한</t>
        </is>
      </c>
      <c r="D319" s="47" t="inlineStr">
        <is>
          <t>무제한</t>
        </is>
      </c>
      <c r="E319" s="47" t="inlineStr">
        <is>
          <t>월 15GB + 1Mbps</t>
        </is>
      </c>
      <c r="F319" s="47" t="inlineStr">
        <is>
          <t>LG U+</t>
        </is>
      </c>
      <c r="G319" s="47" t="inlineStr">
        <is>
          <t>LTE</t>
        </is>
      </c>
      <c r="H319" s="48" t="n">
        <v>22500</v>
      </c>
      <c r="I319" s="48" t="n"/>
      <c r="J319" s="48" t="n"/>
      <c r="K319" s="47">
        <f t="array" ref="K319">_xlfn.XLOOKUP(1,(참조!$B$2:$B$15=E319)*(참조!$D$2:$D$15=C319)*(참조!$E$2:$E$15=D319),참조!$C$2:$C$15,"")</f>
        <v/>
      </c>
    </row>
    <row r="320" hidden="1" s="27">
      <c r="A320" s="47" t="inlineStr">
        <is>
          <t>시월모바일</t>
        </is>
      </c>
      <c r="B320" s="47" t="inlineStr">
        <is>
          <t>두해 통화기본7GB+</t>
        </is>
      </c>
      <c r="C320" s="47" t="inlineStr">
        <is>
          <t>무제한</t>
        </is>
      </c>
      <c r="D320" s="47" t="inlineStr">
        <is>
          <t>무제한</t>
        </is>
      </c>
      <c r="E320" s="47" t="inlineStr">
        <is>
          <t>월 7GB + 1Mbps</t>
        </is>
      </c>
      <c r="F320" s="47" t="inlineStr">
        <is>
          <t>LG U+</t>
        </is>
      </c>
      <c r="G320" s="47" t="inlineStr">
        <is>
          <t>LTE</t>
        </is>
      </c>
      <c r="H320" s="48" t="n">
        <v>10940</v>
      </c>
      <c r="I320" s="48" t="n">
        <v>24</v>
      </c>
      <c r="J320" s="48" t="n">
        <v>22050</v>
      </c>
      <c r="K320" s="47">
        <f t="array" ref="K320">_xlfn.XLOOKUP(1,(참조!$B$2:$B$15=E320)*(참조!$D$2:$D$15=C320)*(참조!$E$2:$E$15=D320),참조!$C$2:$C$15,"")</f>
        <v/>
      </c>
    </row>
    <row r="321" hidden="1" s="27">
      <c r="A321" s="47" t="inlineStr">
        <is>
          <t>KT스카이라이프</t>
        </is>
      </c>
      <c r="B321" s="47" t="inlineStr">
        <is>
          <t>통화 충분 6.5GB</t>
        </is>
      </c>
      <c r="C321" s="47" t="inlineStr">
        <is>
          <t>무제한</t>
        </is>
      </c>
      <c r="D321" s="47" t="inlineStr">
        <is>
          <t>무제한</t>
        </is>
      </c>
      <c r="E321" s="47" t="inlineStr">
        <is>
          <t>월 6.5GB</t>
        </is>
      </c>
      <c r="F321" s="47" t="inlineStr">
        <is>
          <t>KT</t>
        </is>
      </c>
      <c r="G321" s="47" t="inlineStr">
        <is>
          <t>LTE</t>
        </is>
      </c>
      <c r="H321" s="48" t="n">
        <v>10900</v>
      </c>
      <c r="I321" s="48" t="n"/>
      <c r="J321" s="48" t="n"/>
      <c r="K321" s="47">
        <f t="array" ref="K321">_xlfn.XLOOKUP(1,(참조!$B$2:$B$15=E321)*(참조!$D$2:$D$15=C321)*(참조!$E$2:$E$15=D321),참조!$C$2:$C$15,"")</f>
        <v/>
      </c>
    </row>
    <row r="322" hidden="1" s="27">
      <c r="A322" s="47" t="inlineStr">
        <is>
          <t>티플러스</t>
        </is>
      </c>
      <c r="B322" s="47" t="inlineStr">
        <is>
          <t>5G 티플온 150GB+_평생 할인</t>
        </is>
      </c>
      <c r="C322" s="47" t="inlineStr">
        <is>
          <t>무제한</t>
        </is>
      </c>
      <c r="D322" s="47" t="inlineStr">
        <is>
          <t>무제한</t>
        </is>
      </c>
      <c r="E322" s="47" t="inlineStr">
        <is>
          <t>월 150GB + 5Mbps</t>
        </is>
      </c>
      <c r="F322" s="47" t="inlineStr">
        <is>
          <t>LG U+</t>
        </is>
      </c>
      <c r="G322" s="47" t="inlineStr">
        <is>
          <t>5G</t>
        </is>
      </c>
      <c r="H322" s="48" t="n">
        <v>28500</v>
      </c>
      <c r="I322" s="48" t="n"/>
      <c r="J322" s="48" t="n"/>
      <c r="K322" s="47">
        <f t="array" ref="K322">_xlfn.XLOOKUP(1,(참조!$B$2:$B$15=E322)*(참조!$D$2:$D$15=C322)*(참조!$E$2:$E$15=D322),참조!$C$2:$C$15,"")</f>
        <v/>
      </c>
    </row>
    <row r="323" hidden="1" s="27">
      <c r="A323" s="47" t="inlineStr">
        <is>
          <t>더원모바일</t>
        </is>
      </c>
      <c r="B323" s="47" t="inlineStr">
        <is>
          <t>TOP 15GB 100분 (올리브영)</t>
        </is>
      </c>
      <c r="C323" s="47" t="inlineStr">
        <is>
          <t>100분</t>
        </is>
      </c>
      <c r="D323" s="47" t="inlineStr">
        <is>
          <t>100건</t>
        </is>
      </c>
      <c r="E323" s="47" t="inlineStr">
        <is>
          <t>월 15GB + 3Mbps</t>
        </is>
      </c>
      <c r="F323" s="47" t="inlineStr">
        <is>
          <t>KT</t>
        </is>
      </c>
      <c r="G323" s="47" t="inlineStr">
        <is>
          <t>LTE</t>
        </is>
      </c>
      <c r="H323" s="48" t="n">
        <v>14300</v>
      </c>
      <c r="I323" s="48" t="n">
        <v>12</v>
      </c>
      <c r="J323" s="48" t="n">
        <v>35200</v>
      </c>
      <c r="K323" s="47">
        <f t="array" ref="K323">_xlfn.XLOOKUP(1,(참조!$B$2:$B$15=E323)*(참조!$D$2:$D$15=C323)*(참조!$E$2:$E$15=D323),참조!$C$2:$C$15,"")</f>
        <v/>
      </c>
    </row>
    <row r="324" hidden="1" s="27">
      <c r="A324" s="47" t="inlineStr">
        <is>
          <t>티플러스</t>
        </is>
      </c>
      <c r="B324" s="47" t="inlineStr">
        <is>
          <t>티플 데이터마음껏5G(100분)</t>
        </is>
      </c>
      <c r="C324" s="47" t="inlineStr">
        <is>
          <t>100분</t>
        </is>
      </c>
      <c r="D324" s="47" t="inlineStr">
        <is>
          <t>100건</t>
        </is>
      </c>
      <c r="E324" s="47" t="inlineStr">
        <is>
          <t>월 5GB + 1Mbps</t>
        </is>
      </c>
      <c r="F324" s="47" t="inlineStr">
        <is>
          <t>LG U+</t>
        </is>
      </c>
      <c r="G324" s="47" t="inlineStr">
        <is>
          <t>LTE</t>
        </is>
      </c>
      <c r="H324" s="48" t="n">
        <v>10</v>
      </c>
      <c r="I324" s="48" t="n">
        <v>7</v>
      </c>
      <c r="J324" s="48" t="n">
        <v>11550</v>
      </c>
      <c r="K324" s="47">
        <f t="array" ref="K324">_xlfn.XLOOKUP(1,(참조!$B$2:$B$15=E324)*(참조!$D$2:$D$15=C324)*(참조!$E$2:$E$15=D324),참조!$C$2:$C$15,"")</f>
        <v/>
      </c>
    </row>
    <row r="325" hidden="1" s="27">
      <c r="A325" s="47" t="inlineStr">
        <is>
          <t>LG헬로모바일</t>
        </is>
      </c>
      <c r="B325" s="47" t="inlineStr">
        <is>
          <t>보편 안심 유심 1GB 100분</t>
        </is>
      </c>
      <c r="C325" s="47" t="inlineStr">
        <is>
          <t>100분</t>
        </is>
      </c>
      <c r="D325" s="47" t="inlineStr">
        <is>
          <t>100건</t>
        </is>
      </c>
      <c r="E325" s="47" t="inlineStr">
        <is>
          <t>월 1GB + 1Mbps</t>
        </is>
      </c>
      <c r="F325" s="47" t="inlineStr">
        <is>
          <t>LG U+</t>
        </is>
      </c>
      <c r="G325" s="47" t="inlineStr">
        <is>
          <t>LTE</t>
        </is>
      </c>
      <c r="H325" s="48" t="n">
        <v>2900</v>
      </c>
      <c r="I325" s="48" t="n">
        <v>6</v>
      </c>
      <c r="J325" s="48" t="n">
        <v>7900</v>
      </c>
      <c r="K325" s="47">
        <f t="array" ref="K325">_xlfn.XLOOKUP(1,(참조!$B$2:$B$15=E325)*(참조!$D$2:$D$15=C325)*(참조!$E$2:$E$15=D325),참조!$C$2:$C$15,"")</f>
        <v/>
      </c>
    </row>
    <row r="326">
      <c r="A326" s="47" t="inlineStr">
        <is>
          <t>고고모바일</t>
        </is>
      </c>
      <c r="B326" s="47" t="inlineStr">
        <is>
          <t>고고 LTE 300분/5GB_모요</t>
        </is>
      </c>
      <c r="C326" s="47" t="inlineStr">
        <is>
          <t>300분</t>
        </is>
      </c>
      <c r="D326" s="47" t="inlineStr">
        <is>
          <t>300건</t>
        </is>
      </c>
      <c r="E326" s="47" t="inlineStr">
        <is>
          <t>월 5GB</t>
        </is>
      </c>
      <c r="F326" s="47" t="inlineStr">
        <is>
          <t>SKT</t>
        </is>
      </c>
      <c r="G326" s="47" t="inlineStr">
        <is>
          <t>LTE</t>
        </is>
      </c>
      <c r="H326" s="48" t="n">
        <v>10</v>
      </c>
      <c r="I326" s="48" t="n">
        <v>7</v>
      </c>
      <c r="J326" s="48" t="n">
        <v>12100</v>
      </c>
      <c r="K326" s="47">
        <f t="array" ref="K326">_xlfn.XLOOKUP(1,(참조!$B$2:$B$15=E326)*(참조!$D$2:$D$15=C326)*(참조!$E$2:$E$15=D326),참조!$C$2:$C$15,"")</f>
        <v/>
      </c>
    </row>
    <row r="327" hidden="1" s="27">
      <c r="A327" s="47" t="inlineStr">
        <is>
          <t>티플러스</t>
        </is>
      </c>
      <c r="B327" s="47" t="inlineStr">
        <is>
          <t>티플 일5G＋(밀리의서재＋올리브영 5,000원 상품권)</t>
        </is>
      </c>
      <c r="C327" s="47" t="inlineStr">
        <is>
          <t>무제한</t>
        </is>
      </c>
      <c r="D327" s="47" t="inlineStr">
        <is>
          <t>무제한</t>
        </is>
      </c>
      <c r="E327" s="47" t="inlineStr">
        <is>
          <t>매일 5GB + 5Mbps</t>
        </is>
      </c>
      <c r="F327" s="47" t="inlineStr">
        <is>
          <t>KT</t>
        </is>
      </c>
      <c r="G327" s="47" t="inlineStr">
        <is>
          <t>LTE</t>
        </is>
      </c>
      <c r="H327" s="48" t="n">
        <v>8900</v>
      </c>
      <c r="I327" s="48" t="n">
        <v>7</v>
      </c>
      <c r="J327" s="48" t="n">
        <v>55000</v>
      </c>
      <c r="K327" s="47">
        <f t="array" ref="K327">_xlfn.XLOOKUP(1,(참조!$B$2:$B$15=E327)*(참조!$D$2:$D$15=C327)*(참조!$E$2:$E$15=D327),참조!$C$2:$C$15,"")</f>
        <v/>
      </c>
    </row>
    <row r="328" hidden="1" s="27">
      <c r="A328" s="47" t="inlineStr">
        <is>
          <t>KG모바일</t>
        </is>
      </c>
      <c r="B328" s="47" t="inlineStr">
        <is>
          <t>[평생할인] 데이터 마음대로 (4.5GB+/100분)</t>
        </is>
      </c>
      <c r="C328" s="47" t="inlineStr">
        <is>
          <t>100분</t>
        </is>
      </c>
      <c r="D328" s="47" t="inlineStr">
        <is>
          <t>100건</t>
        </is>
      </c>
      <c r="E328" s="47" t="inlineStr">
        <is>
          <t>월 4.5GB + 1Mbps</t>
        </is>
      </c>
      <c r="F328" s="47" t="inlineStr">
        <is>
          <t>LG U+</t>
        </is>
      </c>
      <c r="G328" s="47" t="inlineStr">
        <is>
          <t>LTE</t>
        </is>
      </c>
      <c r="H328" s="48" t="n">
        <v>3200</v>
      </c>
      <c r="I328" s="48" t="n"/>
      <c r="J328" s="48" t="n"/>
      <c r="K328" s="47">
        <f t="array" ref="K328">_xlfn.XLOOKUP(1,(참조!$B$2:$B$15=E328)*(참조!$D$2:$D$15=C328)*(참조!$E$2:$E$15=D328),참조!$C$2:$C$15,"")</f>
        <v/>
      </c>
    </row>
    <row r="329" hidden="1" s="27">
      <c r="A329" s="47" t="inlineStr">
        <is>
          <t>이야기모바일</t>
        </is>
      </c>
      <c r="B329" s="47" t="inlineStr">
        <is>
          <t>이야기 스페셜 무제한 11GB+</t>
        </is>
      </c>
      <c r="C329" s="47" t="inlineStr">
        <is>
          <t>무제한</t>
        </is>
      </c>
      <c r="D329" s="47" t="inlineStr">
        <is>
          <t>무제한</t>
        </is>
      </c>
      <c r="E329" s="47" t="inlineStr">
        <is>
          <t>월 11GB + 매일 2GB + 3Mbps</t>
        </is>
      </c>
      <c r="F329" s="47" t="inlineStr">
        <is>
          <t>LG U+</t>
        </is>
      </c>
      <c r="G329" s="47" t="inlineStr">
        <is>
          <t>LTE</t>
        </is>
      </c>
      <c r="H329" s="48" t="n">
        <v>23900</v>
      </c>
      <c r="I329" s="48" t="n">
        <v>12</v>
      </c>
      <c r="J329" s="48" t="n">
        <v>41800</v>
      </c>
      <c r="K329" s="47">
        <f t="array" ref="K329">_xlfn.XLOOKUP(1,(참조!$B$2:$B$15=E329)*(참조!$D$2:$D$15=C329)*(참조!$E$2:$E$15=D329),참조!$C$2:$C$15,"")</f>
        <v/>
      </c>
    </row>
    <row r="330" hidden="1" s="27">
      <c r="A330" s="47" t="inlineStr">
        <is>
          <t>KG모바일</t>
        </is>
      </c>
      <c r="B330" s="47" t="inlineStr">
        <is>
          <t>[일반] 데이터 마음대로 (5GB+/100분)_12개월</t>
        </is>
      </c>
      <c r="C330" s="47" t="inlineStr">
        <is>
          <t>100분</t>
        </is>
      </c>
      <c r="D330" s="47" t="inlineStr">
        <is>
          <t>100건</t>
        </is>
      </c>
      <c r="E330" s="47" t="inlineStr">
        <is>
          <t>월 5GB + 1Mbps</t>
        </is>
      </c>
      <c r="F330" s="47" t="inlineStr">
        <is>
          <t>LG U+</t>
        </is>
      </c>
      <c r="G330" s="47" t="inlineStr">
        <is>
          <t>LTE</t>
        </is>
      </c>
      <c r="H330" s="48" t="n">
        <v>1200</v>
      </c>
      <c r="I330" s="48" t="n">
        <v>12</v>
      </c>
      <c r="J330" s="48" t="n">
        <v>17200</v>
      </c>
      <c r="K330" s="47">
        <f t="array" ref="K330">_xlfn.XLOOKUP(1,(참조!$B$2:$B$15=E330)*(참조!$D$2:$D$15=C330)*(참조!$E$2:$E$15=D330),참조!$C$2:$C$15,"")</f>
        <v/>
      </c>
    </row>
    <row r="331" hidden="1" s="27">
      <c r="A331" s="47" t="inlineStr">
        <is>
          <t>모나</t>
        </is>
      </c>
      <c r="B331" s="47" t="inlineStr">
        <is>
          <t>5G_모나데이터180G안심10</t>
        </is>
      </c>
      <c r="C331" s="47" t="inlineStr">
        <is>
          <t>무제한</t>
        </is>
      </c>
      <c r="D331" s="47" t="inlineStr">
        <is>
          <t>무제한</t>
        </is>
      </c>
      <c r="E331" s="47" t="inlineStr">
        <is>
          <t>월 180GB + 10Mbps</t>
        </is>
      </c>
      <c r="F331" s="47" t="inlineStr">
        <is>
          <t>LG U+</t>
        </is>
      </c>
      <c r="G331" s="47" t="inlineStr">
        <is>
          <t>5G</t>
        </is>
      </c>
      <c r="H331" s="48" t="n">
        <v>28900</v>
      </c>
      <c r="I331" s="48" t="n">
        <v>12</v>
      </c>
      <c r="J331" s="48" t="n">
        <v>66000</v>
      </c>
      <c r="K331" s="47">
        <f t="array" ref="K331">_xlfn.XLOOKUP(1,(참조!$B$2:$B$15=E331)*(참조!$D$2:$D$15=C331)*(참조!$E$2:$E$15=D331),참조!$C$2:$C$15,"")</f>
        <v/>
      </c>
    </row>
    <row r="332" hidden="1" s="27">
      <c r="A332" s="47" t="inlineStr">
        <is>
          <t>슈가모바일</t>
        </is>
      </c>
      <c r="B332" s="47" t="inlineStr">
        <is>
          <t>슈가X윌라 11GB+매일2GB+</t>
        </is>
      </c>
      <c r="C332" s="47" t="inlineStr">
        <is>
          <t>무제한</t>
        </is>
      </c>
      <c r="D332" s="47" t="inlineStr">
        <is>
          <t>무제한</t>
        </is>
      </c>
      <c r="E332" s="47" t="inlineStr">
        <is>
          <t>월 11GB + 매일 2GB + 3Mbps</t>
        </is>
      </c>
      <c r="F332" s="47" t="inlineStr">
        <is>
          <t>LG U+</t>
        </is>
      </c>
      <c r="G332" s="47" t="inlineStr">
        <is>
          <t>LTE</t>
        </is>
      </c>
      <c r="H332" s="48" t="n">
        <v>25900</v>
      </c>
      <c r="I332" s="48" t="n">
        <v>24</v>
      </c>
      <c r="J332" s="48" t="n">
        <v>44000</v>
      </c>
      <c r="K332" s="47">
        <f t="array" ref="K332">_xlfn.XLOOKUP(1,(참조!$B$2:$B$15=E332)*(참조!$D$2:$D$15=C332)*(참조!$E$2:$E$15=D332),참조!$C$2:$C$15,"")</f>
        <v/>
      </c>
    </row>
    <row r="333" hidden="1" s="27">
      <c r="A333" s="47" t="inlineStr">
        <is>
          <t>U+유모바일</t>
        </is>
      </c>
      <c r="B333" s="47" t="inlineStr">
        <is>
          <t>[평생할인] 100GB+/통화기본</t>
        </is>
      </c>
      <c r="C333" s="47" t="inlineStr">
        <is>
          <t>무제한</t>
        </is>
      </c>
      <c r="D333" s="47" t="inlineStr">
        <is>
          <t>무제한</t>
        </is>
      </c>
      <c r="E333" s="47" t="inlineStr">
        <is>
          <t>월 100GB + 5Mbps</t>
        </is>
      </c>
      <c r="F333" s="47" t="inlineStr">
        <is>
          <t>LG U+</t>
        </is>
      </c>
      <c r="G333" s="47" t="inlineStr">
        <is>
          <t>LTE</t>
        </is>
      </c>
      <c r="H333" s="48" t="n">
        <v>38200</v>
      </c>
      <c r="I333" s="48" t="n"/>
      <c r="J333" s="48" t="n"/>
      <c r="K333" s="47">
        <f t="array" ref="K333">_xlfn.XLOOKUP(1,(참조!$B$2:$B$15=E333)*(참조!$D$2:$D$15=C333)*(참조!$E$2:$E$15=D333),참조!$C$2:$C$15,"")</f>
        <v/>
      </c>
    </row>
    <row r="334" hidden="1" s="27">
      <c r="A334" s="47" t="inlineStr">
        <is>
          <t>LG헬로모바일</t>
        </is>
      </c>
      <c r="B334" s="47" t="inlineStr">
        <is>
          <t>The 착한 데이터 유심 1.3GB</t>
        </is>
      </c>
      <c r="C334" s="47" t="inlineStr">
        <is>
          <t>무제한</t>
        </is>
      </c>
      <c r="D334" s="47" t="inlineStr">
        <is>
          <t>무제한</t>
        </is>
      </c>
      <c r="E334" s="47" t="inlineStr">
        <is>
          <t>월 1.3GB</t>
        </is>
      </c>
      <c r="F334" s="47" t="inlineStr">
        <is>
          <t>LG U+</t>
        </is>
      </c>
      <c r="G334" s="47" t="inlineStr">
        <is>
          <t>LTE</t>
        </is>
      </c>
      <c r="H334" s="48" t="n">
        <v>1300</v>
      </c>
      <c r="I334" s="48" t="n">
        <v>6</v>
      </c>
      <c r="J334" s="48" t="n">
        <v>6300</v>
      </c>
      <c r="K334" s="47">
        <f t="array" ref="K334">_xlfn.XLOOKUP(1,(참조!$B$2:$B$15=E334)*(참조!$D$2:$D$15=C334)*(참조!$E$2:$E$15=D334),참조!$C$2:$C$15,"")</f>
        <v/>
      </c>
    </row>
    <row r="335" hidden="1" s="27">
      <c r="A335" s="47" t="inlineStr">
        <is>
          <t>이야기모바일</t>
        </is>
      </c>
      <c r="B335" s="47" t="inlineStr">
        <is>
          <t>내맘대로S(100+6GB)</t>
        </is>
      </c>
      <c r="C335" s="47" t="inlineStr">
        <is>
          <t>100분</t>
        </is>
      </c>
      <c r="D335" s="47" t="inlineStr">
        <is>
          <t>100건</t>
        </is>
      </c>
      <c r="E335" s="47" t="inlineStr">
        <is>
          <t>월 6GB</t>
        </is>
      </c>
      <c r="F335" s="47" t="inlineStr">
        <is>
          <t>SKT</t>
        </is>
      </c>
      <c r="G335" s="47" t="inlineStr">
        <is>
          <t>LTE</t>
        </is>
      </c>
      <c r="H335" s="48" t="n">
        <v>10</v>
      </c>
      <c r="I335" s="48" t="n">
        <v>12</v>
      </c>
      <c r="J335" s="48" t="n">
        <v>4900</v>
      </c>
      <c r="K335" s="47">
        <f t="array" ref="K335">_xlfn.XLOOKUP(1,(참조!$B$2:$B$15=E335)*(참조!$D$2:$D$15=C335)*(참조!$E$2:$E$15=D335),참조!$C$2:$C$15,"")</f>
        <v/>
      </c>
    </row>
    <row r="336" hidden="1" s="27">
      <c r="A336" s="47" t="inlineStr">
        <is>
          <t>U+유모바일</t>
        </is>
      </c>
      <c r="B336" s="47" t="inlineStr">
        <is>
          <t>[다이소 12만] 7GB+</t>
        </is>
      </c>
      <c r="C336" s="47" t="inlineStr">
        <is>
          <t>무제한</t>
        </is>
      </c>
      <c r="D336" s="47" t="inlineStr">
        <is>
          <t>무제한</t>
        </is>
      </c>
      <c r="E336" s="47" t="inlineStr">
        <is>
          <t>월 7GB + 1Mbps</t>
        </is>
      </c>
      <c r="F336" s="47" t="inlineStr">
        <is>
          <t>LG U+</t>
        </is>
      </c>
      <c r="G336" s="47" t="inlineStr">
        <is>
          <t>LTE</t>
        </is>
      </c>
      <c r="H336" s="48" t="n">
        <v>18100</v>
      </c>
      <c r="I336" s="48" t="n"/>
      <c r="J336" s="48" t="n"/>
      <c r="K336" s="47">
        <f t="array" ref="K336">_xlfn.XLOOKUP(1,(참조!$B$2:$B$15=E336)*(참조!$D$2:$D$15=C336)*(참조!$E$2:$E$15=D336),참조!$C$2:$C$15,"")</f>
        <v/>
      </c>
    </row>
    <row r="337" hidden="1" s="27">
      <c r="A337" s="47" t="inlineStr">
        <is>
          <t>KG모바일</t>
        </is>
      </c>
      <c r="B337" s="47" t="inlineStr">
        <is>
          <t>[일반] 통화, 데이터 마음대로 11GB+_24개월</t>
        </is>
      </c>
      <c r="C337" s="47" t="inlineStr">
        <is>
          <t>무제한</t>
        </is>
      </c>
      <c r="D337" s="47" t="inlineStr">
        <is>
          <t>무제한</t>
        </is>
      </c>
      <c r="E337" s="47" t="inlineStr">
        <is>
          <t>월 11GB + 매일 2GB + 3Mbps</t>
        </is>
      </c>
      <c r="F337" s="47" t="inlineStr">
        <is>
          <t>LG U+</t>
        </is>
      </c>
      <c r="G337" s="47" t="inlineStr">
        <is>
          <t>LTE</t>
        </is>
      </c>
      <c r="H337" s="48" t="n">
        <v>26200</v>
      </c>
      <c r="I337" s="48" t="n">
        <v>24</v>
      </c>
      <c r="J337" s="48" t="n">
        <v>41800</v>
      </c>
      <c r="K337" s="47">
        <f t="array" ref="K337">_xlfn.XLOOKUP(1,(참조!$B$2:$B$15=E337)*(참조!$D$2:$D$15=C337)*(참조!$E$2:$E$15=D337),참조!$C$2:$C$15,"")</f>
        <v/>
      </c>
    </row>
    <row r="338" hidden="1" s="27">
      <c r="A338" s="47" t="inlineStr">
        <is>
          <t>KT스카이라이프</t>
        </is>
      </c>
      <c r="B338" s="47" t="inlineStr">
        <is>
          <t>모두 충분 11GB+(CU)</t>
        </is>
      </c>
      <c r="C338" s="47" t="inlineStr">
        <is>
          <t>무제한</t>
        </is>
      </c>
      <c r="D338" s="47" t="inlineStr">
        <is>
          <t>무제한</t>
        </is>
      </c>
      <c r="E338" s="47" t="inlineStr">
        <is>
          <t>월 11GB + 매일 2GB + 3Mbps</t>
        </is>
      </c>
      <c r="F338" s="47" t="inlineStr">
        <is>
          <t>KT</t>
        </is>
      </c>
      <c r="G338" s="47" t="inlineStr">
        <is>
          <t>LTE</t>
        </is>
      </c>
      <c r="H338" s="48" t="n">
        <v>34200</v>
      </c>
      <c r="I338" s="48" t="n"/>
      <c r="J338" s="48" t="n"/>
      <c r="K338" s="47">
        <f t="array" ref="K338">_xlfn.XLOOKUP(1,(참조!$B$2:$B$15=E338)*(참조!$D$2:$D$15=C338)*(참조!$E$2:$E$15=D338),참조!$C$2:$C$15,"")</f>
        <v/>
      </c>
    </row>
    <row r="339" hidden="1" s="27">
      <c r="A339" s="47" t="inlineStr">
        <is>
          <t>KG모바일</t>
        </is>
      </c>
      <c r="B339" s="47" t="inlineStr">
        <is>
          <t>[모빌카드 스페셜] 유심 5G 180GB+</t>
        </is>
      </c>
      <c r="C339" s="47" t="inlineStr">
        <is>
          <t>무제한</t>
        </is>
      </c>
      <c r="D339" s="47" t="inlineStr">
        <is>
          <t>무제한</t>
        </is>
      </c>
      <c r="E339" s="47" t="inlineStr">
        <is>
          <t>월 180GB + 10Mbps</t>
        </is>
      </c>
      <c r="F339" s="47" t="inlineStr">
        <is>
          <t>LG U+</t>
        </is>
      </c>
      <c r="G339" s="47" t="inlineStr">
        <is>
          <t>5G</t>
        </is>
      </c>
      <c r="H339" s="48" t="n">
        <v>13500</v>
      </c>
      <c r="I339" s="48" t="n">
        <v>7</v>
      </c>
      <c r="J339" s="48" t="n">
        <v>59400</v>
      </c>
      <c r="K339" s="47">
        <f t="array" ref="K339">_xlfn.XLOOKUP(1,(참조!$B$2:$B$15=E339)*(참조!$D$2:$D$15=C339)*(참조!$E$2:$E$15=D339),참조!$C$2:$C$15,"")</f>
        <v/>
      </c>
    </row>
    <row r="340" hidden="1" s="27">
      <c r="A340" s="47" t="inlineStr">
        <is>
          <t>스마텔</t>
        </is>
      </c>
      <c r="B340" s="47" t="inlineStr">
        <is>
          <t>USIM 스마일 (200분/10GB)</t>
        </is>
      </c>
      <c r="C340" s="47" t="inlineStr">
        <is>
          <t>200분</t>
        </is>
      </c>
      <c r="D340" s="47" t="inlineStr">
        <is>
          <t>100건</t>
        </is>
      </c>
      <c r="E340" s="47" t="inlineStr">
        <is>
          <t>월 10GB</t>
        </is>
      </c>
      <c r="F340" s="47" t="inlineStr">
        <is>
          <t>SKT</t>
        </is>
      </c>
      <c r="G340" s="47" t="inlineStr">
        <is>
          <t>LTE</t>
        </is>
      </c>
      <c r="H340" s="48" t="n">
        <v>990</v>
      </c>
      <c r="I340" s="48" t="n">
        <v>12</v>
      </c>
      <c r="J340" s="48" t="n">
        <v>17600</v>
      </c>
      <c r="K340" s="47">
        <f t="array" ref="K340">_xlfn.XLOOKUP(1,(참조!$B$2:$B$15=E340)*(참조!$D$2:$D$15=C340)*(참조!$E$2:$E$15=D340),참조!$C$2:$C$15,"")</f>
        <v/>
      </c>
    </row>
    <row r="341" hidden="1" s="27">
      <c r="A341" s="47" t="inlineStr">
        <is>
          <t>티플러스</t>
        </is>
      </c>
      <c r="B341" s="47" t="inlineStr">
        <is>
          <t>완전마음껏 100GB＋＋(CU 20%)_18개월할인</t>
        </is>
      </c>
      <c r="C341" s="47" t="inlineStr">
        <is>
          <t>무제한</t>
        </is>
      </c>
      <c r="D341" s="47" t="inlineStr">
        <is>
          <t>무제한</t>
        </is>
      </c>
      <c r="E341" s="47" t="inlineStr">
        <is>
          <t>월 100GB + 5Mbps</t>
        </is>
      </c>
      <c r="F341" s="47" t="inlineStr">
        <is>
          <t>KT</t>
        </is>
      </c>
      <c r="G341" s="47" t="inlineStr">
        <is>
          <t>LTE</t>
        </is>
      </c>
      <c r="H341" s="48" t="n">
        <v>24900</v>
      </c>
      <c r="I341" s="48" t="n">
        <v>18</v>
      </c>
      <c r="J341" s="48" t="n">
        <v>48400</v>
      </c>
      <c r="K341" s="47">
        <f t="array" ref="K341">_xlfn.XLOOKUP(1,(참조!$B$2:$B$15=E341)*(참조!$D$2:$D$15=C341)*(참조!$E$2:$E$15=D341),참조!$C$2:$C$15,"")</f>
        <v/>
      </c>
    </row>
    <row r="342" hidden="1" s="27">
      <c r="A342" s="47" t="inlineStr">
        <is>
          <t>KT엠모바일</t>
        </is>
      </c>
      <c r="B342" s="47" t="inlineStr">
        <is>
          <t>모두다 맘껏 안심 2.5GB+</t>
        </is>
      </c>
      <c r="C342" s="47" t="inlineStr">
        <is>
          <t>무제한</t>
        </is>
      </c>
      <c r="D342" s="47" t="inlineStr">
        <is>
          <t>무제한</t>
        </is>
      </c>
      <c r="E342" s="47" t="inlineStr">
        <is>
          <t>월 2.5GB + 400Kbps</t>
        </is>
      </c>
      <c r="F342" s="47" t="inlineStr">
        <is>
          <t>KT</t>
        </is>
      </c>
      <c r="G342" s="47" t="inlineStr">
        <is>
          <t>LTE</t>
        </is>
      </c>
      <c r="H342" s="48" t="n">
        <v>6400</v>
      </c>
      <c r="I342" s="48" t="n"/>
      <c r="J342" s="48" t="n"/>
      <c r="K342" s="47">
        <f t="array" ref="K342">_xlfn.XLOOKUP(1,(참조!$B$2:$B$15=E342)*(참조!$D$2:$D$15=C342)*(참조!$E$2:$E$15=D342),참조!$C$2:$C$15,"")</f>
        <v/>
      </c>
    </row>
    <row r="343" hidden="1" s="27">
      <c r="A343" s="47" t="inlineStr">
        <is>
          <t>쉐이크모바일</t>
        </is>
      </c>
      <c r="B343" s="47" t="inlineStr">
        <is>
          <t>[모요only] 쉐이크핫딜 LTE 100GB+_모아진 전자 구독</t>
        </is>
      </c>
      <c r="C343" s="47" t="inlineStr">
        <is>
          <t>무제한</t>
        </is>
      </c>
      <c r="D343" s="47" t="inlineStr">
        <is>
          <t>무제한</t>
        </is>
      </c>
      <c r="E343" s="47" t="inlineStr">
        <is>
          <t>월 100GB + 5Mbps</t>
        </is>
      </c>
      <c r="F343" s="47" t="inlineStr">
        <is>
          <t>KT</t>
        </is>
      </c>
      <c r="G343" s="47" t="inlineStr">
        <is>
          <t>LTE</t>
        </is>
      </c>
      <c r="H343" s="48" t="n">
        <v>7900</v>
      </c>
      <c r="I343" s="48" t="n">
        <v>7</v>
      </c>
      <c r="J343" s="48" t="n">
        <v>45100</v>
      </c>
      <c r="K343" s="47">
        <f t="array" ref="K343">_xlfn.XLOOKUP(1,(참조!$B$2:$B$15=E343)*(참조!$D$2:$D$15=C343)*(참조!$E$2:$E$15=D343),참조!$C$2:$C$15,"")</f>
        <v/>
      </c>
    </row>
    <row r="344" hidden="1" s="27">
      <c r="A344" s="47" t="inlineStr">
        <is>
          <t>U+유모바일</t>
        </is>
      </c>
      <c r="B344" s="47" t="inlineStr">
        <is>
          <t>[GS25 12만] 71GB+/통화기본</t>
        </is>
      </c>
      <c r="C344" s="47" t="inlineStr">
        <is>
          <t>무제한</t>
        </is>
      </c>
      <c r="D344" s="47" t="inlineStr">
        <is>
          <t>무제한</t>
        </is>
      </c>
      <c r="E344" s="47" t="inlineStr">
        <is>
          <t>월 11GB + 매일 2GB + 3Mbps</t>
        </is>
      </c>
      <c r="F344" s="47" t="inlineStr">
        <is>
          <t>LG U+</t>
        </is>
      </c>
      <c r="G344" s="47" t="inlineStr">
        <is>
          <t>LTE</t>
        </is>
      </c>
      <c r="H344" s="48" t="n">
        <v>35300</v>
      </c>
      <c r="I344" s="48" t="n"/>
      <c r="J344" s="48" t="n"/>
      <c r="K344" s="47">
        <f t="array" ref="K344">_xlfn.XLOOKUP(1,(참조!$B$2:$B$15=E344)*(참조!$D$2:$D$15=C344)*(참조!$E$2:$E$15=D344),참조!$C$2:$C$15,"")</f>
        <v/>
      </c>
    </row>
    <row r="345" hidden="1" s="27">
      <c r="A345" s="47" t="inlineStr">
        <is>
          <t>이지모바일</t>
        </is>
      </c>
      <c r="B345" s="47" t="inlineStr">
        <is>
          <t>이지 데이터 5GB</t>
        </is>
      </c>
      <c r="C345" s="47" t="inlineStr">
        <is>
          <t>300분</t>
        </is>
      </c>
      <c r="D345" s="47" t="inlineStr">
        <is>
          <t>100건</t>
        </is>
      </c>
      <c r="E345" s="47" t="inlineStr">
        <is>
          <t>월 5GB</t>
        </is>
      </c>
      <c r="F345" s="47" t="inlineStr">
        <is>
          <t>LG U+</t>
        </is>
      </c>
      <c r="G345" s="47" t="inlineStr">
        <is>
          <t>LTE</t>
        </is>
      </c>
      <c r="H345" s="48" t="n">
        <v>10</v>
      </c>
      <c r="I345" s="48" t="n">
        <v>6</v>
      </c>
      <c r="J345" s="48" t="n">
        <v>15950</v>
      </c>
      <c r="K345" s="47">
        <f t="array" ref="K345">_xlfn.XLOOKUP(1,(참조!$B$2:$B$15=E345)*(참조!$D$2:$D$15=C345)*(참조!$E$2:$E$15=D345),참조!$C$2:$C$15,"")</f>
        <v/>
      </c>
    </row>
    <row r="346" hidden="1" s="27">
      <c r="A346" s="47" t="inlineStr">
        <is>
          <t>슈가모바일</t>
        </is>
      </c>
      <c r="B346" s="47" t="inlineStr">
        <is>
          <t>Sugar(120분/9GB)</t>
        </is>
      </c>
      <c r="C346" s="47" t="inlineStr">
        <is>
          <t>120분</t>
        </is>
      </c>
      <c r="D346" s="47" t="inlineStr">
        <is>
          <t>100건</t>
        </is>
      </c>
      <c r="E346" s="47" t="inlineStr">
        <is>
          <t>월 9GB</t>
        </is>
      </c>
      <c r="F346" s="47" t="inlineStr">
        <is>
          <t>LG U+</t>
        </is>
      </c>
      <c r="G346" s="47" t="inlineStr">
        <is>
          <t>LTE</t>
        </is>
      </c>
      <c r="H346" s="48" t="n">
        <v>4400</v>
      </c>
      <c r="I346" s="48" t="n"/>
      <c r="J346" s="48" t="n"/>
      <c r="K346" s="47">
        <f t="array" ref="K346">_xlfn.XLOOKUP(1,(참조!$B$2:$B$15=E346)*(참조!$D$2:$D$15=C346)*(참조!$E$2:$E$15=D346),참조!$C$2:$C$15,"")</f>
        <v/>
      </c>
    </row>
    <row r="347" hidden="1" s="27">
      <c r="A347" s="47" t="inlineStr">
        <is>
          <t>KG모바일</t>
        </is>
      </c>
      <c r="B347" s="47" t="inlineStr">
        <is>
          <t>[모빌카드 스페셜] 유심 5G 150GB+</t>
        </is>
      </c>
      <c r="C347" s="47" t="inlineStr">
        <is>
          <t>무제한</t>
        </is>
      </c>
      <c r="D347" s="47" t="inlineStr">
        <is>
          <t>무제한</t>
        </is>
      </c>
      <c r="E347" s="47" t="inlineStr">
        <is>
          <t>월 150GB + 5Mbps</t>
        </is>
      </c>
      <c r="F347" s="47" t="inlineStr">
        <is>
          <t>LG U+</t>
        </is>
      </c>
      <c r="G347" s="47" t="inlineStr">
        <is>
          <t>5G</t>
        </is>
      </c>
      <c r="H347" s="48" t="n">
        <v>12900</v>
      </c>
      <c r="I347" s="48" t="n">
        <v>7</v>
      </c>
      <c r="J347" s="48" t="n">
        <v>56100</v>
      </c>
      <c r="K347" s="47">
        <f t="array" ref="K347">_xlfn.XLOOKUP(1,(참조!$B$2:$B$15=E347)*(참조!$D$2:$D$15=C347)*(참조!$E$2:$E$15=D347),참조!$C$2:$C$15,"")</f>
        <v/>
      </c>
    </row>
    <row r="348" hidden="1" s="27">
      <c r="A348" s="47" t="inlineStr">
        <is>
          <t>이지모바일</t>
        </is>
      </c>
      <c r="B348" s="47" t="inlineStr">
        <is>
          <t>오래쓰는 ALL FREE</t>
        </is>
      </c>
      <c r="C348" s="47" t="inlineStr">
        <is>
          <t>무제한</t>
        </is>
      </c>
      <c r="D348" s="47" t="inlineStr">
        <is>
          <t>무제한</t>
        </is>
      </c>
      <c r="E348" s="47" t="inlineStr">
        <is>
          <t>매일 5GB + 5Mbps</t>
        </is>
      </c>
      <c r="F348" s="47" t="inlineStr">
        <is>
          <t>LG U+</t>
        </is>
      </c>
      <c r="G348" s="47" t="inlineStr">
        <is>
          <t>LTE</t>
        </is>
      </c>
      <c r="H348" s="48" t="n">
        <v>25850</v>
      </c>
      <c r="I348" s="48" t="n">
        <v>12</v>
      </c>
      <c r="J348" s="48" t="n">
        <v>46200</v>
      </c>
      <c r="K348" s="47">
        <f t="array" ref="K348">_xlfn.XLOOKUP(1,(참조!$B$2:$B$15=E348)*(참조!$D$2:$D$15=C348)*(참조!$E$2:$E$15=D348),참조!$C$2:$C$15,"")</f>
        <v/>
      </c>
    </row>
    <row r="349" hidden="1" s="27">
      <c r="A349" s="47" t="inlineStr">
        <is>
          <t>인스모바일</t>
        </is>
      </c>
      <c r="B349" s="47" t="inlineStr">
        <is>
          <t>[평생할인]실속 300분+5GB(USIM)</t>
        </is>
      </c>
      <c r="C349" s="47" t="inlineStr">
        <is>
          <t>300분</t>
        </is>
      </c>
      <c r="D349" s="47" t="inlineStr">
        <is>
          <t>100건</t>
        </is>
      </c>
      <c r="E349" s="47" t="inlineStr">
        <is>
          <t>월 5GB</t>
        </is>
      </c>
      <c r="F349" s="47" t="inlineStr">
        <is>
          <t>LG U+</t>
        </is>
      </c>
      <c r="G349" s="47" t="inlineStr">
        <is>
          <t>LTE</t>
        </is>
      </c>
      <c r="H349" s="48" t="n">
        <v>2200</v>
      </c>
      <c r="I349" s="48" t="n"/>
      <c r="J349" s="48" t="n"/>
      <c r="K349" s="47">
        <f t="array" ref="K349">_xlfn.XLOOKUP(1,(참조!$B$2:$B$15=E349)*(참조!$D$2:$D$15=C349)*(참조!$E$2:$E$15=D349),참조!$C$2:$C$15,"")</f>
        <v/>
      </c>
    </row>
    <row r="350" hidden="1" s="27">
      <c r="A350" s="47" t="inlineStr">
        <is>
          <t>스마텔</t>
        </is>
      </c>
      <c r="B350" s="47" t="inlineStr">
        <is>
          <t>USIM 심플 (200분 + 5GB)</t>
        </is>
      </c>
      <c r="C350" s="47" t="inlineStr">
        <is>
          <t>200분</t>
        </is>
      </c>
      <c r="D350" s="47" t="inlineStr">
        <is>
          <t>100건</t>
        </is>
      </c>
      <c r="E350" s="47" t="inlineStr">
        <is>
          <t>월 5GB</t>
        </is>
      </c>
      <c r="F350" s="47" t="inlineStr">
        <is>
          <t>LG U+</t>
        </is>
      </c>
      <c r="G350" s="47" t="inlineStr">
        <is>
          <t>LTE</t>
        </is>
      </c>
      <c r="H350" s="48" t="n">
        <v>10</v>
      </c>
      <c r="I350" s="48" t="n">
        <v>10</v>
      </c>
      <c r="J350" s="48" t="n">
        <v>9900</v>
      </c>
      <c r="K350" s="47">
        <f t="array" ref="K350">_xlfn.XLOOKUP(1,(참조!$B$2:$B$15=E350)*(참조!$D$2:$D$15=C350)*(참조!$E$2:$E$15=D350),참조!$C$2:$C$15,"")</f>
        <v/>
      </c>
    </row>
    <row r="351" hidden="1" s="27">
      <c r="A351" s="47" t="inlineStr">
        <is>
          <t>티플러스</t>
        </is>
      </c>
      <c r="B351" s="47" t="inlineStr">
        <is>
          <t>티플온 100G＋</t>
        </is>
      </c>
      <c r="C351" s="47" t="inlineStr">
        <is>
          <t>무제한</t>
        </is>
      </c>
      <c r="D351" s="47" t="inlineStr">
        <is>
          <t>무제한</t>
        </is>
      </c>
      <c r="E351" s="47" t="inlineStr">
        <is>
          <t>월 100GB + 5Mbps</t>
        </is>
      </c>
      <c r="F351" s="47" t="inlineStr">
        <is>
          <t>LG U+</t>
        </is>
      </c>
      <c r="G351" s="47" t="inlineStr">
        <is>
          <t>LTE</t>
        </is>
      </c>
      <c r="H351" s="48" t="n">
        <v>10900</v>
      </c>
      <c r="I351" s="48" t="n">
        <v>7</v>
      </c>
      <c r="J351" s="48" t="n">
        <v>55000</v>
      </c>
      <c r="K351" s="47">
        <f t="array" ref="K351">_xlfn.XLOOKUP(1,(참조!$B$2:$B$15=E351)*(참조!$D$2:$D$15=C351)*(참조!$E$2:$E$15=D351),참조!$C$2:$C$15,"")</f>
        <v/>
      </c>
    </row>
    <row r="352" hidden="1" s="27">
      <c r="A352" s="47" t="inlineStr">
        <is>
          <t>고고모바일</t>
        </is>
      </c>
      <c r="B352" s="47" t="inlineStr">
        <is>
          <t>고고 LTE 200분/10GB_모요</t>
        </is>
      </c>
      <c r="C352" s="47" t="inlineStr">
        <is>
          <t>200분</t>
        </is>
      </c>
      <c r="D352" s="47" t="inlineStr">
        <is>
          <t>200건</t>
        </is>
      </c>
      <c r="E352" s="47" t="inlineStr">
        <is>
          <t>월 10GB</t>
        </is>
      </c>
      <c r="F352" s="47" t="inlineStr">
        <is>
          <t>SKT</t>
        </is>
      </c>
      <c r="G352" s="47" t="inlineStr">
        <is>
          <t>LTE</t>
        </is>
      </c>
      <c r="H352" s="48" t="n">
        <v>10</v>
      </c>
      <c r="I352" s="48" t="n">
        <v>7</v>
      </c>
      <c r="J352" s="48" t="n">
        <v>18700</v>
      </c>
      <c r="K352" s="47">
        <f t="array" ref="K352">_xlfn.XLOOKUP(1,(참조!$B$2:$B$15=E352)*(참조!$D$2:$D$15=C352)*(참조!$E$2:$E$15=D352),참조!$C$2:$C$15,"")</f>
        <v/>
      </c>
    </row>
    <row r="353">
      <c r="A353" s="47" t="inlineStr">
        <is>
          <t>모나</t>
        </is>
      </c>
      <c r="B353" s="47" t="inlineStr">
        <is>
          <t>5G_모나300분15G안심1</t>
        </is>
      </c>
      <c r="C353" s="47" t="inlineStr">
        <is>
          <t>300분</t>
        </is>
      </c>
      <c r="D353" s="47" t="inlineStr">
        <is>
          <t>300건</t>
        </is>
      </c>
      <c r="E353" s="47" t="inlineStr">
        <is>
          <t>월 15GB + 1Mbps</t>
        </is>
      </c>
      <c r="F353" s="47" t="inlineStr">
        <is>
          <t>LG U+</t>
        </is>
      </c>
      <c r="G353" s="47" t="inlineStr">
        <is>
          <t>5G</t>
        </is>
      </c>
      <c r="H353" s="48" t="n">
        <v>9900</v>
      </c>
      <c r="I353" s="48" t="n">
        <v>12</v>
      </c>
      <c r="J353" s="48" t="n">
        <v>42350</v>
      </c>
      <c r="K353" s="47">
        <f t="array" ref="K353">_xlfn.XLOOKUP(1,(참조!$B$2:$B$15=E353)*(참조!$D$2:$D$15=C353)*(참조!$E$2:$E$15=D353),참조!$C$2:$C$15,"")</f>
        <v/>
      </c>
    </row>
    <row r="354" hidden="1" s="27">
      <c r="A354" s="47" t="inlineStr">
        <is>
          <t>핀다이렉트</t>
        </is>
      </c>
      <c r="B354" s="47" t="inlineStr">
        <is>
          <t>[모요only] [S] DIGITAL DETOX 5GB 챌린지 _PIN</t>
        </is>
      </c>
      <c r="C354" s="47" t="inlineStr">
        <is>
          <t>100분</t>
        </is>
      </c>
      <c r="D354" s="47" t="inlineStr">
        <is>
          <t>100건</t>
        </is>
      </c>
      <c r="E354" s="47" t="inlineStr">
        <is>
          <t>월 5GB</t>
        </is>
      </c>
      <c r="F354" s="47" t="inlineStr">
        <is>
          <t>SKT</t>
        </is>
      </c>
      <c r="G354" s="47" t="inlineStr">
        <is>
          <t>LTE</t>
        </is>
      </c>
      <c r="H354" s="48" t="n">
        <v>10</v>
      </c>
      <c r="I354" s="48" t="n">
        <v>12</v>
      </c>
      <c r="J354" s="48" t="n">
        <v>13200</v>
      </c>
      <c r="K354" s="47">
        <f t="array" ref="K354">_xlfn.XLOOKUP(1,(참조!$B$2:$B$15=E354)*(참조!$D$2:$D$15=C354)*(참조!$E$2:$E$15=D354),참조!$C$2:$C$15,"")</f>
        <v/>
      </c>
    </row>
    <row r="355" hidden="1" s="27">
      <c r="A355" s="47" t="inlineStr">
        <is>
          <t>스마텔</t>
        </is>
      </c>
      <c r="B355" s="47" t="inlineStr">
        <is>
          <t>스위트 100GB+(밀리의서재)</t>
        </is>
      </c>
      <c r="C355" s="47" t="inlineStr">
        <is>
          <t>무제한</t>
        </is>
      </c>
      <c r="D355" s="47" t="inlineStr">
        <is>
          <t>무제한</t>
        </is>
      </c>
      <c r="E355" s="47" t="inlineStr">
        <is>
          <t>월 100GB + 5Mbps</t>
        </is>
      </c>
      <c r="F355" s="47" t="inlineStr">
        <is>
          <t>KT</t>
        </is>
      </c>
      <c r="G355" s="47" t="inlineStr">
        <is>
          <t>LTE</t>
        </is>
      </c>
      <c r="H355" s="48" t="n">
        <v>26000</v>
      </c>
      <c r="I355" s="48" t="n">
        <v>12</v>
      </c>
      <c r="J355" s="48" t="n">
        <v>47300</v>
      </c>
      <c r="K355" s="47">
        <f t="array" ref="K355">_xlfn.XLOOKUP(1,(참조!$B$2:$B$15=E355)*(참조!$D$2:$D$15=C355)*(참조!$E$2:$E$15=D355),참조!$C$2:$C$15,"")</f>
        <v/>
      </c>
    </row>
    <row r="356" hidden="1" s="27">
      <c r="A356" s="47" t="inlineStr">
        <is>
          <t>고고모바일</t>
        </is>
      </c>
      <c r="B356" s="47" t="inlineStr">
        <is>
          <t>무제한 15GB+1M(다이소 매월 5000원)</t>
        </is>
      </c>
      <c r="C356" s="47" t="inlineStr">
        <is>
          <t>무제한</t>
        </is>
      </c>
      <c r="D356" s="47" t="inlineStr">
        <is>
          <t>무제한</t>
        </is>
      </c>
      <c r="E356" s="47" t="inlineStr">
        <is>
          <t>월 15GB + 1Mbps</t>
        </is>
      </c>
      <c r="F356" s="47" t="inlineStr">
        <is>
          <t>KT</t>
        </is>
      </c>
      <c r="G356" s="47" t="inlineStr">
        <is>
          <t>LTE</t>
        </is>
      </c>
      <c r="H356" s="48" t="n">
        <v>25960</v>
      </c>
      <c r="I356" s="48" t="n"/>
      <c r="J356" s="48" t="n"/>
      <c r="K356" s="47">
        <f t="array" ref="K356">_xlfn.XLOOKUP(1,(참조!$B$2:$B$15=E356)*(참조!$D$2:$D$15=C356)*(참조!$E$2:$E$15=D356),참조!$C$2:$C$15,"")</f>
        <v/>
      </c>
    </row>
    <row r="357" hidden="1" s="27">
      <c r="A357" s="47" t="inlineStr">
        <is>
          <t>U+유모바일</t>
        </is>
      </c>
      <c r="B357" s="47" t="inlineStr">
        <is>
          <t>[평생할인] 15GB+/100분</t>
        </is>
      </c>
      <c r="C357" s="47" t="inlineStr">
        <is>
          <t>100분</t>
        </is>
      </c>
      <c r="D357" s="47" t="inlineStr">
        <is>
          <t>100건</t>
        </is>
      </c>
      <c r="E357" s="47" t="inlineStr">
        <is>
          <t>월 15GB + 3Mbps</t>
        </is>
      </c>
      <c r="F357" s="47" t="inlineStr">
        <is>
          <t>LG U+</t>
        </is>
      </c>
      <c r="G357" s="47" t="inlineStr">
        <is>
          <t>LTE</t>
        </is>
      </c>
      <c r="H357" s="48" t="n">
        <v>25250</v>
      </c>
      <c r="I357" s="48" t="n"/>
      <c r="J357" s="48" t="n"/>
      <c r="K357" s="47">
        <f t="array" ref="K357">_xlfn.XLOOKUP(1,(참조!$B$2:$B$15=E357)*(참조!$D$2:$D$15=C357)*(참조!$E$2:$E$15=D357),참조!$C$2:$C$15,"")</f>
        <v/>
      </c>
    </row>
    <row r="358" hidden="1" s="27">
      <c r="A358" s="47" t="inlineStr">
        <is>
          <t>이야기모바일</t>
        </is>
      </c>
      <c r="B358" s="47" t="inlineStr">
        <is>
          <t>이야기 쇼핑케어 71GB+</t>
        </is>
      </c>
      <c r="C358" s="47" t="inlineStr">
        <is>
          <t>무제한</t>
        </is>
      </c>
      <c r="D358" s="47" t="inlineStr">
        <is>
          <t>무제한</t>
        </is>
      </c>
      <c r="E358" s="47" t="inlineStr">
        <is>
          <t>월 11GB + 매일 2GB + 3Mbps</t>
        </is>
      </c>
      <c r="F358" s="47" t="inlineStr">
        <is>
          <t>LG U+</t>
        </is>
      </c>
      <c r="G358" s="47" t="inlineStr">
        <is>
          <t>LTE</t>
        </is>
      </c>
      <c r="H358" s="48" t="n">
        <v>26400</v>
      </c>
      <c r="I358" s="48" t="n">
        <v>24</v>
      </c>
      <c r="J358" s="48" t="n">
        <v>41800</v>
      </c>
      <c r="K358" s="47">
        <f t="array" ref="K358">_xlfn.XLOOKUP(1,(참조!$B$2:$B$15=E358)*(참조!$D$2:$D$15=C358)*(참조!$E$2:$E$15=D358),참조!$C$2:$C$15,"")</f>
        <v/>
      </c>
    </row>
    <row r="359" hidden="1" s="27">
      <c r="A359" s="47" t="inlineStr">
        <is>
          <t>KG모바일</t>
        </is>
      </c>
      <c r="B359" s="47" t="inlineStr">
        <is>
          <t>[일반] 유심 5G 125GB+_24개월</t>
        </is>
      </c>
      <c r="C359" s="47" t="inlineStr">
        <is>
          <t>무제한</t>
        </is>
      </c>
      <c r="D359" s="47" t="inlineStr">
        <is>
          <t>무제한</t>
        </is>
      </c>
      <c r="E359" s="47" t="inlineStr">
        <is>
          <t>월 125GB + 5Mbps</t>
        </is>
      </c>
      <c r="F359" s="47" t="inlineStr">
        <is>
          <t>LG U+</t>
        </is>
      </c>
      <c r="G359" s="47" t="inlineStr">
        <is>
          <t>5G</t>
        </is>
      </c>
      <c r="H359" s="48" t="n">
        <v>26900</v>
      </c>
      <c r="I359" s="48" t="n">
        <v>24</v>
      </c>
      <c r="J359" s="48" t="n">
        <v>51150</v>
      </c>
      <c r="K359" s="47">
        <f t="array" ref="K359">_xlfn.XLOOKUP(1,(참조!$B$2:$B$15=E359)*(참조!$D$2:$D$15=C359)*(참조!$E$2:$E$15=D359),참조!$C$2:$C$15,"")</f>
        <v/>
      </c>
    </row>
    <row r="360" hidden="1" s="27">
      <c r="A360" s="47" t="inlineStr">
        <is>
          <t>이야기모바일</t>
        </is>
      </c>
      <c r="B360" s="47" t="inlineStr">
        <is>
          <t>이야기 라이프케어 71GB+</t>
        </is>
      </c>
      <c r="C360" s="47" t="inlineStr">
        <is>
          <t>무제한</t>
        </is>
      </c>
      <c r="D360" s="47" t="inlineStr">
        <is>
          <t>무제한</t>
        </is>
      </c>
      <c r="E360" s="47" t="inlineStr">
        <is>
          <t>월 11GB + 매일 2GB + 3Mbps</t>
        </is>
      </c>
      <c r="F360" s="47" t="inlineStr">
        <is>
          <t>LG U+</t>
        </is>
      </c>
      <c r="G360" s="47" t="inlineStr">
        <is>
          <t>LTE</t>
        </is>
      </c>
      <c r="H360" s="48" t="n">
        <v>26400</v>
      </c>
      <c r="I360" s="48" t="n">
        <v>24</v>
      </c>
      <c r="J360" s="48" t="n">
        <v>41800</v>
      </c>
      <c r="K360" s="47">
        <f t="array" ref="K360">_xlfn.XLOOKUP(1,(참조!$B$2:$B$15=E360)*(참조!$D$2:$D$15=C360)*(참조!$E$2:$E$15=D360),참조!$C$2:$C$15,"")</f>
        <v/>
      </c>
    </row>
    <row r="361" hidden="1" s="27">
      <c r="A361" s="47" t="inlineStr">
        <is>
          <t>이야기모바일</t>
        </is>
      </c>
      <c r="B361" s="47" t="inlineStr">
        <is>
          <t>이야기 피싱케어 71GB+</t>
        </is>
      </c>
      <c r="C361" s="47" t="inlineStr">
        <is>
          <t>무제한</t>
        </is>
      </c>
      <c r="D361" s="47" t="inlineStr">
        <is>
          <t>무제한</t>
        </is>
      </c>
      <c r="E361" s="47" t="inlineStr">
        <is>
          <t>월 11GB + 매일 2GB + 3Mbps</t>
        </is>
      </c>
      <c r="F361" s="47" t="inlineStr">
        <is>
          <t>LG U+</t>
        </is>
      </c>
      <c r="G361" s="47" t="inlineStr">
        <is>
          <t>LTE</t>
        </is>
      </c>
      <c r="H361" s="48" t="n">
        <v>26400</v>
      </c>
      <c r="I361" s="48" t="n">
        <v>24</v>
      </c>
      <c r="J361" s="48" t="n">
        <v>39600</v>
      </c>
      <c r="K361" s="47">
        <f t="array" ref="K361">_xlfn.XLOOKUP(1,(참조!$B$2:$B$15=E361)*(참조!$D$2:$D$15=C361)*(참조!$E$2:$E$15=D361),참조!$C$2:$C$15,"")</f>
        <v/>
      </c>
    </row>
    <row r="362" hidden="1" s="27">
      <c r="A362" s="47" t="inlineStr">
        <is>
          <t>이야기모바일</t>
        </is>
      </c>
      <c r="B362" s="47" t="inlineStr">
        <is>
          <t>이야기 헬스케어 71GB+</t>
        </is>
      </c>
      <c r="C362" s="47" t="inlineStr">
        <is>
          <t>무제한</t>
        </is>
      </c>
      <c r="D362" s="47" t="inlineStr">
        <is>
          <t>무제한</t>
        </is>
      </c>
      <c r="E362" s="47" t="inlineStr">
        <is>
          <t>월 11GB + 매일 2GB + 3Mbps</t>
        </is>
      </c>
      <c r="F362" s="47" t="inlineStr">
        <is>
          <t>LG U+</t>
        </is>
      </c>
      <c r="G362" s="47" t="inlineStr">
        <is>
          <t>LTE</t>
        </is>
      </c>
      <c r="H362" s="48" t="n">
        <v>26400</v>
      </c>
      <c r="I362" s="48" t="n">
        <v>24</v>
      </c>
      <c r="J362" s="48" t="n">
        <v>39600</v>
      </c>
      <c r="K362" s="47">
        <f t="array" ref="K362">_xlfn.XLOOKUP(1,(참조!$B$2:$B$15=E362)*(참조!$D$2:$D$15=C362)*(참조!$E$2:$E$15=D362),참조!$C$2:$C$15,"")</f>
        <v/>
      </c>
    </row>
    <row r="363" hidden="1" s="27">
      <c r="A363" s="47" t="inlineStr">
        <is>
          <t>U+유모바일</t>
        </is>
      </c>
      <c r="B363" s="47" t="inlineStr">
        <is>
          <t>[쿠팡이츠 12만] 71GB+/통화기본</t>
        </is>
      </c>
      <c r="C363" s="47" t="inlineStr">
        <is>
          <t>무제한</t>
        </is>
      </c>
      <c r="D363" s="47" t="inlineStr">
        <is>
          <t>무제한</t>
        </is>
      </c>
      <c r="E363" s="47" t="inlineStr">
        <is>
          <t>월 11GB + 매일 2GB + 3Mbps</t>
        </is>
      </c>
      <c r="F363" s="47" t="inlineStr">
        <is>
          <t>LG U+</t>
        </is>
      </c>
      <c r="G363" s="47" t="inlineStr">
        <is>
          <t>LTE</t>
        </is>
      </c>
      <c r="H363" s="48" t="n">
        <v>35500</v>
      </c>
      <c r="I363" s="48" t="n"/>
      <c r="J363" s="48" t="n"/>
      <c r="K363" s="47">
        <f t="array" ref="K363">_xlfn.XLOOKUP(1,(참조!$B$2:$B$15=E363)*(참조!$D$2:$D$15=C363)*(참조!$E$2:$E$15=D363),참조!$C$2:$C$15,"")</f>
        <v/>
      </c>
    </row>
    <row r="364" hidden="1" s="27">
      <c r="A364" s="47" t="inlineStr">
        <is>
          <t>KT엠모바일</t>
        </is>
      </c>
      <c r="B364" s="47" t="inlineStr">
        <is>
          <t>데이터 충분 25GB/100분</t>
        </is>
      </c>
      <c r="C364" s="47" t="inlineStr">
        <is>
          <t>100분</t>
        </is>
      </c>
      <c r="D364" s="47" t="inlineStr">
        <is>
          <t>100건</t>
        </is>
      </c>
      <c r="E364" s="47" t="inlineStr">
        <is>
          <t>월 25GB</t>
        </is>
      </c>
      <c r="F364" s="47" t="inlineStr">
        <is>
          <t>KT</t>
        </is>
      </c>
      <c r="G364" s="47" t="inlineStr">
        <is>
          <t>LTE</t>
        </is>
      </c>
      <c r="H364" s="48" t="n">
        <v>15400</v>
      </c>
      <c r="I364" s="48" t="n"/>
      <c r="J364" s="48" t="n"/>
      <c r="K364" s="47">
        <f t="array" ref="K364">_xlfn.XLOOKUP(1,(참조!$B$2:$B$15=E364)*(참조!$D$2:$D$15=C364)*(참조!$E$2:$E$15=D364),참조!$C$2:$C$15,"")</f>
        <v/>
      </c>
    </row>
    <row r="365" hidden="1" s="27">
      <c r="A365" s="47" t="inlineStr">
        <is>
          <t>더원모바일</t>
        </is>
      </c>
      <c r="B365" s="47" t="inlineStr">
        <is>
          <t>TOP 100GB 기본 (CU할인)</t>
        </is>
      </c>
      <c r="C365" s="47" t="inlineStr">
        <is>
          <t>무제한</t>
        </is>
      </c>
      <c r="D365" s="47" t="inlineStr">
        <is>
          <t>무제한</t>
        </is>
      </c>
      <c r="E365" s="47" t="inlineStr">
        <is>
          <t>월 100GB + 5Mbps</t>
        </is>
      </c>
      <c r="F365" s="47" t="inlineStr">
        <is>
          <t>KT</t>
        </is>
      </c>
      <c r="G365" s="47" t="inlineStr">
        <is>
          <t>LTE</t>
        </is>
      </c>
      <c r="H365" s="48" t="n">
        <v>12980</v>
      </c>
      <c r="I365" s="48" t="n">
        <v>7</v>
      </c>
      <c r="J365" s="48" t="n">
        <v>46200</v>
      </c>
      <c r="K365" s="47">
        <f t="array" ref="K365">_xlfn.XLOOKUP(1,(참조!$B$2:$B$15=E365)*(참조!$D$2:$D$15=C365)*(참조!$E$2:$E$15=D365),참조!$C$2:$C$15,"")</f>
        <v/>
      </c>
    </row>
    <row r="366" hidden="1" s="27">
      <c r="A366" s="47" t="inlineStr">
        <is>
          <t>더원모바일</t>
        </is>
      </c>
      <c r="B366" s="47" t="inlineStr">
        <is>
          <t>TOP 7GB 기본 (밀리의서재)</t>
        </is>
      </c>
      <c r="C366" s="47" t="inlineStr">
        <is>
          <t>무제한</t>
        </is>
      </c>
      <c r="D366" s="47" t="inlineStr">
        <is>
          <t>무제한</t>
        </is>
      </c>
      <c r="E366" s="47" t="inlineStr">
        <is>
          <t>월 7GB + 1Mbps</t>
        </is>
      </c>
      <c r="F366" s="47" t="inlineStr">
        <is>
          <t>KT</t>
        </is>
      </c>
      <c r="G366" s="47" t="inlineStr">
        <is>
          <t>LTE</t>
        </is>
      </c>
      <c r="H366" s="48" t="n">
        <v>6930</v>
      </c>
      <c r="I366" s="48" t="n">
        <v>12</v>
      </c>
      <c r="J366" s="48" t="n">
        <v>22000</v>
      </c>
      <c r="K366" s="47">
        <f t="array" ref="K366">_xlfn.XLOOKUP(1,(참조!$B$2:$B$15=E366)*(참조!$D$2:$D$15=C366)*(참조!$E$2:$E$15=D366),참조!$C$2:$C$15,"")</f>
        <v/>
      </c>
    </row>
    <row r="367" hidden="1" s="27">
      <c r="A367" s="47" t="inlineStr">
        <is>
          <t>모나</t>
        </is>
      </c>
      <c r="B367" s="47" t="inlineStr">
        <is>
          <t>모나100분6.6G안심1</t>
        </is>
      </c>
      <c r="C367" s="47" t="inlineStr">
        <is>
          <t>100분</t>
        </is>
      </c>
      <c r="D367" s="47" t="inlineStr">
        <is>
          <t>100건</t>
        </is>
      </c>
      <c r="E367" s="47" t="inlineStr">
        <is>
          <t>월 6.6GB + 1Mbps</t>
        </is>
      </c>
      <c r="F367" s="47" t="inlineStr">
        <is>
          <t>LG U+</t>
        </is>
      </c>
      <c r="G367" s="47" t="inlineStr">
        <is>
          <t>LTE</t>
        </is>
      </c>
      <c r="H367" s="48" t="n">
        <v>10</v>
      </c>
      <c r="I367" s="48" t="n">
        <v>7</v>
      </c>
      <c r="J367" s="48" t="n">
        <v>25300</v>
      </c>
      <c r="K367" s="47">
        <f t="array" ref="K367">_xlfn.XLOOKUP(1,(참조!$B$2:$B$15=E367)*(참조!$D$2:$D$15=C367)*(참조!$E$2:$E$15=D367),참조!$C$2:$C$15,"")</f>
        <v/>
      </c>
    </row>
    <row r="368" hidden="1" s="27">
      <c r="A368" s="47" t="inlineStr">
        <is>
          <t>이야기모바일</t>
        </is>
      </c>
      <c r="B368" s="47" t="inlineStr">
        <is>
          <t>함께이야기해S(500분+10GB)</t>
        </is>
      </c>
      <c r="C368" s="47" t="inlineStr">
        <is>
          <t>500분</t>
        </is>
      </c>
      <c r="D368" s="47" t="inlineStr">
        <is>
          <t>100건</t>
        </is>
      </c>
      <c r="E368" s="47" t="inlineStr">
        <is>
          <t>월 10GB</t>
        </is>
      </c>
      <c r="F368" s="47" t="inlineStr">
        <is>
          <t>SKT</t>
        </is>
      </c>
      <c r="G368" s="47" t="inlineStr">
        <is>
          <t>LTE</t>
        </is>
      </c>
      <c r="H368" s="48" t="n">
        <v>990</v>
      </c>
      <c r="I368" s="48" t="n">
        <v>12</v>
      </c>
      <c r="J368" s="48" t="n">
        <v>11000</v>
      </c>
      <c r="K368" s="47">
        <f t="array" ref="K368">_xlfn.XLOOKUP(1,(참조!$B$2:$B$15=E368)*(참조!$D$2:$D$15=C368)*(참조!$E$2:$E$15=D368),참조!$C$2:$C$15,"")</f>
        <v/>
      </c>
    </row>
    <row r="369" hidden="1" s="27">
      <c r="A369" s="47" t="inlineStr">
        <is>
          <t>더원모바일</t>
        </is>
      </c>
      <c r="B369" s="47" t="inlineStr">
        <is>
          <t>TOP 5G 200GB 기본 (밀리의서재)</t>
        </is>
      </c>
      <c r="C369" s="47" t="inlineStr">
        <is>
          <t>무제한</t>
        </is>
      </c>
      <c r="D369" s="47" t="inlineStr">
        <is>
          <t>무제한</t>
        </is>
      </c>
      <c r="E369" s="47" t="inlineStr">
        <is>
          <t>월 200GB + 10Mbps</t>
        </is>
      </c>
      <c r="F369" s="47" t="inlineStr">
        <is>
          <t>KT</t>
        </is>
      </c>
      <c r="G369" s="47" t="inlineStr">
        <is>
          <t>5G</t>
        </is>
      </c>
      <c r="H369" s="48" t="n">
        <v>29700</v>
      </c>
      <c r="I369" s="48" t="n">
        <v>12</v>
      </c>
      <c r="J369" s="48" t="n">
        <v>55000</v>
      </c>
      <c r="K369" s="47">
        <f t="array" ref="K369">_xlfn.XLOOKUP(1,(참조!$B$2:$B$15=E369)*(참조!$D$2:$D$15=C369)*(참조!$E$2:$E$15=D369),참조!$C$2:$C$15,"")</f>
        <v/>
      </c>
    </row>
    <row r="370" hidden="1" s="27">
      <c r="A370" s="47" t="inlineStr">
        <is>
          <t>스마텔</t>
        </is>
      </c>
      <c r="B370" s="47" t="inlineStr">
        <is>
          <t>USIM 심플 (100분 + 6GB)</t>
        </is>
      </c>
      <c r="C370" s="47" t="inlineStr">
        <is>
          <t>100분</t>
        </is>
      </c>
      <c r="D370" s="47" t="inlineStr">
        <is>
          <t>100건</t>
        </is>
      </c>
      <c r="E370" s="47" t="inlineStr">
        <is>
          <t>월 6GB</t>
        </is>
      </c>
      <c r="F370" s="47" t="inlineStr">
        <is>
          <t>LG U+</t>
        </is>
      </c>
      <c r="G370" s="47" t="inlineStr">
        <is>
          <t>LTE</t>
        </is>
      </c>
      <c r="H370" s="48" t="n">
        <v>10</v>
      </c>
      <c r="I370" s="48" t="n">
        <v>10</v>
      </c>
      <c r="J370" s="48" t="n">
        <v>9900</v>
      </c>
      <c r="K370" s="47">
        <f t="array" ref="K370">_xlfn.XLOOKUP(1,(참조!$B$2:$B$15=E370)*(참조!$D$2:$D$15=C370)*(참조!$E$2:$E$15=D370),참조!$C$2:$C$15,"")</f>
        <v/>
      </c>
    </row>
    <row r="371" hidden="1" s="27">
      <c r="A371" s="47" t="inlineStr">
        <is>
          <t>찬스모바일</t>
        </is>
      </c>
      <c r="B371" s="47" t="inlineStr">
        <is>
          <t>[CHM] 음성 200분 5GB</t>
        </is>
      </c>
      <c r="C371" s="47" t="inlineStr">
        <is>
          <t>200분</t>
        </is>
      </c>
      <c r="D371" s="47" t="inlineStr">
        <is>
          <t>100건</t>
        </is>
      </c>
      <c r="E371" s="47" t="inlineStr">
        <is>
          <t>월 5GB</t>
        </is>
      </c>
      <c r="F371" s="47" t="inlineStr">
        <is>
          <t>LG U+</t>
        </is>
      </c>
      <c r="G371" s="47" t="inlineStr">
        <is>
          <t>LTE</t>
        </is>
      </c>
      <c r="H371" s="48" t="n">
        <v>10</v>
      </c>
      <c r="I371" s="48" t="n">
        <v>6</v>
      </c>
      <c r="J371" s="48" t="n">
        <v>5500</v>
      </c>
      <c r="K371" s="47">
        <f t="array" ref="K371">_xlfn.XLOOKUP(1,(참조!$B$2:$B$15=E371)*(참조!$D$2:$D$15=C371)*(참조!$E$2:$E$15=D371),참조!$C$2:$C$15,"")</f>
        <v/>
      </c>
    </row>
    <row r="372" hidden="1" s="27">
      <c r="A372" s="47" t="inlineStr">
        <is>
          <t>티플러스</t>
        </is>
      </c>
      <c r="B372" s="47" t="inlineStr">
        <is>
          <t>5G 티플온 125GB+</t>
        </is>
      </c>
      <c r="C372" s="47" t="inlineStr">
        <is>
          <t>무제한</t>
        </is>
      </c>
      <c r="D372" s="47" t="inlineStr">
        <is>
          <t>무제한</t>
        </is>
      </c>
      <c r="E372" s="47" t="inlineStr">
        <is>
          <t>월 125GB + 5Mbps</t>
        </is>
      </c>
      <c r="F372" s="47" t="inlineStr">
        <is>
          <t>LG U+</t>
        </is>
      </c>
      <c r="G372" s="47" t="inlineStr">
        <is>
          <t>5G</t>
        </is>
      </c>
      <c r="H372" s="48" t="n">
        <v>8900</v>
      </c>
      <c r="I372" s="48" t="n">
        <v>7</v>
      </c>
      <c r="J372" s="48" t="n">
        <v>55000</v>
      </c>
      <c r="K372" s="47">
        <f t="array" ref="K372">_xlfn.XLOOKUP(1,(참조!$B$2:$B$15=E372)*(참조!$D$2:$D$15=C372)*(참조!$E$2:$E$15=D372),참조!$C$2:$C$15,"")</f>
        <v/>
      </c>
    </row>
    <row r="373" hidden="1" s="27">
      <c r="A373" s="47" t="inlineStr">
        <is>
          <t>티플러스</t>
        </is>
      </c>
      <c r="B373" s="47" t="inlineStr">
        <is>
          <t>티플온 일5G＋</t>
        </is>
      </c>
      <c r="C373" s="47" t="inlineStr">
        <is>
          <t>무제한</t>
        </is>
      </c>
      <c r="D373" s="47" t="inlineStr">
        <is>
          <t>무제한</t>
        </is>
      </c>
      <c r="E373" s="47" t="inlineStr">
        <is>
          <t>매일 5GB + 5Mbps</t>
        </is>
      </c>
      <c r="F373" s="47" t="inlineStr">
        <is>
          <t>LG U+</t>
        </is>
      </c>
      <c r="G373" s="47" t="inlineStr">
        <is>
          <t>LTE</t>
        </is>
      </c>
      <c r="H373" s="48" t="n">
        <v>10900</v>
      </c>
      <c r="I373" s="48" t="n">
        <v>7</v>
      </c>
      <c r="J373" s="48" t="n">
        <v>55000</v>
      </c>
      <c r="K373" s="47">
        <f t="array" ref="K373">_xlfn.XLOOKUP(1,(참조!$B$2:$B$15=E373)*(참조!$D$2:$D$15=C373)*(참조!$E$2:$E$15=D373),참조!$C$2:$C$15,"")</f>
        <v/>
      </c>
    </row>
    <row r="374" hidden="1" s="27">
      <c r="A374" s="47" t="inlineStr">
        <is>
          <t>모나</t>
        </is>
      </c>
      <c r="B374" s="47" t="inlineStr">
        <is>
          <t>5G_신한카드_기본125G안심5</t>
        </is>
      </c>
      <c r="C374" s="47" t="inlineStr">
        <is>
          <t>무제한</t>
        </is>
      </c>
      <c r="D374" s="47" t="inlineStr">
        <is>
          <t>무제한</t>
        </is>
      </c>
      <c r="E374" s="47" t="inlineStr">
        <is>
          <t>월 125GB + 5Mbps</t>
        </is>
      </c>
      <c r="F374" s="47" t="inlineStr">
        <is>
          <t>LG U+</t>
        </is>
      </c>
      <c r="G374" s="47" t="inlineStr">
        <is>
          <t>5G</t>
        </is>
      </c>
      <c r="H374" s="48" t="n">
        <v>26990</v>
      </c>
      <c r="I374" s="48" t="n">
        <v>24</v>
      </c>
      <c r="J374" s="48" t="n">
        <v>57200</v>
      </c>
      <c r="K374" s="47">
        <f t="array" ref="K374">_xlfn.XLOOKUP(1,(참조!$B$2:$B$15=E374)*(참조!$D$2:$D$15=C374)*(참조!$E$2:$E$15=D374),참조!$C$2:$C$15,"")</f>
        <v/>
      </c>
    </row>
    <row r="375">
      <c r="A375" s="47" t="inlineStr">
        <is>
          <t>핀다이렉트</t>
        </is>
      </c>
      <c r="B375" s="47" t="inlineStr">
        <is>
          <t>[L] DIGITAL DETOX 5GB 챌린지</t>
        </is>
      </c>
      <c r="C375" s="47" t="inlineStr">
        <is>
          <t>100분</t>
        </is>
      </c>
      <c r="D375" s="47" t="inlineStr">
        <is>
          <t>100건</t>
        </is>
      </c>
      <c r="E375" s="47" t="inlineStr">
        <is>
          <t>월 5GB</t>
        </is>
      </c>
      <c r="F375" s="47" t="inlineStr">
        <is>
          <t>LG U+</t>
        </is>
      </c>
      <c r="G375" s="47" t="inlineStr">
        <is>
          <t>LTE</t>
        </is>
      </c>
      <c r="H375" s="48" t="n">
        <v>10</v>
      </c>
      <c r="I375" s="48" t="n">
        <v>12</v>
      </c>
      <c r="J375" s="48" t="n">
        <v>13200</v>
      </c>
      <c r="K375" s="47">
        <f t="array" ref="K375">_xlfn.XLOOKUP(1,(참조!$B$2:$B$15=E375)*(참조!$D$2:$D$15=C375)*(참조!$E$2:$E$15=D375),참조!$C$2:$C$15,"")</f>
        <v/>
      </c>
    </row>
    <row r="376" hidden="1" s="27">
      <c r="A376" s="47" t="inlineStr">
        <is>
          <t>티플러스</t>
        </is>
      </c>
      <c r="B376" s="47" t="inlineStr">
        <is>
          <t>5G 티플 5GB＋(통화기본)</t>
        </is>
      </c>
      <c r="C376" s="47" t="inlineStr">
        <is>
          <t>무제한</t>
        </is>
      </c>
      <c r="D376" s="47" t="inlineStr">
        <is>
          <t>100건</t>
        </is>
      </c>
      <c r="E376" s="47" t="inlineStr">
        <is>
          <t>월 5GB + 1Mbps</t>
        </is>
      </c>
      <c r="F376" s="47" t="inlineStr">
        <is>
          <t>LG U+</t>
        </is>
      </c>
      <c r="G376" s="47" t="inlineStr">
        <is>
          <t>5G</t>
        </is>
      </c>
      <c r="H376" s="48" t="n">
        <v>10</v>
      </c>
      <c r="I376" s="48" t="n">
        <v>6</v>
      </c>
      <c r="J376" s="48" t="n">
        <v>18150</v>
      </c>
      <c r="K376" s="47">
        <f t="array" ref="K376">_xlfn.XLOOKUP(1,(참조!$B$2:$B$15=E376)*(참조!$D$2:$D$15=C376)*(참조!$E$2:$E$15=D376),참조!$C$2:$C$15,"")</f>
        <v/>
      </c>
    </row>
    <row r="377" hidden="1" s="27">
      <c r="A377" s="47" t="inlineStr">
        <is>
          <t>KT엠모바일</t>
        </is>
      </c>
      <c r="B377" s="47" t="inlineStr">
        <is>
          <t>모두다 맘껏 15GB+(밀리의 서재 FREE)</t>
        </is>
      </c>
      <c r="C377" s="47" t="inlineStr">
        <is>
          <t>무제한</t>
        </is>
      </c>
      <c r="D377" s="47" t="inlineStr">
        <is>
          <t>무제한</t>
        </is>
      </c>
      <c r="E377" s="47" t="inlineStr">
        <is>
          <t>월 15GB + 1Mbps</t>
        </is>
      </c>
      <c r="F377" s="47" t="inlineStr">
        <is>
          <t>KT</t>
        </is>
      </c>
      <c r="G377" s="47" t="inlineStr">
        <is>
          <t>LTE</t>
        </is>
      </c>
      <c r="H377" s="48" t="n">
        <v>21500</v>
      </c>
      <c r="I377" s="48" t="n"/>
      <c r="J377" s="48" t="n"/>
      <c r="K377" s="47">
        <f t="array" ref="K377">_xlfn.XLOOKUP(1,(참조!$B$2:$B$15=E377)*(참조!$D$2:$D$15=C377)*(참조!$E$2:$E$15=D377),참조!$C$2:$C$15,"")</f>
        <v/>
      </c>
    </row>
    <row r="378" hidden="1" s="27">
      <c r="A378" s="47" t="inlineStr">
        <is>
          <t>슈가모바일</t>
        </is>
      </c>
      <c r="B378" s="47" t="inlineStr">
        <is>
          <t>슈가칩2 11GB+매일2GB+</t>
        </is>
      </c>
      <c r="C378" s="47" t="inlineStr">
        <is>
          <t>무제한</t>
        </is>
      </c>
      <c r="D378" s="47" t="inlineStr">
        <is>
          <t>무제한</t>
        </is>
      </c>
      <c r="E378" s="47" t="inlineStr">
        <is>
          <t>월 11GB + 매일 2GB + 3Mbps</t>
        </is>
      </c>
      <c r="F378" s="47" t="inlineStr">
        <is>
          <t>LG U+</t>
        </is>
      </c>
      <c r="G378" s="47" t="inlineStr">
        <is>
          <t>LTE</t>
        </is>
      </c>
      <c r="H378" s="48" t="n">
        <v>12500</v>
      </c>
      <c r="I378" s="48" t="n">
        <v>7</v>
      </c>
      <c r="J378" s="48" t="n">
        <v>40900</v>
      </c>
      <c r="K378" s="47">
        <f t="array" ref="K378">_xlfn.XLOOKUP(1,(참조!$B$2:$B$15=E378)*(참조!$D$2:$D$15=C378)*(참조!$E$2:$E$15=D378),참조!$C$2:$C$15,"")</f>
        <v/>
      </c>
    </row>
    <row r="379" hidden="1" s="27">
      <c r="A379" s="47" t="inlineStr">
        <is>
          <t>KT스카이라이프</t>
        </is>
      </c>
      <c r="B379" s="47" t="inlineStr">
        <is>
          <t>모두 충분 7GB+(후후안심)</t>
        </is>
      </c>
      <c r="C379" s="47" t="inlineStr">
        <is>
          <t>무제한</t>
        </is>
      </c>
      <c r="D379" s="47" t="inlineStr">
        <is>
          <t>무제한</t>
        </is>
      </c>
      <c r="E379" s="47" t="inlineStr">
        <is>
          <t>월 7GB + 1Mbps</t>
        </is>
      </c>
      <c r="F379" s="47" t="inlineStr">
        <is>
          <t>KT</t>
        </is>
      </c>
      <c r="G379" s="47" t="inlineStr">
        <is>
          <t>LTE</t>
        </is>
      </c>
      <c r="H379" s="48" t="n">
        <v>16700</v>
      </c>
      <c r="I379" s="48" t="n"/>
      <c r="J379" s="48" t="n"/>
      <c r="K379" s="47">
        <f t="array" ref="K379">_xlfn.XLOOKUP(1,(참조!$B$2:$B$15=E379)*(참조!$D$2:$D$15=C379)*(참조!$E$2:$E$15=D379),참조!$C$2:$C$15,"")</f>
        <v/>
      </c>
    </row>
    <row r="380" hidden="1" s="27">
      <c r="A380" s="47" t="inlineStr">
        <is>
          <t>티플러스</t>
        </is>
      </c>
      <c r="B380" s="47" t="inlineStr">
        <is>
          <t>티플 가성비(300분/6GB)_평생요금</t>
        </is>
      </c>
      <c r="C380" s="47" t="inlineStr">
        <is>
          <t>300분</t>
        </is>
      </c>
      <c r="D380" s="47" t="inlineStr">
        <is>
          <t>300건</t>
        </is>
      </c>
      <c r="E380" s="47" t="inlineStr">
        <is>
          <t>월 6GB</t>
        </is>
      </c>
      <c r="F380" s="47" t="inlineStr">
        <is>
          <t>SKT</t>
        </is>
      </c>
      <c r="G380" s="47" t="inlineStr">
        <is>
          <t>LTE</t>
        </is>
      </c>
      <c r="H380" s="48" t="n">
        <v>1900</v>
      </c>
      <c r="I380" s="48" t="n"/>
      <c r="J380" s="48" t="n"/>
      <c r="K380" s="47">
        <f t="array" ref="K380">_xlfn.XLOOKUP(1,(참조!$B$2:$B$15=E380)*(참조!$D$2:$D$15=C380)*(참조!$E$2:$E$15=D380),참조!$C$2:$C$15,"")</f>
        <v/>
      </c>
    </row>
    <row r="381" hidden="1" s="27">
      <c r="A381" s="47" t="inlineStr">
        <is>
          <t>이야기모바일</t>
        </is>
      </c>
      <c r="B381" s="47" t="inlineStr">
        <is>
          <t>내맘대로S(200+5GB)</t>
        </is>
      </c>
      <c r="C381" s="47" t="inlineStr">
        <is>
          <t>200분</t>
        </is>
      </c>
      <c r="D381" s="47" t="inlineStr">
        <is>
          <t>200건</t>
        </is>
      </c>
      <c r="E381" s="47" t="inlineStr">
        <is>
          <t>월 5GB</t>
        </is>
      </c>
      <c r="F381" s="47" t="inlineStr">
        <is>
          <t>SKT</t>
        </is>
      </c>
      <c r="G381" s="47" t="inlineStr">
        <is>
          <t>LTE</t>
        </is>
      </c>
      <c r="H381" s="48" t="n">
        <v>10</v>
      </c>
      <c r="I381" s="48" t="n">
        <v>12</v>
      </c>
      <c r="J381" s="48" t="n">
        <v>4800</v>
      </c>
      <c r="K381" s="47">
        <f t="array" ref="K381">_xlfn.XLOOKUP(1,(참조!$B$2:$B$15=E381)*(참조!$D$2:$D$15=C381)*(참조!$E$2:$E$15=D381),참조!$C$2:$C$15,"")</f>
        <v/>
      </c>
    </row>
    <row r="382" hidden="1" s="27">
      <c r="A382" s="47" t="inlineStr">
        <is>
          <t>슈가모바일</t>
        </is>
      </c>
      <c r="B382" s="47" t="inlineStr">
        <is>
          <t>슈가안심차단100분1G</t>
        </is>
      </c>
      <c r="C382" s="47" t="inlineStr">
        <is>
          <t>100분</t>
        </is>
      </c>
      <c r="D382" s="47" t="inlineStr">
        <is>
          <t>50건</t>
        </is>
      </c>
      <c r="E382" s="47" t="inlineStr">
        <is>
          <t>월 1GB</t>
        </is>
      </c>
      <c r="F382" s="47" t="inlineStr">
        <is>
          <t>LG U+</t>
        </is>
      </c>
      <c r="G382" s="47" t="inlineStr">
        <is>
          <t>LTE</t>
        </is>
      </c>
      <c r="H382" s="48" t="n">
        <v>2800</v>
      </c>
      <c r="I382" s="48" t="n"/>
      <c r="J382" s="48" t="n"/>
      <c r="K382" s="47">
        <f t="array" ref="K382">_xlfn.XLOOKUP(1,(참조!$B$2:$B$15=E382)*(참조!$D$2:$D$15=C382)*(참조!$E$2:$E$15=D382),참조!$C$2:$C$15,"")</f>
        <v/>
      </c>
    </row>
    <row r="383" hidden="1" s="27">
      <c r="A383" s="47" t="inlineStr">
        <is>
          <t>스마텔</t>
        </is>
      </c>
      <c r="B383" s="47" t="inlineStr">
        <is>
          <t>USIM 스위트 심플(200분+7GB)</t>
        </is>
      </c>
      <c r="C383" s="47" t="inlineStr">
        <is>
          <t>200분</t>
        </is>
      </c>
      <c r="D383" s="47" t="inlineStr">
        <is>
          <t>100건</t>
        </is>
      </c>
      <c r="E383" s="47" t="inlineStr">
        <is>
          <t>월 7GB</t>
        </is>
      </c>
      <c r="F383" s="47" t="inlineStr">
        <is>
          <t>KT</t>
        </is>
      </c>
      <c r="G383" s="47" t="inlineStr">
        <is>
          <t>LTE</t>
        </is>
      </c>
      <c r="H383" s="48" t="n">
        <v>90</v>
      </c>
      <c r="I383" s="48" t="n">
        <v>7</v>
      </c>
      <c r="J383" s="48" t="n">
        <v>12100</v>
      </c>
      <c r="K383" s="47">
        <f t="array" ref="K383">_xlfn.XLOOKUP(1,(참조!$B$2:$B$15=E383)*(참조!$D$2:$D$15=C383)*(참조!$E$2:$E$15=D383),참조!$C$2:$C$15,"")</f>
        <v/>
      </c>
    </row>
    <row r="384" hidden="1" s="27">
      <c r="A384" s="47" t="inlineStr">
        <is>
          <t>스마텔</t>
        </is>
      </c>
      <c r="B384" s="47" t="inlineStr">
        <is>
          <t>스마트 15GB+ (24개월)</t>
        </is>
      </c>
      <c r="C384" s="47" t="inlineStr">
        <is>
          <t>무제한</t>
        </is>
      </c>
      <c r="D384" s="47" t="inlineStr">
        <is>
          <t>무제한</t>
        </is>
      </c>
      <c r="E384" s="47" t="inlineStr">
        <is>
          <t>월 15GB + 1Mbps</t>
        </is>
      </c>
      <c r="F384" s="47" t="inlineStr">
        <is>
          <t>LG U+</t>
        </is>
      </c>
      <c r="G384" s="47" t="inlineStr">
        <is>
          <t>LTE</t>
        </is>
      </c>
      <c r="H384" s="48" t="n">
        <v>16000</v>
      </c>
      <c r="I384" s="48" t="n">
        <v>24</v>
      </c>
      <c r="J384" s="48" t="n">
        <v>25410</v>
      </c>
      <c r="K384" s="47">
        <f t="array" ref="K384">_xlfn.XLOOKUP(1,(참조!$B$2:$B$15=E384)*(참조!$D$2:$D$15=C384)*(참조!$E$2:$E$15=D384),참조!$C$2:$C$15,"")</f>
        <v/>
      </c>
    </row>
    <row r="385" hidden="1" s="27">
      <c r="A385" s="47" t="inlineStr">
        <is>
          <t>슈가모바일</t>
        </is>
      </c>
      <c r="B385" s="47" t="inlineStr">
        <is>
          <t>5G 슈가통화마음대로 150GB++</t>
        </is>
      </c>
      <c r="C385" s="47" t="inlineStr">
        <is>
          <t>무제한</t>
        </is>
      </c>
      <c r="D385" s="47" t="inlineStr">
        <is>
          <t>무제한</t>
        </is>
      </c>
      <c r="E385" s="47" t="inlineStr">
        <is>
          <t>월 150GB + 5Mbps</t>
        </is>
      </c>
      <c r="F385" s="47" t="inlineStr">
        <is>
          <t>LG U+</t>
        </is>
      </c>
      <c r="G385" s="47" t="inlineStr">
        <is>
          <t>5G</t>
        </is>
      </c>
      <c r="H385" s="48" t="n">
        <v>12500</v>
      </c>
      <c r="I385" s="48" t="n">
        <v>7</v>
      </c>
      <c r="J385" s="48" t="n">
        <v>55000</v>
      </c>
      <c r="K385" s="47">
        <f t="array" ref="K385">_xlfn.XLOOKUP(1,(참조!$B$2:$B$15=E385)*(참조!$D$2:$D$15=C385)*(참조!$E$2:$E$15=D385),참조!$C$2:$C$15,"")</f>
        <v/>
      </c>
    </row>
    <row r="386" hidden="1" s="27">
      <c r="A386" s="47" t="inlineStr">
        <is>
          <t>핀다이렉트</t>
        </is>
      </c>
      <c r="B386" s="47" t="inlineStr">
        <is>
          <t>[모요only] [K] 핀다이렉트Z Mini + 밀리의서재(12) _PIN</t>
        </is>
      </c>
      <c r="C386" s="47" t="inlineStr">
        <is>
          <t>무제한</t>
        </is>
      </c>
      <c r="D386" s="47" t="inlineStr">
        <is>
          <t>무제한</t>
        </is>
      </c>
      <c r="E386" s="47" t="inlineStr">
        <is>
          <t>월 7GB + 1Mbps</t>
        </is>
      </c>
      <c r="F386" s="47" t="inlineStr">
        <is>
          <t>KT</t>
        </is>
      </c>
      <c r="G386" s="47" t="inlineStr">
        <is>
          <t>LTE</t>
        </is>
      </c>
      <c r="H386" s="48" t="n">
        <v>11000</v>
      </c>
      <c r="I386" s="48" t="n">
        <v>12</v>
      </c>
      <c r="J386" s="48" t="n">
        <v>22000</v>
      </c>
      <c r="K386" s="47">
        <f t="array" ref="K386">_xlfn.XLOOKUP(1,(참조!$B$2:$B$15=E386)*(참조!$D$2:$D$15=C386)*(참조!$E$2:$E$15=D386),참조!$C$2:$C$15,"")</f>
        <v/>
      </c>
    </row>
    <row r="387" hidden="1" s="27">
      <c r="A387" s="47" t="inlineStr">
        <is>
          <t>티플러스</t>
        </is>
      </c>
      <c r="B387" s="47" t="inlineStr">
        <is>
          <t>가성비플러스(10GB/350분)</t>
        </is>
      </c>
      <c r="C387" s="47" t="inlineStr">
        <is>
          <t>350분</t>
        </is>
      </c>
      <c r="D387" s="47" t="inlineStr">
        <is>
          <t>100건</t>
        </is>
      </c>
      <c r="E387" s="47" t="inlineStr">
        <is>
          <t>월 10GB</t>
        </is>
      </c>
      <c r="F387" s="47" t="inlineStr">
        <is>
          <t>SKT</t>
        </is>
      </c>
      <c r="G387" s="47" t="inlineStr">
        <is>
          <t>LTE</t>
        </is>
      </c>
      <c r="H387" s="48" t="n">
        <v>10</v>
      </c>
      <c r="I387" s="48" t="n">
        <v>10</v>
      </c>
      <c r="J387" s="48" t="n">
        <v>15400</v>
      </c>
      <c r="K387" s="47">
        <f t="array" ref="K387">_xlfn.XLOOKUP(1,(참조!$B$2:$B$15=E387)*(참조!$D$2:$D$15=C387)*(참조!$E$2:$E$15=D387),참조!$C$2:$C$15,"")</f>
        <v/>
      </c>
    </row>
    <row r="388" hidden="1" s="27">
      <c r="A388" s="47" t="inlineStr">
        <is>
          <t>KT스카이라이프</t>
        </is>
      </c>
      <c r="B388" s="47" t="inlineStr">
        <is>
          <t>모두 충분 15GB+(CU)</t>
        </is>
      </c>
      <c r="C388" s="47" t="inlineStr">
        <is>
          <t>무제한</t>
        </is>
      </c>
      <c r="D388" s="47" t="inlineStr">
        <is>
          <t>무제한</t>
        </is>
      </c>
      <c r="E388" s="47" t="inlineStr">
        <is>
          <t>월 15GB + 1Mbps</t>
        </is>
      </c>
      <c r="F388" s="47" t="inlineStr">
        <is>
          <t>KT</t>
        </is>
      </c>
      <c r="G388" s="47" t="inlineStr">
        <is>
          <t>LTE</t>
        </is>
      </c>
      <c r="H388" s="48" t="n">
        <v>21900</v>
      </c>
      <c r="I388" s="48" t="n"/>
      <c r="J388" s="48" t="n"/>
      <c r="K388" s="47">
        <f t="array" ref="K388">_xlfn.XLOOKUP(1,(참조!$B$2:$B$15=E388)*(참조!$D$2:$D$15=C388)*(참조!$E$2:$E$15=D388),참조!$C$2:$C$15,"")</f>
        <v/>
      </c>
    </row>
    <row r="389" hidden="1" s="27">
      <c r="A389" s="47" t="inlineStr">
        <is>
          <t>U+유모바일</t>
        </is>
      </c>
      <c r="B389" s="47" t="inlineStr">
        <is>
          <t>[올리브영 12만원] 9GB/3000분</t>
        </is>
      </c>
      <c r="C389" s="47" t="inlineStr">
        <is>
          <t>3,000분</t>
        </is>
      </c>
      <c r="D389" s="47" t="inlineStr">
        <is>
          <t>1,000건</t>
        </is>
      </c>
      <c r="E389" s="47" t="inlineStr">
        <is>
          <t>월 9GB</t>
        </is>
      </c>
      <c r="F389" s="47" t="inlineStr">
        <is>
          <t>LG U+</t>
        </is>
      </c>
      <c r="G389" s="47" t="inlineStr">
        <is>
          <t>LTE</t>
        </is>
      </c>
      <c r="H389" s="48" t="n">
        <v>13500</v>
      </c>
      <c r="I389" s="48" t="n"/>
      <c r="J389" s="48" t="n"/>
      <c r="K389" s="47">
        <f t="array" ref="K389">_xlfn.XLOOKUP(1,(참조!$B$2:$B$15=E389)*(참조!$D$2:$D$15=C389)*(참조!$E$2:$E$15=D389),참조!$C$2:$C$15,"")</f>
        <v/>
      </c>
    </row>
    <row r="390" hidden="1" s="27">
      <c r="A390" s="47" t="inlineStr">
        <is>
          <t>고고모바일</t>
        </is>
      </c>
      <c r="B390" s="47" t="inlineStr">
        <is>
          <t>LTE 100분/10GB_모요</t>
        </is>
      </c>
      <c r="C390" s="47" t="inlineStr">
        <is>
          <t>100분</t>
        </is>
      </c>
      <c r="D390" s="47" t="inlineStr">
        <is>
          <t>100건</t>
        </is>
      </c>
      <c r="E390" s="47" t="inlineStr">
        <is>
          <t>월 10GB</t>
        </is>
      </c>
      <c r="F390" s="47" t="inlineStr">
        <is>
          <t>SKT</t>
        </is>
      </c>
      <c r="G390" s="47" t="inlineStr">
        <is>
          <t>LTE</t>
        </is>
      </c>
      <c r="H390" s="48" t="n">
        <v>10</v>
      </c>
      <c r="I390" s="48" t="n">
        <v>7</v>
      </c>
      <c r="J390" s="48" t="n">
        <v>15180</v>
      </c>
      <c r="K390" s="47">
        <f t="array" ref="K390">_xlfn.XLOOKUP(1,(참조!$B$2:$B$15=E390)*(참조!$D$2:$D$15=C390)*(참조!$E$2:$E$15=D390),참조!$C$2:$C$15,"")</f>
        <v/>
      </c>
    </row>
    <row r="391" hidden="1" s="27">
      <c r="A391" s="47" t="inlineStr">
        <is>
          <t>티플러스</t>
        </is>
      </c>
      <c r="B391" s="47" t="inlineStr">
        <is>
          <t>티플 가성비(300분/6GB)_평생요금</t>
        </is>
      </c>
      <c r="C391" s="47" t="inlineStr">
        <is>
          <t>300분</t>
        </is>
      </c>
      <c r="D391" s="47" t="inlineStr">
        <is>
          <t>300건</t>
        </is>
      </c>
      <c r="E391" s="47" t="inlineStr">
        <is>
          <t>월 6GB</t>
        </is>
      </c>
      <c r="F391" s="47" t="inlineStr">
        <is>
          <t>LG U+</t>
        </is>
      </c>
      <c r="G391" s="47" t="inlineStr">
        <is>
          <t>LTE</t>
        </is>
      </c>
      <c r="H391" s="48" t="n">
        <v>1900</v>
      </c>
      <c r="I391" s="48" t="n"/>
      <c r="J391" s="48" t="n"/>
      <c r="K391" s="47">
        <f t="array" ref="K391">_xlfn.XLOOKUP(1,(참조!$B$2:$B$15=E391)*(참조!$D$2:$D$15=C391)*(참조!$E$2:$E$15=D391),참조!$C$2:$C$15,"")</f>
        <v/>
      </c>
    </row>
    <row r="392" hidden="1" s="27">
      <c r="A392" s="47" t="inlineStr">
        <is>
          <t>U+유모바일</t>
        </is>
      </c>
      <c r="B392" s="47" t="inlineStr">
        <is>
          <t>[다이소 12만] 71GB+</t>
        </is>
      </c>
      <c r="C392" s="47" t="inlineStr">
        <is>
          <t>무제한</t>
        </is>
      </c>
      <c r="D392" s="47" t="inlineStr">
        <is>
          <t>무제한</t>
        </is>
      </c>
      <c r="E392" s="47" t="inlineStr">
        <is>
          <t>월 11GB + 매일 2GB + 3Mbps</t>
        </is>
      </c>
      <c r="F392" s="47" t="inlineStr">
        <is>
          <t>LG U+</t>
        </is>
      </c>
      <c r="G392" s="47" t="inlineStr">
        <is>
          <t>LTE</t>
        </is>
      </c>
      <c r="H392" s="48" t="n">
        <v>35190</v>
      </c>
      <c r="I392" s="48" t="n"/>
      <c r="J392" s="48" t="n"/>
      <c r="K392" s="47">
        <f t="array" ref="K392">_xlfn.XLOOKUP(1,(참조!$B$2:$B$15=E392)*(참조!$D$2:$D$15=C392)*(참조!$E$2:$E$15=D392),참조!$C$2:$C$15,"")</f>
        <v/>
      </c>
    </row>
    <row r="393" hidden="1" s="27">
      <c r="A393" s="47" t="inlineStr">
        <is>
          <t>이지모바일</t>
        </is>
      </c>
      <c r="B393" s="47" t="inlineStr">
        <is>
          <t>이지 더 오래쓰는 무제한 11G+3</t>
        </is>
      </c>
      <c r="C393" s="47" t="inlineStr">
        <is>
          <t>무제한</t>
        </is>
      </c>
      <c r="D393" s="47" t="inlineStr">
        <is>
          <t>무제한</t>
        </is>
      </c>
      <c r="E393" s="47" t="inlineStr">
        <is>
          <t>월 11GB + 매일 2GB + 3Mbps</t>
        </is>
      </c>
      <c r="F393" s="47" t="inlineStr">
        <is>
          <t>LG U+</t>
        </is>
      </c>
      <c r="G393" s="47" t="inlineStr">
        <is>
          <t>LTE</t>
        </is>
      </c>
      <c r="H393" s="48" t="n">
        <v>26290</v>
      </c>
      <c r="I393" s="48" t="n">
        <v>24</v>
      </c>
      <c r="J393" s="48" t="n">
        <v>39600</v>
      </c>
      <c r="K393" s="47">
        <f t="array" ref="K393">_xlfn.XLOOKUP(1,(참조!$B$2:$B$15=E393)*(참조!$D$2:$D$15=C393)*(참조!$E$2:$E$15=D393),참조!$C$2:$C$15,"")</f>
        <v/>
      </c>
    </row>
    <row r="394" hidden="1" s="27">
      <c r="A394" s="47" t="inlineStr">
        <is>
          <t>쉐이크모바일</t>
        </is>
      </c>
      <c r="B394" s="47" t="inlineStr">
        <is>
          <t>[모요only] 쉐이크 LTE 11GB+_밀리의서재</t>
        </is>
      </c>
      <c r="C394" s="47" t="inlineStr">
        <is>
          <t>무제한</t>
        </is>
      </c>
      <c r="D394" s="47" t="inlineStr">
        <is>
          <t>무제한</t>
        </is>
      </c>
      <c r="E394" s="47" t="inlineStr">
        <is>
          <t>월 11GB + 매일 2GB + 3Mbps</t>
        </is>
      </c>
      <c r="F394" s="47" t="inlineStr">
        <is>
          <t>KT</t>
        </is>
      </c>
      <c r="G394" s="47" t="inlineStr">
        <is>
          <t>LTE</t>
        </is>
      </c>
      <c r="H394" s="48" t="n">
        <v>7800</v>
      </c>
      <c r="I394" s="48" t="n">
        <v>7</v>
      </c>
      <c r="J394" s="48" t="n">
        <v>40700</v>
      </c>
      <c r="K394" s="47">
        <f t="array" ref="K394">_xlfn.XLOOKUP(1,(참조!$B$2:$B$15=E394)*(참조!$D$2:$D$15=C394)*(참조!$E$2:$E$15=D394),참조!$C$2:$C$15,"")</f>
        <v/>
      </c>
    </row>
    <row r="395" hidden="1" s="27">
      <c r="A395" s="47" t="inlineStr">
        <is>
          <t>인스모바일</t>
        </is>
      </c>
      <c r="B395" s="47" t="inlineStr">
        <is>
          <t>인스 유심 스피드(5G) 95GB+</t>
        </is>
      </c>
      <c r="C395" s="47" t="inlineStr">
        <is>
          <t>무제한</t>
        </is>
      </c>
      <c r="D395" s="47" t="inlineStr">
        <is>
          <t>무제한</t>
        </is>
      </c>
      <c r="E395" s="47" t="inlineStr">
        <is>
          <t>월 95GB + 3Mbps</t>
        </is>
      </c>
      <c r="F395" s="47" t="inlineStr">
        <is>
          <t>LG U+</t>
        </is>
      </c>
      <c r="G395" s="47" t="inlineStr">
        <is>
          <t>5G</t>
        </is>
      </c>
      <c r="H395" s="48" t="n">
        <v>7920</v>
      </c>
      <c r="I395" s="48" t="n">
        <v>7</v>
      </c>
      <c r="J395" s="48" t="n">
        <v>53240</v>
      </c>
      <c r="K395" s="47">
        <f t="array" ref="K395">_xlfn.XLOOKUP(1,(참조!$B$2:$B$15=E395)*(참조!$D$2:$D$15=C395)*(참조!$E$2:$E$15=D395),참조!$C$2:$C$15,"")</f>
        <v/>
      </c>
    </row>
    <row r="396" hidden="1" s="27">
      <c r="A396" s="47" t="inlineStr">
        <is>
          <t>KT스카이라이프</t>
        </is>
      </c>
      <c r="B396" s="47" t="inlineStr">
        <is>
          <t>통화 충분 10GB</t>
        </is>
      </c>
      <c r="C396" s="47" t="inlineStr">
        <is>
          <t>무제한</t>
        </is>
      </c>
      <c r="D396" s="47" t="inlineStr">
        <is>
          <t>무제한</t>
        </is>
      </c>
      <c r="E396" s="47" t="inlineStr">
        <is>
          <t>월 10GB</t>
        </is>
      </c>
      <c r="F396" s="47" t="inlineStr">
        <is>
          <t>KT</t>
        </is>
      </c>
      <c r="G396" s="47" t="inlineStr">
        <is>
          <t>LTE</t>
        </is>
      </c>
      <c r="H396" s="48" t="n">
        <v>13900</v>
      </c>
      <c r="I396" s="48" t="n"/>
      <c r="J396" s="48" t="n"/>
      <c r="K396" s="47">
        <f t="array" ref="K396">_xlfn.XLOOKUP(1,(참조!$B$2:$B$15=E396)*(참조!$D$2:$D$15=C396)*(참조!$E$2:$E$15=D396),참조!$C$2:$C$15,"")</f>
        <v/>
      </c>
    </row>
    <row r="397" hidden="1" s="27">
      <c r="A397" s="47" t="inlineStr">
        <is>
          <t>이야기모바일</t>
        </is>
      </c>
      <c r="B397" s="47" t="inlineStr">
        <is>
          <t>내맘대로S(300+6GB)</t>
        </is>
      </c>
      <c r="C397" s="47" t="inlineStr">
        <is>
          <t>300분</t>
        </is>
      </c>
      <c r="D397" s="47" t="inlineStr">
        <is>
          <t>300건</t>
        </is>
      </c>
      <c r="E397" s="47" t="inlineStr">
        <is>
          <t>월 6GB</t>
        </is>
      </c>
      <c r="F397" s="47" t="inlineStr">
        <is>
          <t>SKT</t>
        </is>
      </c>
      <c r="G397" s="47" t="inlineStr">
        <is>
          <t>LTE</t>
        </is>
      </c>
      <c r="H397" s="48" t="n">
        <v>1600</v>
      </c>
      <c r="I397" s="48" t="n">
        <v>12</v>
      </c>
      <c r="J397" s="48" t="n">
        <v>5500</v>
      </c>
      <c r="K397" s="47">
        <f t="array" ref="K397">_xlfn.XLOOKUP(1,(참조!$B$2:$B$15=E397)*(참조!$D$2:$D$15=C397)*(참조!$E$2:$E$15=D397),참조!$C$2:$C$15,"")</f>
        <v/>
      </c>
    </row>
    <row r="398">
      <c r="A398" s="47" t="inlineStr">
        <is>
          <t>티플러스</t>
        </is>
      </c>
      <c r="B398" s="47" t="inlineStr">
        <is>
          <t>티플 완전마음껏11G＋_평생요금</t>
        </is>
      </c>
      <c r="C398" s="47" t="inlineStr">
        <is>
          <t>무제한</t>
        </is>
      </c>
      <c r="D398" s="47" t="inlineStr">
        <is>
          <t>무제한</t>
        </is>
      </c>
      <c r="E398" s="47" t="inlineStr">
        <is>
          <t>월 11GB + 매일 2GB + 3Mbps</t>
        </is>
      </c>
      <c r="F398" s="47" t="inlineStr">
        <is>
          <t>LG U+</t>
        </is>
      </c>
      <c r="G398" s="47" t="inlineStr">
        <is>
          <t>LTE</t>
        </is>
      </c>
      <c r="H398" s="48" t="n">
        <v>26900</v>
      </c>
      <c r="I398" s="48" t="n"/>
      <c r="J398" s="48" t="n"/>
      <c r="K398" s="47">
        <f t="array" ref="K398">_xlfn.XLOOKUP(1,(참조!$B$2:$B$15=E398)*(참조!$D$2:$D$15=C398)*(참조!$E$2:$E$15=D398),참조!$C$2:$C$15,"")</f>
        <v/>
      </c>
    </row>
    <row r="399" hidden="1" s="27">
      <c r="A399" s="47" t="inlineStr">
        <is>
          <t>KT엠모바일</t>
        </is>
      </c>
      <c r="B399" s="47" t="inlineStr">
        <is>
          <t>모두다 맘껏 11GB+(밀리의 서재 FREE)</t>
        </is>
      </c>
      <c r="C399" s="47" t="inlineStr">
        <is>
          <t>무제한</t>
        </is>
      </c>
      <c r="D399" s="47" t="inlineStr">
        <is>
          <t>무제한</t>
        </is>
      </c>
      <c r="E399" s="47" t="inlineStr">
        <is>
          <t>월 11GB + 매일 2GB + 3Mbps</t>
        </is>
      </c>
      <c r="F399" s="47" t="inlineStr">
        <is>
          <t>KT</t>
        </is>
      </c>
      <c r="G399" s="47" t="inlineStr">
        <is>
          <t>LTE</t>
        </is>
      </c>
      <c r="H399" s="48" t="n">
        <v>33100</v>
      </c>
      <c r="I399" s="48" t="n"/>
      <c r="J399" s="48" t="n"/>
      <c r="K399" s="47">
        <f t="array" ref="K399">_xlfn.XLOOKUP(1,(참조!$B$2:$B$15=E399)*(참조!$D$2:$D$15=C399)*(참조!$E$2:$E$15=D399),참조!$C$2:$C$15,"")</f>
        <v/>
      </c>
    </row>
    <row r="400" hidden="1" s="27">
      <c r="A400" s="47" t="inlineStr">
        <is>
          <t>고고모바일</t>
        </is>
      </c>
      <c r="B400" s="47" t="inlineStr">
        <is>
          <t>[모요only] LTE 무제한 11GB+3M(CU20%할인)</t>
        </is>
      </c>
      <c r="C400" s="47" t="inlineStr">
        <is>
          <t>무제한</t>
        </is>
      </c>
      <c r="D400" s="47" t="inlineStr">
        <is>
          <t>무제한</t>
        </is>
      </c>
      <c r="E400" s="47" t="inlineStr">
        <is>
          <t>월 11GB + 매일 2GB + 3Mbps</t>
        </is>
      </c>
      <c r="F400" s="47" t="inlineStr">
        <is>
          <t>KT</t>
        </is>
      </c>
      <c r="G400" s="47" t="inlineStr">
        <is>
          <t>LTE</t>
        </is>
      </c>
      <c r="H400" s="48" t="n">
        <v>14000</v>
      </c>
      <c r="I400" s="48" t="n">
        <v>7</v>
      </c>
      <c r="J400" s="48" t="n">
        <v>38500</v>
      </c>
      <c r="K400" s="47">
        <f t="array" ref="K400">_xlfn.XLOOKUP(1,(참조!$B$2:$B$15=E400)*(참조!$D$2:$D$15=C400)*(참조!$E$2:$E$15=D400),참조!$C$2:$C$15,"")</f>
        <v/>
      </c>
    </row>
    <row r="401" hidden="1" s="27">
      <c r="A401" s="47" t="inlineStr">
        <is>
          <t>KG모바일</t>
        </is>
      </c>
      <c r="B401" s="47" t="inlineStr">
        <is>
          <t>[일반] 데이터 마음대로 (10GB+/200분)_12개월</t>
        </is>
      </c>
      <c r="C401" s="47" t="inlineStr">
        <is>
          <t>200분</t>
        </is>
      </c>
      <c r="D401" s="47" t="inlineStr">
        <is>
          <t>100건</t>
        </is>
      </c>
      <c r="E401" s="47" t="inlineStr">
        <is>
          <t>월 10GB + 1Mbps</t>
        </is>
      </c>
      <c r="F401" s="47" t="inlineStr">
        <is>
          <t>LG U+</t>
        </is>
      </c>
      <c r="G401" s="47" t="inlineStr">
        <is>
          <t>LTE</t>
        </is>
      </c>
      <c r="H401" s="48" t="n">
        <v>4000</v>
      </c>
      <c r="I401" s="48" t="n">
        <v>12</v>
      </c>
      <c r="J401" s="48" t="n">
        <v>26400</v>
      </c>
      <c r="K401" s="47">
        <f t="array" ref="K401">_xlfn.XLOOKUP(1,(참조!$B$2:$B$15=E401)*(참조!$D$2:$D$15=C401)*(참조!$E$2:$E$15=D401),참조!$C$2:$C$15,"")</f>
        <v/>
      </c>
    </row>
    <row r="402" hidden="1" s="27">
      <c r="A402" s="47" t="inlineStr">
        <is>
          <t>티플러스</t>
        </is>
      </c>
      <c r="B402" s="47" t="inlineStr">
        <is>
          <t>5G 데이터마음껏 15G(300분)</t>
        </is>
      </c>
      <c r="C402" s="47" t="inlineStr">
        <is>
          <t>300분</t>
        </is>
      </c>
      <c r="D402" s="47" t="inlineStr">
        <is>
          <t>300건</t>
        </is>
      </c>
      <c r="E402" s="47" t="inlineStr">
        <is>
          <t>월 15GB + 1Mbps</t>
        </is>
      </c>
      <c r="F402" s="47" t="inlineStr">
        <is>
          <t>LG U+</t>
        </is>
      </c>
      <c r="G402" s="47" t="inlineStr">
        <is>
          <t>5G</t>
        </is>
      </c>
      <c r="H402" s="48" t="n">
        <v>1900</v>
      </c>
      <c r="I402" s="48" t="n">
        <v>6</v>
      </c>
      <c r="J402" s="48" t="n">
        <v>30800</v>
      </c>
      <c r="K402" s="47">
        <f t="array" ref="K402">_xlfn.XLOOKUP(1,(참조!$B$2:$B$15=E402)*(참조!$D$2:$D$15=C402)*(참조!$E$2:$E$15=D402),참조!$C$2:$C$15,"")</f>
        <v/>
      </c>
    </row>
    <row r="403" hidden="1" s="27">
      <c r="A403" s="47" t="inlineStr">
        <is>
          <t>슈가모바일</t>
        </is>
      </c>
      <c r="B403" s="47" t="inlineStr">
        <is>
          <t>5G Sugar 통화마음대로 180GB++</t>
        </is>
      </c>
      <c r="C403" s="47" t="inlineStr">
        <is>
          <t>무제한</t>
        </is>
      </c>
      <c r="D403" s="47" t="inlineStr">
        <is>
          <t>무제한</t>
        </is>
      </c>
      <c r="E403" s="47" t="inlineStr">
        <is>
          <t>월 180GB + 10Mbps</t>
        </is>
      </c>
      <c r="F403" s="47" t="inlineStr">
        <is>
          <t>LG U+</t>
        </is>
      </c>
      <c r="G403" s="47" t="inlineStr">
        <is>
          <t>5G</t>
        </is>
      </c>
      <c r="H403" s="48" t="n">
        <v>13000</v>
      </c>
      <c r="I403" s="48" t="n">
        <v>7</v>
      </c>
      <c r="J403" s="48" t="n">
        <v>69000</v>
      </c>
      <c r="K403" s="47">
        <f t="array" ref="K403">_xlfn.XLOOKUP(1,(참조!$B$2:$B$15=E403)*(참조!$D$2:$D$15=C403)*(참조!$E$2:$E$15=D403),참조!$C$2:$C$15,"")</f>
        <v/>
      </c>
    </row>
    <row r="404" hidden="1" s="27">
      <c r="A404" s="47" t="inlineStr">
        <is>
          <t>티플러스</t>
        </is>
      </c>
      <c r="B404" s="47" t="inlineStr">
        <is>
          <t>The 완전마음껏11G+(다이소 매월 5000P)</t>
        </is>
      </c>
      <c r="C404" s="47" t="inlineStr">
        <is>
          <t>무제한</t>
        </is>
      </c>
      <c r="D404" s="47" t="inlineStr">
        <is>
          <t>무제한</t>
        </is>
      </c>
      <c r="E404" s="47" t="inlineStr">
        <is>
          <t>월 11GB + 매일 2GB + 3Mbps</t>
        </is>
      </c>
      <c r="F404" s="47" t="inlineStr">
        <is>
          <t>LG U+</t>
        </is>
      </c>
      <c r="G404" s="47" t="inlineStr">
        <is>
          <t>LTE</t>
        </is>
      </c>
      <c r="H404" s="48" t="n">
        <v>26900</v>
      </c>
      <c r="I404" s="48" t="n">
        <v>24</v>
      </c>
      <c r="J404" s="48" t="n">
        <v>39600</v>
      </c>
      <c r="K404" s="47">
        <f t="array" ref="K404">_xlfn.XLOOKUP(1,(참조!$B$2:$B$15=E404)*(참조!$D$2:$D$15=C404)*(참조!$E$2:$E$15=D404),참조!$C$2:$C$15,"")</f>
        <v/>
      </c>
    </row>
    <row r="405" hidden="1" s="27">
      <c r="A405" s="47" t="inlineStr">
        <is>
          <t>스마텔</t>
        </is>
      </c>
      <c r="B405" s="47" t="inlineStr">
        <is>
          <t>5G 심플(350분+7GB)</t>
        </is>
      </c>
      <c r="C405" s="47" t="inlineStr">
        <is>
          <t>350분</t>
        </is>
      </c>
      <c r="D405" s="47" t="inlineStr">
        <is>
          <t>100건</t>
        </is>
      </c>
      <c r="E405" s="47" t="inlineStr">
        <is>
          <t>월 7GB</t>
        </is>
      </c>
      <c r="F405" s="47" t="inlineStr">
        <is>
          <t>LG U+</t>
        </is>
      </c>
      <c r="G405" s="47" t="inlineStr">
        <is>
          <t>5G</t>
        </is>
      </c>
      <c r="H405" s="48" t="n">
        <v>100</v>
      </c>
      <c r="I405" s="48" t="n">
        <v>6</v>
      </c>
      <c r="J405" s="48" t="n">
        <v>17600</v>
      </c>
      <c r="K405" s="47">
        <f t="array" ref="K405">_xlfn.XLOOKUP(1,(참조!$B$2:$B$15=E405)*(참조!$D$2:$D$15=C405)*(참조!$E$2:$E$15=D405),참조!$C$2:$C$15,"")</f>
        <v/>
      </c>
    </row>
    <row r="406" hidden="1" s="27">
      <c r="A406" s="47" t="inlineStr">
        <is>
          <t>티플러스</t>
        </is>
      </c>
      <c r="B406" s="47" t="inlineStr">
        <is>
          <t>The 완전마음껏 15GB＋_평생요금</t>
        </is>
      </c>
      <c r="C406" s="47" t="inlineStr">
        <is>
          <t>무제한</t>
        </is>
      </c>
      <c r="D406" s="47" t="inlineStr">
        <is>
          <t>무제한</t>
        </is>
      </c>
      <c r="E406" s="47" t="inlineStr">
        <is>
          <t>월 15GB + 1Mbps</t>
        </is>
      </c>
      <c r="F406" s="47" t="inlineStr">
        <is>
          <t>LG U+</t>
        </is>
      </c>
      <c r="G406" s="47" t="inlineStr">
        <is>
          <t>LTE</t>
        </is>
      </c>
      <c r="H406" s="48" t="n">
        <v>15900</v>
      </c>
      <c r="I406" s="48" t="n"/>
      <c r="J406" s="48" t="n"/>
      <c r="K406" s="47">
        <f t="array" ref="K406">_xlfn.XLOOKUP(1,(참조!$B$2:$B$15=E406)*(참조!$D$2:$D$15=C406)*(참조!$E$2:$E$15=D406),참조!$C$2:$C$15,"")</f>
        <v/>
      </c>
    </row>
    <row r="407" hidden="1" s="27">
      <c r="A407" s="47" t="inlineStr">
        <is>
          <t>고고모바일</t>
        </is>
      </c>
      <c r="B407" s="47" t="inlineStr">
        <is>
          <t>[모요only] 5G 200분/10GB_12개월</t>
        </is>
      </c>
      <c r="C407" s="47" t="inlineStr">
        <is>
          <t>200분</t>
        </is>
      </c>
      <c r="D407" s="47" t="inlineStr">
        <is>
          <t>100건</t>
        </is>
      </c>
      <c r="E407" s="47" t="inlineStr">
        <is>
          <t>월 10GB</t>
        </is>
      </c>
      <c r="F407" s="47" t="inlineStr">
        <is>
          <t>KT</t>
        </is>
      </c>
      <c r="G407" s="47" t="inlineStr">
        <is>
          <t>5G</t>
        </is>
      </c>
      <c r="H407" s="48" t="n">
        <v>4400</v>
      </c>
      <c r="I407" s="48" t="n">
        <v>12</v>
      </c>
      <c r="J407" s="48" t="n">
        <v>18700</v>
      </c>
      <c r="K407" s="47">
        <f t="array" ref="K407">_xlfn.XLOOKUP(1,(참조!$B$2:$B$15=E407)*(참조!$D$2:$D$15=C407)*(참조!$E$2:$E$15=D407),참조!$C$2:$C$15,"")</f>
        <v/>
      </c>
    </row>
    <row r="408" hidden="1" s="27">
      <c r="A408" s="47" t="inlineStr">
        <is>
          <t>인스모바일</t>
        </is>
      </c>
      <c r="B408" s="47" t="inlineStr">
        <is>
          <t>데이터 안심 6GB+(USIM)</t>
        </is>
      </c>
      <c r="C408" s="47" t="inlineStr">
        <is>
          <t>200분</t>
        </is>
      </c>
      <c r="D408" s="47" t="inlineStr">
        <is>
          <t>100건</t>
        </is>
      </c>
      <c r="E408" s="47" t="inlineStr">
        <is>
          <t>월 6GB + 1Mbps</t>
        </is>
      </c>
      <c r="F408" s="47" t="inlineStr">
        <is>
          <t>LG U+</t>
        </is>
      </c>
      <c r="G408" s="47" t="inlineStr">
        <is>
          <t>LTE</t>
        </is>
      </c>
      <c r="H408" s="48" t="n">
        <v>10</v>
      </c>
      <c r="I408" s="48" t="n">
        <v>6</v>
      </c>
      <c r="J408" s="48" t="n">
        <v>27500</v>
      </c>
      <c r="K408" s="47">
        <f t="array" ref="K408">_xlfn.XLOOKUP(1,(참조!$B$2:$B$15=E408)*(참조!$D$2:$D$15=C408)*(참조!$E$2:$E$15=D408),참조!$C$2:$C$15,"")</f>
        <v/>
      </c>
    </row>
    <row r="409" hidden="1" s="27">
      <c r="A409" s="47" t="inlineStr">
        <is>
          <t>U+유모바일</t>
        </is>
      </c>
      <c r="B409" s="47" t="inlineStr">
        <is>
          <t>[다이소 12만] 15GB(+10GB 추가 제공 프로모션)</t>
        </is>
      </c>
      <c r="C409" s="47" t="inlineStr">
        <is>
          <t>무제한</t>
        </is>
      </c>
      <c r="D409" s="47" t="inlineStr">
        <is>
          <t>무제한</t>
        </is>
      </c>
      <c r="E409" s="47" t="inlineStr">
        <is>
          <t>월 25GB + 1Mbps</t>
        </is>
      </c>
      <c r="F409" s="47" t="inlineStr">
        <is>
          <t>LG U+</t>
        </is>
      </c>
      <c r="G409" s="47" t="inlineStr">
        <is>
          <t>LTE</t>
        </is>
      </c>
      <c r="H409" s="48" t="n">
        <v>24100</v>
      </c>
      <c r="I409" s="48" t="n"/>
      <c r="J409" s="48" t="n"/>
      <c r="K409" s="47">
        <f t="array" ref="K409">_xlfn.XLOOKUP(1,(참조!$B$2:$B$15=E409)*(참조!$D$2:$D$15=C409)*(참조!$E$2:$E$15=D409),참조!$C$2:$C$15,"")</f>
        <v/>
      </c>
    </row>
    <row r="410" hidden="1" s="27">
      <c r="A410" s="47" t="inlineStr">
        <is>
          <t>티플러스</t>
        </is>
      </c>
      <c r="B410" s="47" t="inlineStr">
        <is>
          <t>5G 티플온 95GB+_24개월 할인</t>
        </is>
      </c>
      <c r="C410" s="47" t="inlineStr">
        <is>
          <t>무제한</t>
        </is>
      </c>
      <c r="D410" s="47" t="inlineStr">
        <is>
          <t>무제한</t>
        </is>
      </c>
      <c r="E410" s="47" t="inlineStr">
        <is>
          <t>월 95GB + 3Mbps</t>
        </is>
      </c>
      <c r="F410" s="47" t="inlineStr">
        <is>
          <t>LG U+</t>
        </is>
      </c>
      <c r="G410" s="47" t="inlineStr">
        <is>
          <t>5G</t>
        </is>
      </c>
      <c r="H410" s="48" t="n">
        <v>27900</v>
      </c>
      <c r="I410" s="48" t="n">
        <v>24</v>
      </c>
      <c r="J410" s="48" t="n">
        <v>52800</v>
      </c>
      <c r="K410" s="47">
        <f t="array" ref="K410">_xlfn.XLOOKUP(1,(참조!$B$2:$B$15=E410)*(참조!$D$2:$D$15=C410)*(참조!$E$2:$E$15=D410),참조!$C$2:$C$15,"")</f>
        <v/>
      </c>
    </row>
    <row r="411" hidden="1" s="27">
      <c r="A411" s="47" t="inlineStr">
        <is>
          <t>이야기모바일</t>
        </is>
      </c>
      <c r="B411" s="47" t="inlineStr">
        <is>
          <t>이야기K 데이터 11GB+(후후안심)</t>
        </is>
      </c>
      <c r="C411" s="47" t="inlineStr">
        <is>
          <t>무제한</t>
        </is>
      </c>
      <c r="D411" s="47" t="inlineStr">
        <is>
          <t>무제한</t>
        </is>
      </c>
      <c r="E411" s="47" t="inlineStr">
        <is>
          <t>월 11GB + 매일 2GB + 3Mbps</t>
        </is>
      </c>
      <c r="F411" s="47" t="inlineStr">
        <is>
          <t>KT</t>
        </is>
      </c>
      <c r="G411" s="47" t="inlineStr">
        <is>
          <t>LTE</t>
        </is>
      </c>
      <c r="H411" s="48" t="n">
        <v>25900</v>
      </c>
      <c r="I411" s="48" t="n">
        <v>24</v>
      </c>
      <c r="J411" s="48" t="n">
        <v>40590</v>
      </c>
      <c r="K411" s="47">
        <f t="array" ref="K411">_xlfn.XLOOKUP(1,(참조!$B$2:$B$15=E411)*(참조!$D$2:$D$15=C411)*(참조!$E$2:$E$15=D411),참조!$C$2:$C$15,"")</f>
        <v/>
      </c>
    </row>
    <row r="412" hidden="1" s="27">
      <c r="A412" s="47" t="inlineStr">
        <is>
          <t>U+유모바일</t>
        </is>
      </c>
      <c r="B412" s="47" t="inlineStr">
        <is>
          <t>[평생할인] 일 5GB+/통화기본</t>
        </is>
      </c>
      <c r="C412" s="47" t="inlineStr">
        <is>
          <t>무제한</t>
        </is>
      </c>
      <c r="D412" s="47" t="inlineStr">
        <is>
          <t>무제한</t>
        </is>
      </c>
      <c r="E412" s="47" t="inlineStr">
        <is>
          <t>매일 5GB + 5Mbps</t>
        </is>
      </c>
      <c r="F412" s="47" t="inlineStr">
        <is>
          <t>LG U+</t>
        </is>
      </c>
      <c r="G412" s="47" t="inlineStr">
        <is>
          <t>LTE</t>
        </is>
      </c>
      <c r="H412" s="48" t="n">
        <v>38200</v>
      </c>
      <c r="I412" s="48" t="n"/>
      <c r="J412" s="48" t="n"/>
      <c r="K412" s="47">
        <f t="array" ref="K412">_xlfn.XLOOKUP(1,(참조!$B$2:$B$15=E412)*(참조!$D$2:$D$15=C412)*(참조!$E$2:$E$15=D412),참조!$C$2:$C$15,"")</f>
        <v/>
      </c>
    </row>
    <row r="413" hidden="1" s="27">
      <c r="A413" s="47" t="inlineStr">
        <is>
          <t>스마텔</t>
        </is>
      </c>
      <c r="B413" s="47" t="inlineStr">
        <is>
          <t>데이터충분히(10G+100분)</t>
        </is>
      </c>
      <c r="C413" s="47" t="inlineStr">
        <is>
          <t>100분</t>
        </is>
      </c>
      <c r="D413" s="47" t="inlineStr">
        <is>
          <t>100건</t>
        </is>
      </c>
      <c r="E413" s="47" t="inlineStr">
        <is>
          <t>월 10GB</t>
        </is>
      </c>
      <c r="F413" s="47" t="inlineStr">
        <is>
          <t>LG U+</t>
        </is>
      </c>
      <c r="G413" s="47" t="inlineStr">
        <is>
          <t>LTE</t>
        </is>
      </c>
      <c r="H413" s="48" t="n">
        <v>10</v>
      </c>
      <c r="I413" s="48" t="n">
        <v>8</v>
      </c>
      <c r="J413" s="48" t="n">
        <v>13200</v>
      </c>
      <c r="K413" s="47">
        <f t="array" ref="K413">_xlfn.XLOOKUP(1,(참조!$B$2:$B$15=E413)*(참조!$D$2:$D$15=C413)*(참조!$E$2:$E$15=D413),참조!$C$2:$C$15,"")</f>
        <v/>
      </c>
    </row>
    <row r="414" hidden="1" s="27">
      <c r="A414" s="47" t="inlineStr">
        <is>
          <t>찬스모바일</t>
        </is>
      </c>
      <c r="B414" s="47" t="inlineStr">
        <is>
          <t>5G 음성기본 125GB+5Mbps_24개월</t>
        </is>
      </c>
      <c r="C414" s="47" t="inlineStr">
        <is>
          <t>무제한</t>
        </is>
      </c>
      <c r="D414" s="47" t="inlineStr">
        <is>
          <t>무제한</t>
        </is>
      </c>
      <c r="E414" s="47" t="inlineStr">
        <is>
          <t>월 125GB + 5Mbps</t>
        </is>
      </c>
      <c r="F414" s="47" t="inlineStr">
        <is>
          <t>LG U+</t>
        </is>
      </c>
      <c r="G414" s="47" t="inlineStr">
        <is>
          <t>5G</t>
        </is>
      </c>
      <c r="H414" s="48" t="n">
        <v>28200</v>
      </c>
      <c r="I414" s="48" t="n">
        <v>24</v>
      </c>
      <c r="J414" s="48" t="n">
        <v>55000</v>
      </c>
      <c r="K414" s="47">
        <f t="array" ref="K414">_xlfn.XLOOKUP(1,(참조!$B$2:$B$15=E414)*(참조!$D$2:$D$15=C414)*(참조!$E$2:$E$15=D414),참조!$C$2:$C$15,"")</f>
        <v/>
      </c>
    </row>
    <row r="415" hidden="1" s="27">
      <c r="A415" s="47" t="inlineStr">
        <is>
          <t>KT엠모바일</t>
        </is>
      </c>
      <c r="B415" s="47" t="inlineStr">
        <is>
          <t>5G 통화 맘껏 3GB</t>
        </is>
      </c>
      <c r="C415" s="47" t="inlineStr">
        <is>
          <t>무제한</t>
        </is>
      </c>
      <c r="D415" s="47" t="inlineStr">
        <is>
          <t>무제한</t>
        </is>
      </c>
      <c r="E415" s="47" t="inlineStr">
        <is>
          <t>월 3GB</t>
        </is>
      </c>
      <c r="F415" s="47" t="inlineStr">
        <is>
          <t>KT</t>
        </is>
      </c>
      <c r="G415" s="47" t="inlineStr">
        <is>
          <t>5G</t>
        </is>
      </c>
      <c r="H415" s="48" t="n">
        <v>6400</v>
      </c>
      <c r="I415" s="48" t="n"/>
      <c r="J415" s="48" t="n"/>
      <c r="K415" s="47">
        <f t="array" ref="K415">_xlfn.XLOOKUP(1,(참조!$B$2:$B$15=E415)*(참조!$D$2:$D$15=C415)*(참조!$E$2:$E$15=D415),참조!$C$2:$C$15,"")</f>
        <v/>
      </c>
    </row>
    <row r="416" hidden="1" s="27">
      <c r="A416" s="47" t="inlineStr">
        <is>
          <t>더원모바일</t>
        </is>
      </c>
      <c r="B416" s="47" t="inlineStr">
        <is>
          <t>TOP 100GB 기본 (밀리의서재)</t>
        </is>
      </c>
      <c r="C416" s="47" t="inlineStr">
        <is>
          <t>무제한</t>
        </is>
      </c>
      <c r="D416" s="47" t="inlineStr">
        <is>
          <t>무제한</t>
        </is>
      </c>
      <c r="E416" s="47" t="inlineStr">
        <is>
          <t>월 100GB + 5Mbps</t>
        </is>
      </c>
      <c r="F416" s="47" t="inlineStr">
        <is>
          <t>KT</t>
        </is>
      </c>
      <c r="G416" s="47" t="inlineStr">
        <is>
          <t>LTE</t>
        </is>
      </c>
      <c r="H416" s="48" t="n">
        <v>12980</v>
      </c>
      <c r="I416" s="48" t="n">
        <v>7</v>
      </c>
      <c r="J416" s="48" t="n">
        <v>46200</v>
      </c>
      <c r="K416" s="47">
        <f t="array" ref="K416">_xlfn.XLOOKUP(1,(참조!$B$2:$B$15=E416)*(참조!$D$2:$D$15=C416)*(참조!$E$2:$E$15=D416),참조!$C$2:$C$15,"")</f>
        <v/>
      </c>
    </row>
    <row r="417" hidden="1" s="27">
      <c r="A417" s="47" t="inlineStr">
        <is>
          <t>더원모바일</t>
        </is>
      </c>
      <c r="B417" s="47" t="inlineStr">
        <is>
          <t>ONE 5G 10GB 200분</t>
        </is>
      </c>
      <c r="C417" s="47" t="inlineStr">
        <is>
          <t>200분</t>
        </is>
      </c>
      <c r="D417" s="47" t="inlineStr">
        <is>
          <t>100건</t>
        </is>
      </c>
      <c r="E417" s="47" t="inlineStr">
        <is>
          <t>월 10GB</t>
        </is>
      </c>
      <c r="F417" s="47" t="inlineStr">
        <is>
          <t>KT</t>
        </is>
      </c>
      <c r="G417" s="47" t="inlineStr">
        <is>
          <t>5G</t>
        </is>
      </c>
      <c r="H417" s="48" t="n">
        <v>110</v>
      </c>
      <c r="I417" s="48" t="n">
        <v>6</v>
      </c>
      <c r="J417" s="48" t="n">
        <v>19800</v>
      </c>
      <c r="K417" s="47">
        <f t="array" ref="K417">_xlfn.XLOOKUP(1,(참조!$B$2:$B$15=E417)*(참조!$D$2:$D$15=C417)*(참조!$E$2:$E$15=D417),참조!$C$2:$C$15,"")</f>
        <v/>
      </c>
    </row>
    <row r="418" hidden="1" s="27">
      <c r="A418" s="47" t="inlineStr">
        <is>
          <t>이야기모바일</t>
        </is>
      </c>
      <c r="B418" s="47" t="inlineStr">
        <is>
          <t>내맘대로S(100+10GB)</t>
        </is>
      </c>
      <c r="C418" s="47" t="inlineStr">
        <is>
          <t>100분</t>
        </is>
      </c>
      <c r="D418" s="47" t="inlineStr">
        <is>
          <t>100건</t>
        </is>
      </c>
      <c r="E418" s="47" t="inlineStr">
        <is>
          <t>월 10GB</t>
        </is>
      </c>
      <c r="F418" s="47" t="inlineStr">
        <is>
          <t>SKT</t>
        </is>
      </c>
      <c r="G418" s="47" t="inlineStr">
        <is>
          <t>LTE</t>
        </is>
      </c>
      <c r="H418" s="48" t="n">
        <v>10</v>
      </c>
      <c r="I418" s="48" t="n">
        <v>7</v>
      </c>
      <c r="J418" s="48" t="n">
        <v>14300</v>
      </c>
      <c r="K418" s="47">
        <f t="array" ref="K418">_xlfn.XLOOKUP(1,(참조!$B$2:$B$15=E418)*(참조!$D$2:$D$15=C418)*(참조!$E$2:$E$15=D418),참조!$C$2:$C$15,"")</f>
        <v/>
      </c>
    </row>
    <row r="419" hidden="1" s="27">
      <c r="A419" s="47" t="inlineStr">
        <is>
          <t>U+유모바일</t>
        </is>
      </c>
      <c r="B419" s="47" t="inlineStr">
        <is>
          <t>[쿠팡이츠 12만] 7GB+/통화기본</t>
        </is>
      </c>
      <c r="C419" s="47" t="inlineStr">
        <is>
          <t>무제한</t>
        </is>
      </c>
      <c r="D419" s="47" t="inlineStr">
        <is>
          <t>무제한</t>
        </is>
      </c>
      <c r="E419" s="47" t="inlineStr">
        <is>
          <t>월 7GB + 1Mbps</t>
        </is>
      </c>
      <c r="F419" s="47" t="inlineStr">
        <is>
          <t>LG U+</t>
        </is>
      </c>
      <c r="G419" s="47" t="inlineStr">
        <is>
          <t>LTE</t>
        </is>
      </c>
      <c r="H419" s="48" t="n">
        <v>18400</v>
      </c>
      <c r="I419" s="48" t="n"/>
      <c r="J419" s="48" t="n"/>
      <c r="K419" s="47">
        <f t="array" ref="K419">_xlfn.XLOOKUP(1,(참조!$B$2:$B$15=E419)*(참조!$D$2:$D$15=C419)*(참조!$E$2:$E$15=D419),참조!$C$2:$C$15,"")</f>
        <v/>
      </c>
    </row>
    <row r="420" hidden="1" s="27">
      <c r="A420" s="47" t="inlineStr">
        <is>
          <t>이야기모바일</t>
        </is>
      </c>
      <c r="B420" s="47" t="inlineStr">
        <is>
          <t>함께이야기해S(200분+10GB)</t>
        </is>
      </c>
      <c r="C420" s="47" t="inlineStr">
        <is>
          <t>200분</t>
        </is>
      </c>
      <c r="D420" s="47" t="inlineStr">
        <is>
          <t>100건</t>
        </is>
      </c>
      <c r="E420" s="47" t="inlineStr">
        <is>
          <t>월 10GB</t>
        </is>
      </c>
      <c r="F420" s="47" t="inlineStr">
        <is>
          <t>SKT</t>
        </is>
      </c>
      <c r="G420" s="47" t="inlineStr">
        <is>
          <t>LTE</t>
        </is>
      </c>
      <c r="H420" s="48" t="n">
        <v>100</v>
      </c>
      <c r="I420" s="48" t="n">
        <v>12</v>
      </c>
      <c r="J420" s="48" t="n">
        <v>9900</v>
      </c>
      <c r="K420" s="47">
        <f t="array" ref="K420">_xlfn.XLOOKUP(1,(참조!$B$2:$B$15=E420)*(참조!$D$2:$D$15=C420)*(참조!$E$2:$E$15=D420),참조!$C$2:$C$15,"")</f>
        <v/>
      </c>
    </row>
    <row r="421" hidden="1" s="27">
      <c r="A421" s="47" t="inlineStr">
        <is>
          <t>U+유모바일</t>
        </is>
      </c>
      <c r="B421" s="47" t="inlineStr">
        <is>
          <t>[쿠팡이츠 12만] 100GB+/통화기본</t>
        </is>
      </c>
      <c r="C421" s="47" t="inlineStr">
        <is>
          <t>무제한</t>
        </is>
      </c>
      <c r="D421" s="47" t="inlineStr">
        <is>
          <t>무제한</t>
        </is>
      </c>
      <c r="E421" s="47" t="inlineStr">
        <is>
          <t>월 100GB + 5Mbps</t>
        </is>
      </c>
      <c r="F421" s="47" t="inlineStr">
        <is>
          <t>LG U+</t>
        </is>
      </c>
      <c r="G421" s="47" t="inlineStr">
        <is>
          <t>LTE</t>
        </is>
      </c>
      <c r="H421" s="48" t="n">
        <v>40700</v>
      </c>
      <c r="I421" s="48" t="n"/>
      <c r="J421" s="48" t="n"/>
      <c r="K421" s="47">
        <f t="array" ref="K421">_xlfn.XLOOKUP(1,(참조!$B$2:$B$15=E421)*(참조!$D$2:$D$15=C421)*(참조!$E$2:$E$15=D421),참조!$C$2:$C$15,"")</f>
        <v/>
      </c>
    </row>
    <row r="422" hidden="1" s="27">
      <c r="A422" s="47" t="inlineStr">
        <is>
          <t>이야기모바일</t>
        </is>
      </c>
      <c r="B422" s="47" t="inlineStr">
        <is>
          <t>이야기 10GB 100분</t>
        </is>
      </c>
      <c r="C422" s="47" t="inlineStr">
        <is>
          <t>100분</t>
        </is>
      </c>
      <c r="D422" s="47" t="inlineStr">
        <is>
          <t>100건</t>
        </is>
      </c>
      <c r="E422" s="47" t="inlineStr">
        <is>
          <t>월 10GB</t>
        </is>
      </c>
      <c r="F422" s="47" t="inlineStr">
        <is>
          <t>LG U+</t>
        </is>
      </c>
      <c r="G422" s="47" t="inlineStr">
        <is>
          <t>LTE</t>
        </is>
      </c>
      <c r="H422" s="48" t="n">
        <v>10</v>
      </c>
      <c r="I422" s="48" t="n">
        <v>6</v>
      </c>
      <c r="J422" s="48" t="n">
        <v>9900</v>
      </c>
      <c r="K422" s="47">
        <f t="array" ref="K422">_xlfn.XLOOKUP(1,(참조!$B$2:$B$15=E422)*(참조!$D$2:$D$15=C422)*(참조!$E$2:$E$15=D422),참조!$C$2:$C$15,"")</f>
        <v/>
      </c>
    </row>
    <row r="423" hidden="1" s="27">
      <c r="A423" s="47" t="inlineStr">
        <is>
          <t>KT스카이라이프</t>
        </is>
      </c>
      <c r="B423" s="47" t="inlineStr">
        <is>
          <t>모두 충분 7GB+(밀리의서재)</t>
        </is>
      </c>
      <c r="C423" s="47" t="inlineStr">
        <is>
          <t>무제한</t>
        </is>
      </c>
      <c r="D423" s="47" t="inlineStr">
        <is>
          <t>무제한</t>
        </is>
      </c>
      <c r="E423" s="47" t="inlineStr">
        <is>
          <t>월 7GB + 1Mbps</t>
        </is>
      </c>
      <c r="F423" s="47" t="inlineStr">
        <is>
          <t>KT</t>
        </is>
      </c>
      <c r="G423" s="47" t="inlineStr">
        <is>
          <t>LTE</t>
        </is>
      </c>
      <c r="H423" s="48" t="n">
        <v>16800</v>
      </c>
      <c r="I423" s="48" t="n"/>
      <c r="J423" s="48" t="n"/>
      <c r="K423" s="47">
        <f t="array" ref="K423">_xlfn.XLOOKUP(1,(참조!$B$2:$B$15=E423)*(참조!$D$2:$D$15=C423)*(참조!$E$2:$E$15=D423),참조!$C$2:$C$15,"")</f>
        <v/>
      </c>
    </row>
    <row r="424" hidden="1" s="27">
      <c r="A424" s="47" t="inlineStr">
        <is>
          <t>고고모바일</t>
        </is>
      </c>
      <c r="B424" s="47" t="inlineStr">
        <is>
          <t>고고 LTE 11GB+매일2GB+3M_모요</t>
        </is>
      </c>
      <c r="C424" s="47" t="inlineStr">
        <is>
          <t>무제한</t>
        </is>
      </c>
      <c r="D424" s="47" t="inlineStr">
        <is>
          <t>무제한</t>
        </is>
      </c>
      <c r="E424" s="47" t="inlineStr">
        <is>
          <t>월 11GB + 매일 2GB + 3Mbps</t>
        </is>
      </c>
      <c r="F424" s="47" t="inlineStr">
        <is>
          <t>SKT</t>
        </is>
      </c>
      <c r="G424" s="47" t="inlineStr">
        <is>
          <t>LTE</t>
        </is>
      </c>
      <c r="H424" s="48" t="n">
        <v>12000</v>
      </c>
      <c r="I424" s="48" t="n">
        <v>7</v>
      </c>
      <c r="J424" s="48" t="n">
        <v>38500</v>
      </c>
      <c r="K424" s="47">
        <f t="array" ref="K424">_xlfn.XLOOKUP(1,(참조!$B$2:$B$15=E424)*(참조!$D$2:$D$15=C424)*(참조!$E$2:$E$15=D424),참조!$C$2:$C$15,"")</f>
        <v/>
      </c>
    </row>
    <row r="425" hidden="1" s="27">
      <c r="A425" s="47" t="inlineStr">
        <is>
          <t>이야기모바일</t>
        </is>
      </c>
      <c r="B425" s="47" t="inlineStr">
        <is>
          <t>이야기 완전 무제한 11GB+</t>
        </is>
      </c>
      <c r="C425" s="47" t="inlineStr">
        <is>
          <t>무제한</t>
        </is>
      </c>
      <c r="D425" s="47" t="inlineStr">
        <is>
          <t>무제한</t>
        </is>
      </c>
      <c r="E425" s="47" t="inlineStr">
        <is>
          <t>월 11GB + 매일 2GB + 3Mbps</t>
        </is>
      </c>
      <c r="F425" s="47" t="inlineStr">
        <is>
          <t>SKT</t>
        </is>
      </c>
      <c r="G425" s="47" t="inlineStr">
        <is>
          <t>LTE</t>
        </is>
      </c>
      <c r="H425" s="48" t="n">
        <v>27500</v>
      </c>
      <c r="I425" s="48" t="n">
        <v>12</v>
      </c>
      <c r="J425" s="48" t="n">
        <v>39600</v>
      </c>
      <c r="K425" s="47">
        <f t="array" ref="K425">_xlfn.XLOOKUP(1,(참조!$B$2:$B$15=E425)*(참조!$D$2:$D$15=C425)*(참조!$E$2:$E$15=D425),참조!$C$2:$C$15,"")</f>
        <v/>
      </c>
    </row>
    <row r="426" hidden="1" s="27">
      <c r="A426" s="47" t="inlineStr">
        <is>
          <t>인스모바일</t>
        </is>
      </c>
      <c r="B426" s="47" t="inlineStr">
        <is>
          <t>데이터 안심 5GB+(USIM)</t>
        </is>
      </c>
      <c r="C426" s="47" t="inlineStr">
        <is>
          <t>200분</t>
        </is>
      </c>
      <c r="D426" s="47" t="inlineStr">
        <is>
          <t>100건</t>
        </is>
      </c>
      <c r="E426" s="47" t="inlineStr">
        <is>
          <t>월 5GB + 1Mbps</t>
        </is>
      </c>
      <c r="F426" s="47" t="inlineStr">
        <is>
          <t>LG U+</t>
        </is>
      </c>
      <c r="G426" s="47" t="inlineStr">
        <is>
          <t>LTE</t>
        </is>
      </c>
      <c r="H426" s="48" t="n">
        <v>10</v>
      </c>
      <c r="I426" s="48" t="n">
        <v>6</v>
      </c>
      <c r="J426" s="48" t="n">
        <v>25300</v>
      </c>
      <c r="K426" s="47">
        <f t="array" ref="K426">_xlfn.XLOOKUP(1,(참조!$B$2:$B$15=E426)*(참조!$D$2:$D$15=C426)*(참조!$E$2:$E$15=D426),참조!$C$2:$C$15,"")</f>
        <v/>
      </c>
    </row>
    <row r="427" hidden="1" s="27">
      <c r="A427" s="47" t="inlineStr">
        <is>
          <t>고고모바일</t>
        </is>
      </c>
      <c r="B427" s="47" t="inlineStr">
        <is>
          <t>[모요only] LTE 무제한 11GB+3M(밀리의서재 Free)</t>
        </is>
      </c>
      <c r="C427" s="47" t="inlineStr">
        <is>
          <t>무제한</t>
        </is>
      </c>
      <c r="D427" s="47" t="inlineStr">
        <is>
          <t>무제한</t>
        </is>
      </c>
      <c r="E427" s="47" t="inlineStr">
        <is>
          <t>월 11GB + 매일 2GB + 3Mbps</t>
        </is>
      </c>
      <c r="F427" s="47" t="inlineStr">
        <is>
          <t>KT</t>
        </is>
      </c>
      <c r="G427" s="47" t="inlineStr">
        <is>
          <t>LTE</t>
        </is>
      </c>
      <c r="H427" s="48" t="n">
        <v>14000</v>
      </c>
      <c r="I427" s="48" t="n">
        <v>7</v>
      </c>
      <c r="J427" s="48" t="n">
        <v>38500</v>
      </c>
      <c r="K427" s="47">
        <f t="array" ref="K427">_xlfn.XLOOKUP(1,(참조!$B$2:$B$15=E427)*(참조!$D$2:$D$15=C427)*(참조!$E$2:$E$15=D427),참조!$C$2:$C$15,"")</f>
        <v/>
      </c>
    </row>
    <row r="428" hidden="1" s="27">
      <c r="A428" s="47" t="inlineStr">
        <is>
          <t>티플러스</t>
        </is>
      </c>
      <c r="B428" s="47" t="inlineStr">
        <is>
          <t>티플 위드유 11GB＋(G car)</t>
        </is>
      </c>
      <c r="C428" s="47" t="inlineStr">
        <is>
          <t>무제한</t>
        </is>
      </c>
      <c r="D428" s="47" t="inlineStr">
        <is>
          <t>무제한</t>
        </is>
      </c>
      <c r="E428" s="47" t="inlineStr">
        <is>
          <t>월 11GB + 매일 2GB + 3Mbps</t>
        </is>
      </c>
      <c r="F428" s="47" t="inlineStr">
        <is>
          <t>SKT</t>
        </is>
      </c>
      <c r="G428" s="47" t="inlineStr">
        <is>
          <t>LTE</t>
        </is>
      </c>
      <c r="H428" s="48" t="n">
        <v>7900</v>
      </c>
      <c r="I428" s="48" t="n">
        <v>7</v>
      </c>
      <c r="J428" s="48" t="n">
        <v>39600</v>
      </c>
      <c r="K428" s="47">
        <f t="array" ref="K428">_xlfn.XLOOKUP(1,(참조!$B$2:$B$15=E428)*(참조!$D$2:$D$15=C428)*(참조!$E$2:$E$15=D428),참조!$C$2:$C$15,"")</f>
        <v/>
      </c>
    </row>
    <row r="429" hidden="1" s="27">
      <c r="A429" s="47" t="inlineStr">
        <is>
          <t>티플러스</t>
        </is>
      </c>
      <c r="B429" s="47" t="inlineStr">
        <is>
          <t>티플 5GB(5GB/300분)</t>
        </is>
      </c>
      <c r="C429" s="47" t="inlineStr">
        <is>
          <t>300분</t>
        </is>
      </c>
      <c r="D429" s="47" t="inlineStr">
        <is>
          <t>100건</t>
        </is>
      </c>
      <c r="E429" s="47" t="inlineStr">
        <is>
          <t>월 5GB</t>
        </is>
      </c>
      <c r="F429" s="47" t="inlineStr">
        <is>
          <t>SKT</t>
        </is>
      </c>
      <c r="G429" s="47" t="inlineStr">
        <is>
          <t>LTE</t>
        </is>
      </c>
      <c r="H429" s="48" t="n">
        <v>10</v>
      </c>
      <c r="I429" s="48" t="n">
        <v>12</v>
      </c>
      <c r="J429" s="48" t="n">
        <v>11000</v>
      </c>
      <c r="K429" s="47">
        <f t="array" ref="K429">_xlfn.XLOOKUP(1,(참조!$B$2:$B$15=E429)*(참조!$D$2:$D$15=C429)*(참조!$E$2:$E$15=D429),참조!$C$2:$C$15,"")</f>
        <v/>
      </c>
    </row>
    <row r="430" hidden="1" s="27">
      <c r="A430" s="47" t="inlineStr">
        <is>
          <t>더원모바일</t>
        </is>
      </c>
      <c r="B430" s="47" t="inlineStr">
        <is>
          <t>TOP 10GB 기본 (네이버페이)</t>
        </is>
      </c>
      <c r="C430" s="47" t="inlineStr">
        <is>
          <t>무제한</t>
        </is>
      </c>
      <c r="D430" s="47" t="inlineStr">
        <is>
          <t>무제한</t>
        </is>
      </c>
      <c r="E430" s="47" t="inlineStr">
        <is>
          <t>월 10GB + 1Mbps</t>
        </is>
      </c>
      <c r="F430" s="47" t="inlineStr">
        <is>
          <t>KT</t>
        </is>
      </c>
      <c r="G430" s="47" t="inlineStr">
        <is>
          <t>LTE</t>
        </is>
      </c>
      <c r="H430" s="48" t="n">
        <v>9900</v>
      </c>
      <c r="I430" s="48" t="n">
        <v>12</v>
      </c>
      <c r="J430" s="48" t="n">
        <v>28600</v>
      </c>
      <c r="K430" s="47">
        <f t="array" ref="K430">_xlfn.XLOOKUP(1,(참조!$B$2:$B$15=E430)*(참조!$D$2:$D$15=C430)*(참조!$E$2:$E$15=D430),참조!$C$2:$C$15,"")</f>
        <v/>
      </c>
    </row>
    <row r="431" hidden="1" s="27">
      <c r="A431" s="47" t="inlineStr">
        <is>
          <t>고고모바일</t>
        </is>
      </c>
      <c r="B431" s="47" t="inlineStr">
        <is>
          <t>5G200분/7GB</t>
        </is>
      </c>
      <c r="C431" s="47" t="inlineStr">
        <is>
          <t>200분</t>
        </is>
      </c>
      <c r="D431" s="47" t="inlineStr">
        <is>
          <t>100건</t>
        </is>
      </c>
      <c r="E431" s="47" t="inlineStr">
        <is>
          <t>월 7GB</t>
        </is>
      </c>
      <c r="F431" s="47" t="inlineStr">
        <is>
          <t>KT</t>
        </is>
      </c>
      <c r="G431" s="47" t="inlineStr">
        <is>
          <t>5G</t>
        </is>
      </c>
      <c r="H431" s="48" t="n">
        <v>13420</v>
      </c>
      <c r="I431" s="48" t="n"/>
      <c r="J431" s="48" t="n"/>
      <c r="K431" s="47">
        <f t="array" ref="K431">_xlfn.XLOOKUP(1,(참조!$B$2:$B$15=E431)*(참조!$D$2:$D$15=C431)*(참조!$E$2:$E$15=D431),참조!$C$2:$C$15,"")</f>
        <v/>
      </c>
    </row>
    <row r="432" hidden="1" s="27">
      <c r="A432" s="47" t="inlineStr">
        <is>
          <t>KT엠모바일</t>
        </is>
      </c>
      <c r="B432" s="47" t="inlineStr">
        <is>
          <t>모두다 맘껏 안심 4.5GB+</t>
        </is>
      </c>
      <c r="C432" s="47" t="inlineStr">
        <is>
          <t>무제한</t>
        </is>
      </c>
      <c r="D432" s="47" t="inlineStr">
        <is>
          <t>무제한</t>
        </is>
      </c>
      <c r="E432" s="47" t="inlineStr">
        <is>
          <t>월 4.5GB + 400Kbps</t>
        </is>
      </c>
      <c r="F432" s="47" t="inlineStr">
        <is>
          <t>KT</t>
        </is>
      </c>
      <c r="G432" s="47" t="inlineStr">
        <is>
          <t>LTE</t>
        </is>
      </c>
      <c r="H432" s="48" t="n">
        <v>7400</v>
      </c>
      <c r="I432" s="48" t="n"/>
      <c r="J432" s="48" t="n"/>
      <c r="K432" s="47">
        <f t="array" ref="K432">_xlfn.XLOOKUP(1,(참조!$B$2:$B$15=E432)*(참조!$D$2:$D$15=C432)*(참조!$E$2:$E$15=D432),참조!$C$2:$C$15,"")</f>
        <v/>
      </c>
    </row>
    <row r="433" hidden="1" s="27">
      <c r="A433" s="47" t="inlineStr">
        <is>
          <t>고고모바일</t>
        </is>
      </c>
      <c r="B433" s="47" t="inlineStr">
        <is>
          <t>[모요only] LTE 200분/ 10GB_12개월</t>
        </is>
      </c>
      <c r="C433" s="47" t="inlineStr">
        <is>
          <t>200분</t>
        </is>
      </c>
      <c r="D433" s="47" t="inlineStr">
        <is>
          <t>100건</t>
        </is>
      </c>
      <c r="E433" s="47" t="inlineStr">
        <is>
          <t>월 10GB</t>
        </is>
      </c>
      <c r="F433" s="47" t="inlineStr">
        <is>
          <t>KT</t>
        </is>
      </c>
      <c r="G433" s="47" t="inlineStr">
        <is>
          <t>LTE</t>
        </is>
      </c>
      <c r="H433" s="48" t="n">
        <v>4400</v>
      </c>
      <c r="I433" s="48" t="n">
        <v>12</v>
      </c>
      <c r="J433" s="48" t="n">
        <v>18480</v>
      </c>
      <c r="K433" s="47">
        <f t="array" ref="K433">_xlfn.XLOOKUP(1,(참조!$B$2:$B$15=E433)*(참조!$D$2:$D$15=C433)*(참조!$E$2:$E$15=D433),참조!$C$2:$C$15,"")</f>
        <v/>
      </c>
    </row>
    <row r="434" hidden="1" s="27">
      <c r="A434" s="47" t="inlineStr">
        <is>
          <t>티플러스</t>
        </is>
      </c>
      <c r="B434" s="47" t="inlineStr">
        <is>
          <t>가성비플러스(10GB/350분)</t>
        </is>
      </c>
      <c r="C434" s="47" t="inlineStr">
        <is>
          <t>350분</t>
        </is>
      </c>
      <c r="D434" s="47" t="inlineStr">
        <is>
          <t>100건</t>
        </is>
      </c>
      <c r="E434" s="47" t="inlineStr">
        <is>
          <t>월 10GB</t>
        </is>
      </c>
      <c r="F434" s="47" t="inlineStr">
        <is>
          <t>LG U+</t>
        </is>
      </c>
      <c r="G434" s="47" t="inlineStr">
        <is>
          <t>LTE</t>
        </is>
      </c>
      <c r="H434" s="48" t="n">
        <v>10</v>
      </c>
      <c r="I434" s="48" t="n">
        <v>6</v>
      </c>
      <c r="J434" s="48" t="n">
        <v>15400</v>
      </c>
      <c r="K434" s="47">
        <f t="array" ref="K434">_xlfn.XLOOKUP(1,(참조!$B$2:$B$15=E434)*(참조!$D$2:$D$15=C434)*(참조!$E$2:$E$15=D434),참조!$C$2:$C$15,"")</f>
        <v/>
      </c>
    </row>
    <row r="435" hidden="1" s="27">
      <c r="A435" s="47" t="inlineStr">
        <is>
          <t>슈가모바일</t>
        </is>
      </c>
      <c r="B435" s="47" t="inlineStr">
        <is>
          <t>슈가칩 100GB++</t>
        </is>
      </c>
      <c r="C435" s="47" t="inlineStr">
        <is>
          <t>무제한</t>
        </is>
      </c>
      <c r="D435" s="47" t="inlineStr">
        <is>
          <t>무제한</t>
        </is>
      </c>
      <c r="E435" s="47" t="inlineStr">
        <is>
          <t>월 100GB + 5Mbps</t>
        </is>
      </c>
      <c r="F435" s="47" t="inlineStr">
        <is>
          <t>LG U+</t>
        </is>
      </c>
      <c r="G435" s="47" t="inlineStr">
        <is>
          <t>LTE</t>
        </is>
      </c>
      <c r="H435" s="48" t="n">
        <v>14000</v>
      </c>
      <c r="I435" s="48" t="n">
        <v>7</v>
      </c>
      <c r="J435" s="48" t="n">
        <v>49000</v>
      </c>
      <c r="K435" s="47">
        <f t="array" ref="K435">_xlfn.XLOOKUP(1,(참조!$B$2:$B$15=E435)*(참조!$D$2:$D$15=C435)*(참조!$E$2:$E$15=D435),참조!$C$2:$C$15,"")</f>
        <v/>
      </c>
    </row>
    <row r="436" hidden="1" s="27">
      <c r="A436" s="47" t="inlineStr">
        <is>
          <t>티플러스</t>
        </is>
      </c>
      <c r="B436" s="47" t="inlineStr">
        <is>
          <t>5G 티플 125GB+_24개월프로모션</t>
        </is>
      </c>
      <c r="C436" s="47" t="inlineStr">
        <is>
          <t>무제한</t>
        </is>
      </c>
      <c r="D436" s="47" t="inlineStr">
        <is>
          <t>무제한</t>
        </is>
      </c>
      <c r="E436" s="47" t="inlineStr">
        <is>
          <t>월 125GB + 5Mbps</t>
        </is>
      </c>
      <c r="F436" s="47" t="inlineStr">
        <is>
          <t>LG U+</t>
        </is>
      </c>
      <c r="G436" s="47" t="inlineStr">
        <is>
          <t>5G</t>
        </is>
      </c>
      <c r="H436" s="48" t="n">
        <v>27900</v>
      </c>
      <c r="I436" s="48" t="n">
        <v>24</v>
      </c>
      <c r="J436" s="48" t="n">
        <v>52800</v>
      </c>
      <c r="K436" s="47">
        <f t="array" ref="K436">_xlfn.XLOOKUP(1,(참조!$B$2:$B$15=E436)*(참조!$D$2:$D$15=C436)*(참조!$E$2:$E$15=D436),참조!$C$2:$C$15,"")</f>
        <v/>
      </c>
    </row>
    <row r="437" hidden="1" s="27">
      <c r="A437" s="47" t="inlineStr">
        <is>
          <t>티플러스</t>
        </is>
      </c>
      <c r="B437" s="47" t="inlineStr">
        <is>
          <t>5G 티플 95GB+</t>
        </is>
      </c>
      <c r="C437" s="47" t="inlineStr">
        <is>
          <t>무제한</t>
        </is>
      </c>
      <c r="D437" s="47" t="inlineStr">
        <is>
          <t>무제한</t>
        </is>
      </c>
      <c r="E437" s="47" t="inlineStr">
        <is>
          <t>월 95GB + 3Mbps</t>
        </is>
      </c>
      <c r="F437" s="47" t="inlineStr">
        <is>
          <t>LG U+</t>
        </is>
      </c>
      <c r="G437" s="47" t="inlineStr">
        <is>
          <t>5G</t>
        </is>
      </c>
      <c r="H437" s="48" t="n">
        <v>7900</v>
      </c>
      <c r="I437" s="48" t="n">
        <v>7</v>
      </c>
      <c r="J437" s="48" t="n">
        <v>50600</v>
      </c>
      <c r="K437" s="47">
        <f t="array" ref="K437">_xlfn.XLOOKUP(1,(참조!$B$2:$B$15=E437)*(참조!$D$2:$D$15=C437)*(참조!$E$2:$E$15=D437),참조!$C$2:$C$15,"")</f>
        <v/>
      </c>
    </row>
    <row r="438" hidden="1" s="27">
      <c r="A438" s="47" t="inlineStr">
        <is>
          <t>KG모바일</t>
        </is>
      </c>
      <c r="B438" s="47" t="inlineStr">
        <is>
          <t>[KG모바일 스페셜2] 통화, 데이터 마음대로 100GB+</t>
        </is>
      </c>
      <c r="C438" s="47" t="inlineStr">
        <is>
          <t>무제한</t>
        </is>
      </c>
      <c r="D438" s="47" t="inlineStr">
        <is>
          <t>무제한</t>
        </is>
      </c>
      <c r="E438" s="47" t="inlineStr">
        <is>
          <t>월 100GB + 5Mbps</t>
        </is>
      </c>
      <c r="F438" s="47" t="inlineStr">
        <is>
          <t>LG U+</t>
        </is>
      </c>
      <c r="G438" s="47" t="inlineStr">
        <is>
          <t>LTE</t>
        </is>
      </c>
      <c r="H438" s="48" t="n">
        <v>9900</v>
      </c>
      <c r="I438" s="48" t="n">
        <v>7</v>
      </c>
      <c r="J438" s="48" t="n">
        <v>47300</v>
      </c>
      <c r="K438" s="47">
        <f t="array" ref="K438">_xlfn.XLOOKUP(1,(참조!$B$2:$B$15=E438)*(참조!$D$2:$D$15=C438)*(참조!$E$2:$E$15=D438),참조!$C$2:$C$15,"")</f>
        <v/>
      </c>
    </row>
    <row r="439" hidden="1" s="27">
      <c r="A439" s="47" t="inlineStr">
        <is>
          <t>슈가모바일</t>
        </is>
      </c>
      <c r="B439" s="47" t="inlineStr">
        <is>
          <t>Sugar 실속(300분/15GB)</t>
        </is>
      </c>
      <c r="C439" s="47" t="inlineStr">
        <is>
          <t>300분</t>
        </is>
      </c>
      <c r="D439" s="47" t="inlineStr">
        <is>
          <t>200건</t>
        </is>
      </c>
      <c r="E439" s="47" t="inlineStr">
        <is>
          <t>월 15GB</t>
        </is>
      </c>
      <c r="F439" s="47" t="inlineStr">
        <is>
          <t>LG U+</t>
        </is>
      </c>
      <c r="G439" s="47" t="inlineStr">
        <is>
          <t>LTE</t>
        </is>
      </c>
      <c r="H439" s="48" t="n">
        <v>1100</v>
      </c>
      <c r="I439" s="48" t="n">
        <v>6</v>
      </c>
      <c r="J439" s="48" t="n">
        <v>22990</v>
      </c>
      <c r="K439" s="47">
        <f t="array" ref="K439">_xlfn.XLOOKUP(1,(참조!$B$2:$B$15=E439)*(참조!$D$2:$D$15=C439)*(참조!$E$2:$E$15=D439),참조!$C$2:$C$15,"")</f>
        <v/>
      </c>
    </row>
    <row r="440" hidden="1" s="27">
      <c r="A440" s="47" t="inlineStr">
        <is>
          <t>티플러스</t>
        </is>
      </c>
      <c r="B440" s="47" t="inlineStr">
        <is>
          <t>5G 가성비플러스(5GB/350분)_평생요금</t>
        </is>
      </c>
      <c r="C440" s="47" t="inlineStr">
        <is>
          <t>350분</t>
        </is>
      </c>
      <c r="D440" s="47" t="inlineStr">
        <is>
          <t>100건</t>
        </is>
      </c>
      <c r="E440" s="47" t="inlineStr">
        <is>
          <t>월 5GB</t>
        </is>
      </c>
      <c r="F440" s="47" t="inlineStr">
        <is>
          <t>LG U+</t>
        </is>
      </c>
      <c r="G440" s="47" t="inlineStr">
        <is>
          <t>5G</t>
        </is>
      </c>
      <c r="H440" s="48" t="n">
        <v>1900</v>
      </c>
      <c r="I440" s="48" t="n"/>
      <c r="J440" s="48" t="n"/>
      <c r="K440" s="47">
        <f t="array" ref="K440">_xlfn.XLOOKUP(1,(참조!$B$2:$B$15=E440)*(참조!$D$2:$D$15=C440)*(참조!$E$2:$E$15=D440),참조!$C$2:$C$15,"")</f>
        <v/>
      </c>
    </row>
    <row r="441" hidden="1" s="27">
      <c r="A441" s="47" t="inlineStr">
        <is>
          <t>시월모바일</t>
        </is>
      </c>
      <c r="B441" s="47" t="inlineStr">
        <is>
          <t>시월 무제한 100GB+5Mbps</t>
        </is>
      </c>
      <c r="C441" s="47" t="inlineStr">
        <is>
          <t>무제한</t>
        </is>
      </c>
      <c r="D441" s="47" t="inlineStr">
        <is>
          <t>무제한</t>
        </is>
      </c>
      <c r="E441" s="47" t="inlineStr">
        <is>
          <t>월 100GB + 5Mbps</t>
        </is>
      </c>
      <c r="F441" s="47" t="inlineStr">
        <is>
          <t>LG U+</t>
        </is>
      </c>
      <c r="G441" s="47" t="inlineStr">
        <is>
          <t>LTE</t>
        </is>
      </c>
      <c r="H441" s="48" t="n">
        <v>14310</v>
      </c>
      <c r="I441" s="48" t="n">
        <v>7</v>
      </c>
      <c r="J441" s="48" t="n">
        <v>46210</v>
      </c>
      <c r="K441" s="47">
        <f t="array" ref="K441">_xlfn.XLOOKUP(1,(참조!$B$2:$B$15=E441)*(참조!$D$2:$D$15=C441)*(참조!$E$2:$E$15=D441),참조!$C$2:$C$15,"")</f>
        <v/>
      </c>
    </row>
    <row r="442" hidden="1" s="27">
      <c r="A442" s="47" t="inlineStr">
        <is>
          <t>마블링</t>
        </is>
      </c>
      <c r="B442" s="47" t="inlineStr">
        <is>
          <t>[모요only] 마블링 100분 15GB+</t>
        </is>
      </c>
      <c r="C442" s="47" t="inlineStr">
        <is>
          <t>100분</t>
        </is>
      </c>
      <c r="D442" s="47" t="inlineStr">
        <is>
          <t>100건</t>
        </is>
      </c>
      <c r="E442" s="47" t="inlineStr">
        <is>
          <t>월 15GB + 3Mbps</t>
        </is>
      </c>
      <c r="F442" s="47" t="inlineStr">
        <is>
          <t>LG U+</t>
        </is>
      </c>
      <c r="G442" s="47" t="inlineStr">
        <is>
          <t>LTE</t>
        </is>
      </c>
      <c r="H442" s="48" t="n">
        <v>17600</v>
      </c>
      <c r="I442" s="48" t="n">
        <v>12</v>
      </c>
      <c r="J442" s="48" t="n">
        <v>32890</v>
      </c>
      <c r="K442" s="47">
        <f t="array" ref="K442">_xlfn.XLOOKUP(1,(참조!$B$2:$B$15=E442)*(참조!$D$2:$D$15=C442)*(참조!$E$2:$E$15=D442),참조!$C$2:$C$15,"")</f>
        <v/>
      </c>
    </row>
    <row r="443" hidden="1" s="27">
      <c r="A443" s="47" t="inlineStr">
        <is>
          <t>고고모바일</t>
        </is>
      </c>
      <c r="B443" s="47" t="inlineStr">
        <is>
          <t>LTE 300분/15GB_모요</t>
        </is>
      </c>
      <c r="C443" s="47" t="inlineStr">
        <is>
          <t>300분</t>
        </is>
      </c>
      <c r="D443" s="47" t="inlineStr">
        <is>
          <t>100건</t>
        </is>
      </c>
      <c r="E443" s="47" t="inlineStr">
        <is>
          <t>월 15GB</t>
        </is>
      </c>
      <c r="F443" s="47" t="inlineStr">
        <is>
          <t>SKT</t>
        </is>
      </c>
      <c r="G443" s="47" t="inlineStr">
        <is>
          <t>LTE</t>
        </is>
      </c>
      <c r="H443" s="48" t="n">
        <v>2200</v>
      </c>
      <c r="I443" s="48" t="n">
        <v>7</v>
      </c>
      <c r="J443" s="48" t="n">
        <v>21230</v>
      </c>
      <c r="K443" s="47">
        <f t="array" ref="K443">_xlfn.XLOOKUP(1,(참조!$B$2:$B$15=E443)*(참조!$D$2:$D$15=C443)*(참조!$E$2:$E$15=D443),참조!$C$2:$C$15,"")</f>
        <v/>
      </c>
    </row>
    <row r="444" hidden="1" s="27">
      <c r="A444" s="47" t="inlineStr">
        <is>
          <t>티플러스</t>
        </is>
      </c>
      <c r="B444" s="47" t="inlineStr">
        <is>
          <t>티플 15GB(15GB/300분)_평생요금</t>
        </is>
      </c>
      <c r="C444" s="47" t="inlineStr">
        <is>
          <t>300분</t>
        </is>
      </c>
      <c r="D444" s="47" t="inlineStr">
        <is>
          <t>100건</t>
        </is>
      </c>
      <c r="E444" s="47" t="inlineStr">
        <is>
          <t>월 15GB</t>
        </is>
      </c>
      <c r="F444" s="47" t="inlineStr">
        <is>
          <t>SKT</t>
        </is>
      </c>
      <c r="G444" s="47" t="inlineStr">
        <is>
          <t>LTE</t>
        </is>
      </c>
      <c r="H444" s="48" t="n">
        <v>7500</v>
      </c>
      <c r="I444" s="48" t="n"/>
      <c r="J444" s="48" t="n"/>
      <c r="K444" s="47">
        <f t="array" ref="K444">_xlfn.XLOOKUP(1,(참조!$B$2:$B$15=E444)*(참조!$D$2:$D$15=C444)*(참조!$E$2:$E$15=D444),참조!$C$2:$C$15,"")</f>
        <v/>
      </c>
    </row>
    <row r="445" hidden="1" s="27">
      <c r="A445" s="47" t="inlineStr">
        <is>
          <t>슈가모바일</t>
        </is>
      </c>
      <c r="B445" s="47" t="inlineStr">
        <is>
          <t>5G 슈가X윌라 125G+</t>
        </is>
      </c>
      <c r="C445" s="47" t="inlineStr">
        <is>
          <t>무제한</t>
        </is>
      </c>
      <c r="D445" s="47" t="inlineStr">
        <is>
          <t>무제한</t>
        </is>
      </c>
      <c r="E445" s="47" t="inlineStr">
        <is>
          <t>월 125GB + 5Mbps</t>
        </is>
      </c>
      <c r="F445" s="47" t="inlineStr">
        <is>
          <t>LG U+</t>
        </is>
      </c>
      <c r="G445" s="47" t="inlineStr">
        <is>
          <t>5G</t>
        </is>
      </c>
      <c r="H445" s="48" t="n">
        <v>26500</v>
      </c>
      <c r="I445" s="48" t="n">
        <v>24</v>
      </c>
      <c r="J445" s="48" t="n">
        <v>53000</v>
      </c>
      <c r="K445" s="47">
        <f t="array" ref="K445">_xlfn.XLOOKUP(1,(참조!$B$2:$B$15=E445)*(참조!$D$2:$D$15=C445)*(참조!$E$2:$E$15=D445),참조!$C$2:$C$15,"")</f>
        <v/>
      </c>
    </row>
    <row r="446" hidden="1" s="27">
      <c r="A446" s="47" t="inlineStr">
        <is>
          <t>티플러스</t>
        </is>
      </c>
      <c r="B446" s="47" t="inlineStr">
        <is>
          <t>The 완전마음껏11G+(카톡 이모티콘+예스24e북)</t>
        </is>
      </c>
      <c r="C446" s="47" t="inlineStr">
        <is>
          <t>무제한</t>
        </is>
      </c>
      <c r="D446" s="47" t="inlineStr">
        <is>
          <t>무제한</t>
        </is>
      </c>
      <c r="E446" s="47" t="inlineStr">
        <is>
          <t>월 11GB + 매일 2GB + 3Mbps</t>
        </is>
      </c>
      <c r="F446" s="47" t="inlineStr">
        <is>
          <t>LG U+</t>
        </is>
      </c>
      <c r="G446" s="47" t="inlineStr">
        <is>
          <t>LTE</t>
        </is>
      </c>
      <c r="H446" s="48" t="n">
        <v>27900</v>
      </c>
      <c r="I446" s="48" t="n">
        <v>24</v>
      </c>
      <c r="J446" s="48" t="n">
        <v>39600</v>
      </c>
      <c r="K446" s="47">
        <f t="array" ref="K446">_xlfn.XLOOKUP(1,(참조!$B$2:$B$15=E446)*(참조!$D$2:$D$15=C446)*(참조!$E$2:$E$15=D446),참조!$C$2:$C$15,"")</f>
        <v/>
      </c>
    </row>
    <row r="447" hidden="1" s="27">
      <c r="A447" s="47" t="inlineStr">
        <is>
          <t>고고모바일</t>
        </is>
      </c>
      <c r="B447" s="47" t="inlineStr">
        <is>
          <t>고고 LTE 무제한 100GB+5M_모요</t>
        </is>
      </c>
      <c r="C447" s="47" t="inlineStr">
        <is>
          <t>무제한</t>
        </is>
      </c>
      <c r="D447" s="47" t="inlineStr">
        <is>
          <t>무제한</t>
        </is>
      </c>
      <c r="E447" s="47" t="inlineStr">
        <is>
          <t>월 100GB + 5Mbps</t>
        </is>
      </c>
      <c r="F447" s="47" t="inlineStr">
        <is>
          <t>SKT</t>
        </is>
      </c>
      <c r="G447" s="47" t="inlineStr">
        <is>
          <t>LTE</t>
        </is>
      </c>
      <c r="H447" s="48" t="n">
        <v>15000</v>
      </c>
      <c r="I447" s="48" t="n">
        <v>7</v>
      </c>
      <c r="J447" s="48" t="n">
        <v>47300</v>
      </c>
      <c r="K447" s="47">
        <f t="array" ref="K447">_xlfn.XLOOKUP(1,(참조!$B$2:$B$15=E447)*(참조!$D$2:$D$15=C447)*(참조!$E$2:$E$15=D447),참조!$C$2:$C$15,"")</f>
        <v/>
      </c>
    </row>
    <row r="448" hidden="1" s="27">
      <c r="A448" s="47" t="inlineStr">
        <is>
          <t>이야기모바일</t>
        </is>
      </c>
      <c r="B448" s="47" t="inlineStr">
        <is>
          <t>이야기 스탠다드 11GB+(24개월)</t>
        </is>
      </c>
      <c r="C448" s="47" t="inlineStr">
        <is>
          <t>무제한</t>
        </is>
      </c>
      <c r="D448" s="47" t="inlineStr">
        <is>
          <t>무제한</t>
        </is>
      </c>
      <c r="E448" s="47" t="inlineStr">
        <is>
          <t>월 11GB + 매일 2GB + 3Mbps</t>
        </is>
      </c>
      <c r="F448" s="47" t="inlineStr">
        <is>
          <t>LG U+</t>
        </is>
      </c>
      <c r="G448" s="47" t="inlineStr">
        <is>
          <t>LTE</t>
        </is>
      </c>
      <c r="H448" s="48" t="n">
        <v>26950</v>
      </c>
      <c r="I448" s="48" t="n">
        <v>24</v>
      </c>
      <c r="J448" s="48" t="n">
        <v>39600</v>
      </c>
      <c r="K448" s="47">
        <f t="array" ref="K448">_xlfn.XLOOKUP(1,(참조!$B$2:$B$15=E448)*(참조!$D$2:$D$15=C448)*(참조!$E$2:$E$15=D448),참조!$C$2:$C$15,"")</f>
        <v/>
      </c>
    </row>
    <row r="449" hidden="1" s="27">
      <c r="A449" s="47" t="inlineStr">
        <is>
          <t>찬스모바일</t>
        </is>
      </c>
      <c r="B449" s="47" t="inlineStr">
        <is>
          <t>[CHM] 5G 음성기본 150GB+5Mbps</t>
        </is>
      </c>
      <c r="C449" s="47" t="inlineStr">
        <is>
          <t>무제한</t>
        </is>
      </c>
      <c r="D449" s="47" t="inlineStr">
        <is>
          <t>무제한</t>
        </is>
      </c>
      <c r="E449" s="47" t="inlineStr">
        <is>
          <t>월 150GB + 5Mbps</t>
        </is>
      </c>
      <c r="F449" s="47" t="inlineStr">
        <is>
          <t>LG U+</t>
        </is>
      </c>
      <c r="G449" s="47" t="inlineStr">
        <is>
          <t>5G</t>
        </is>
      </c>
      <c r="H449" s="48" t="n">
        <v>9750</v>
      </c>
      <c r="I449" s="48" t="n">
        <v>7</v>
      </c>
      <c r="J449" s="48" t="n">
        <v>55000</v>
      </c>
      <c r="K449" s="47">
        <f t="array" ref="K449">_xlfn.XLOOKUP(1,(참조!$B$2:$B$15=E449)*(참조!$D$2:$D$15=C449)*(참조!$E$2:$E$15=D449),참조!$C$2:$C$15,"")</f>
        <v/>
      </c>
    </row>
    <row r="450" hidden="1" s="27">
      <c r="A450" s="47" t="inlineStr">
        <is>
          <t>위너스텔</t>
        </is>
      </c>
      <c r="B450" s="47" t="inlineStr">
        <is>
          <t>안심무한330</t>
        </is>
      </c>
      <c r="C450" s="47" t="inlineStr">
        <is>
          <t>100분</t>
        </is>
      </c>
      <c r="D450" s="47" t="inlineStr">
        <is>
          <t>100건</t>
        </is>
      </c>
      <c r="E450" s="47" t="inlineStr">
        <is>
          <t>월 15GB + 3Mbps</t>
        </is>
      </c>
      <c r="F450" s="47" t="inlineStr">
        <is>
          <t>KT</t>
        </is>
      </c>
      <c r="G450" s="47" t="inlineStr">
        <is>
          <t>LTE</t>
        </is>
      </c>
      <c r="H450" s="48" t="n">
        <v>28600</v>
      </c>
      <c r="I450" s="48" t="n"/>
      <c r="J450" s="48" t="n"/>
      <c r="K450" s="47">
        <f t="array" ref="K450">_xlfn.XLOOKUP(1,(참조!$B$2:$B$15=E450)*(참조!$D$2:$D$15=C450)*(참조!$E$2:$E$15=D450),참조!$C$2:$C$15,"")</f>
        <v/>
      </c>
    </row>
    <row r="451" hidden="1" s="27">
      <c r="A451" s="47" t="inlineStr">
        <is>
          <t>더원모바일</t>
        </is>
      </c>
      <c r="B451" s="47" t="inlineStr">
        <is>
          <t>ONE 20GB 300분</t>
        </is>
      </c>
      <c r="C451" s="47" t="inlineStr">
        <is>
          <t>300분</t>
        </is>
      </c>
      <c r="D451" s="47" t="inlineStr">
        <is>
          <t>200건</t>
        </is>
      </c>
      <c r="E451" s="47" t="inlineStr">
        <is>
          <t>월 20GB</t>
        </is>
      </c>
      <c r="F451" s="47" t="inlineStr">
        <is>
          <t>KT</t>
        </is>
      </c>
      <c r="G451" s="47" t="inlineStr">
        <is>
          <t>LTE</t>
        </is>
      </c>
      <c r="H451" s="48" t="n">
        <v>3960</v>
      </c>
      <c r="I451" s="48" t="n">
        <v>6</v>
      </c>
      <c r="J451" s="48" t="n">
        <v>29700</v>
      </c>
      <c r="K451" s="47">
        <f t="array" ref="K451">_xlfn.XLOOKUP(1,(참조!$B$2:$B$15=E451)*(참조!$D$2:$D$15=C451)*(참조!$E$2:$E$15=D451),참조!$C$2:$C$15,"")</f>
        <v/>
      </c>
    </row>
    <row r="452" hidden="1" s="27">
      <c r="A452" s="47" t="inlineStr">
        <is>
          <t>쉐이크모바일</t>
        </is>
      </c>
      <c r="B452" s="47" t="inlineStr">
        <is>
          <t>[모요only] 쉐이크 LTE 100GB+_다이소 매 월 5,000원</t>
        </is>
      </c>
      <c r="C452" s="47" t="inlineStr">
        <is>
          <t>무제한</t>
        </is>
      </c>
      <c r="D452" s="47" t="inlineStr">
        <is>
          <t>무제한</t>
        </is>
      </c>
      <c r="E452" s="47" t="inlineStr">
        <is>
          <t>월 100GB + 5Mbps</t>
        </is>
      </c>
      <c r="F452" s="47" t="inlineStr">
        <is>
          <t>KT</t>
        </is>
      </c>
      <c r="G452" s="47" t="inlineStr">
        <is>
          <t>LTE</t>
        </is>
      </c>
      <c r="H452" s="48" t="n">
        <v>9900</v>
      </c>
      <c r="I452" s="48" t="n">
        <v>7</v>
      </c>
      <c r="J452" s="48" t="n">
        <v>49500</v>
      </c>
      <c r="K452" s="47">
        <f t="array" ref="K452">_xlfn.XLOOKUP(1,(참조!$B$2:$B$15=E452)*(참조!$D$2:$D$15=C452)*(참조!$E$2:$E$15=D452),참조!$C$2:$C$15,"")</f>
        <v/>
      </c>
    </row>
    <row r="453" hidden="1" s="27">
      <c r="A453" s="47" t="inlineStr">
        <is>
          <t>인스모바일</t>
        </is>
      </c>
      <c r="B453" s="47" t="inlineStr">
        <is>
          <t>실속 300분+5GB(USIM)</t>
        </is>
      </c>
      <c r="C453" s="47" t="inlineStr">
        <is>
          <t>300분</t>
        </is>
      </c>
      <c r="D453" s="47" t="inlineStr">
        <is>
          <t>100건</t>
        </is>
      </c>
      <c r="E453" s="47" t="inlineStr">
        <is>
          <t>월 5GB</t>
        </is>
      </c>
      <c r="F453" s="47" t="inlineStr">
        <is>
          <t>LG U+</t>
        </is>
      </c>
      <c r="G453" s="47" t="inlineStr">
        <is>
          <t>LTE</t>
        </is>
      </c>
      <c r="H453" s="48" t="n">
        <v>10</v>
      </c>
      <c r="I453" s="48" t="n">
        <v>6</v>
      </c>
      <c r="J453" s="48" t="n">
        <v>20910</v>
      </c>
      <c r="K453" s="47">
        <f t="array" ref="K453">_xlfn.XLOOKUP(1,(참조!$B$2:$B$15=E453)*(참조!$D$2:$D$15=C453)*(참조!$E$2:$E$15=D453),참조!$C$2:$C$15,"")</f>
        <v/>
      </c>
    </row>
    <row r="454" hidden="1" s="27">
      <c r="A454" s="47" t="inlineStr">
        <is>
          <t>KT엠모바일</t>
        </is>
      </c>
      <c r="B454" s="47" t="inlineStr">
        <is>
          <t>통화 맘껏 2.5GB</t>
        </is>
      </c>
      <c r="C454" s="47" t="inlineStr">
        <is>
          <t>무제한</t>
        </is>
      </c>
      <c r="D454" s="47" t="inlineStr">
        <is>
          <t>무제한</t>
        </is>
      </c>
      <c r="E454" s="47" t="inlineStr">
        <is>
          <t>월 2.5GB</t>
        </is>
      </c>
      <c r="F454" s="47" t="inlineStr">
        <is>
          <t>KT</t>
        </is>
      </c>
      <c r="G454" s="47" t="inlineStr">
        <is>
          <t>LTE</t>
        </is>
      </c>
      <c r="H454" s="48" t="n">
        <v>5400</v>
      </c>
      <c r="I454" s="48" t="n"/>
      <c r="J454" s="48" t="n"/>
      <c r="K454" s="47">
        <f t="array" ref="K454">_xlfn.XLOOKUP(1,(참조!$B$2:$B$15=E454)*(참조!$D$2:$D$15=C454)*(참조!$E$2:$E$15=D454),참조!$C$2:$C$15,"")</f>
        <v/>
      </c>
    </row>
    <row r="455" hidden="1" s="27">
      <c r="A455" s="47" t="inlineStr">
        <is>
          <t>이야기모바일</t>
        </is>
      </c>
      <c r="B455" s="47" t="inlineStr">
        <is>
          <t>5G 함께이야기해S 무한 15GB</t>
        </is>
      </c>
      <c r="C455" s="47" t="inlineStr">
        <is>
          <t>무제한</t>
        </is>
      </c>
      <c r="D455" s="47" t="inlineStr">
        <is>
          <t>무제한</t>
        </is>
      </c>
      <c r="E455" s="47" t="inlineStr">
        <is>
          <t>월 15GB</t>
        </is>
      </c>
      <c r="F455" s="47" t="inlineStr">
        <is>
          <t>SKT</t>
        </is>
      </c>
      <c r="G455" s="47" t="inlineStr">
        <is>
          <t>5G</t>
        </is>
      </c>
      <c r="H455" s="48" t="n">
        <v>18700</v>
      </c>
      <c r="I455" s="48" t="n"/>
      <c r="J455" s="48" t="n"/>
      <c r="K455" s="47">
        <f t="array" ref="K455">_xlfn.XLOOKUP(1,(참조!$B$2:$B$15=E455)*(참조!$D$2:$D$15=C455)*(참조!$E$2:$E$15=D455),참조!$C$2:$C$15,"")</f>
        <v/>
      </c>
    </row>
    <row r="456" hidden="1" s="27">
      <c r="A456" s="47" t="inlineStr">
        <is>
          <t>티플러스</t>
        </is>
      </c>
      <c r="B456" s="47" t="inlineStr">
        <is>
          <t>가성비플러스(20GB/350분)</t>
        </is>
      </c>
      <c r="C456" s="47" t="inlineStr">
        <is>
          <t>350분</t>
        </is>
      </c>
      <c r="D456" s="47" t="inlineStr">
        <is>
          <t>100건</t>
        </is>
      </c>
      <c r="E456" s="47" t="inlineStr">
        <is>
          <t>월 20GB</t>
        </is>
      </c>
      <c r="F456" s="47" t="inlineStr">
        <is>
          <t>SKT</t>
        </is>
      </c>
      <c r="G456" s="47" t="inlineStr">
        <is>
          <t>LTE</t>
        </is>
      </c>
      <c r="H456" s="48" t="n">
        <v>100</v>
      </c>
      <c r="I456" s="48" t="n">
        <v>7</v>
      </c>
      <c r="J456" s="48" t="n">
        <v>29700</v>
      </c>
      <c r="K456" s="47">
        <f t="array" ref="K456">_xlfn.XLOOKUP(1,(참조!$B$2:$B$15=E456)*(참조!$D$2:$D$15=C456)*(참조!$E$2:$E$15=D456),참조!$C$2:$C$15,"")</f>
        <v/>
      </c>
    </row>
    <row r="457" hidden="1" s="27">
      <c r="A457" s="47" t="inlineStr">
        <is>
          <t>이지모바일</t>
        </is>
      </c>
      <c r="B457" s="47" t="inlineStr">
        <is>
          <t>이지 오래쓰는 데이터 10GB+1/100분</t>
        </is>
      </c>
      <c r="C457" s="47" t="inlineStr">
        <is>
          <t>100분</t>
        </is>
      </c>
      <c r="D457" s="47" t="inlineStr">
        <is>
          <t>100건</t>
        </is>
      </c>
      <c r="E457" s="47" t="inlineStr">
        <is>
          <t>월 10GB + 1Mbps</t>
        </is>
      </c>
      <c r="F457" s="47" t="inlineStr">
        <is>
          <t>LG U+</t>
        </is>
      </c>
      <c r="G457" s="47" t="inlineStr">
        <is>
          <t>LTE</t>
        </is>
      </c>
      <c r="H457" s="48" t="n">
        <v>4950</v>
      </c>
      <c r="I457" s="48" t="n">
        <v>12</v>
      </c>
      <c r="J457" s="48" t="n">
        <v>19800</v>
      </c>
      <c r="K457" s="47">
        <f t="array" ref="K457">_xlfn.XLOOKUP(1,(참조!$B$2:$B$15=E457)*(참조!$D$2:$D$15=C457)*(참조!$E$2:$E$15=D457),참조!$C$2:$C$15,"")</f>
        <v/>
      </c>
    </row>
    <row r="458" hidden="1" s="27">
      <c r="A458" s="47" t="inlineStr">
        <is>
          <t>KT스카이라이프</t>
        </is>
      </c>
      <c r="B458" s="47" t="inlineStr">
        <is>
          <t>모두 충분 11GB+(모아진)</t>
        </is>
      </c>
      <c r="C458" s="47" t="inlineStr">
        <is>
          <t>무제한</t>
        </is>
      </c>
      <c r="D458" s="47" t="inlineStr">
        <is>
          <t>무제한</t>
        </is>
      </c>
      <c r="E458" s="47" t="inlineStr">
        <is>
          <t>월 11GB + 매일 2GB + 3Mbps</t>
        </is>
      </c>
      <c r="F458" s="47" t="inlineStr">
        <is>
          <t>KT</t>
        </is>
      </c>
      <c r="G458" s="47" t="inlineStr">
        <is>
          <t>LTE</t>
        </is>
      </c>
      <c r="H458" s="48" t="n">
        <v>34200</v>
      </c>
      <c r="I458" s="48" t="n"/>
      <c r="J458" s="48" t="n"/>
      <c r="K458" s="47">
        <f t="array" ref="K458">_xlfn.XLOOKUP(1,(참조!$B$2:$B$15=E458)*(참조!$D$2:$D$15=C458)*(참조!$E$2:$E$15=D458),참조!$C$2:$C$15,"")</f>
        <v/>
      </c>
    </row>
    <row r="459" hidden="1" s="27">
      <c r="A459" s="47" t="inlineStr">
        <is>
          <t>이야기모바일</t>
        </is>
      </c>
      <c r="B459" s="47" t="inlineStr">
        <is>
          <t>5G 함께이야기해S (200분+15GB)</t>
        </is>
      </c>
      <c r="C459" s="47" t="inlineStr">
        <is>
          <t>200분</t>
        </is>
      </c>
      <c r="D459" s="47" t="inlineStr">
        <is>
          <t>100건</t>
        </is>
      </c>
      <c r="E459" s="47" t="inlineStr">
        <is>
          <t>월 15GB</t>
        </is>
      </c>
      <c r="F459" s="47" t="inlineStr">
        <is>
          <t>SKT</t>
        </is>
      </c>
      <c r="G459" s="47" t="inlineStr">
        <is>
          <t>5G</t>
        </is>
      </c>
      <c r="H459" s="48" t="n">
        <v>14900</v>
      </c>
      <c r="I459" s="48" t="n"/>
      <c r="J459" s="48" t="n"/>
      <c r="K459" s="47">
        <f t="array" ref="K459">_xlfn.XLOOKUP(1,(참조!$B$2:$B$15=E459)*(참조!$D$2:$D$15=C459)*(참조!$E$2:$E$15=D459),참조!$C$2:$C$15,"")</f>
        <v/>
      </c>
    </row>
    <row r="460" hidden="1" s="27">
      <c r="A460" s="47" t="inlineStr">
        <is>
          <t>스마텔</t>
        </is>
      </c>
      <c r="B460" s="47" t="inlineStr">
        <is>
          <t>스마일플러스 (100분+6GB)</t>
        </is>
      </c>
      <c r="C460" s="47" t="inlineStr">
        <is>
          <t>100분</t>
        </is>
      </c>
      <c r="D460" s="47" t="inlineStr">
        <is>
          <t>100건</t>
        </is>
      </c>
      <c r="E460" s="47" t="inlineStr">
        <is>
          <t>월 6GB</t>
        </is>
      </c>
      <c r="F460" s="47" t="inlineStr">
        <is>
          <t>SKT</t>
        </is>
      </c>
      <c r="G460" s="47" t="inlineStr">
        <is>
          <t>LTE</t>
        </is>
      </c>
      <c r="H460" s="48" t="n">
        <v>990</v>
      </c>
      <c r="I460" s="48" t="n">
        <v>12</v>
      </c>
      <c r="J460" s="48" t="n">
        <v>9900</v>
      </c>
      <c r="K460" s="47">
        <f t="array" ref="K460">_xlfn.XLOOKUP(1,(참조!$B$2:$B$15=E460)*(참조!$D$2:$D$15=C460)*(참조!$E$2:$E$15=D460),참조!$C$2:$C$15,"")</f>
        <v/>
      </c>
    </row>
    <row r="461" hidden="1" s="27">
      <c r="A461" s="47" t="inlineStr">
        <is>
          <t>마블링</t>
        </is>
      </c>
      <c r="B461" s="47" t="inlineStr">
        <is>
          <t>마블링 스탠다드 1GB</t>
        </is>
      </c>
      <c r="C461" s="47" t="inlineStr">
        <is>
          <t>100분</t>
        </is>
      </c>
      <c r="D461" s="47" t="inlineStr">
        <is>
          <t>50건</t>
        </is>
      </c>
      <c r="E461" s="47" t="inlineStr">
        <is>
          <t>월 1GB</t>
        </is>
      </c>
      <c r="F461" s="47" t="inlineStr">
        <is>
          <t>LG U+</t>
        </is>
      </c>
      <c r="G461" s="47" t="inlineStr">
        <is>
          <t>LTE</t>
        </is>
      </c>
      <c r="H461" s="48" t="n">
        <v>110</v>
      </c>
      <c r="I461" s="48" t="n">
        <v>6</v>
      </c>
      <c r="J461" s="48" t="n">
        <v>3300</v>
      </c>
      <c r="K461" s="47">
        <f t="array" ref="K461">_xlfn.XLOOKUP(1,(참조!$B$2:$B$15=E461)*(참조!$D$2:$D$15=C461)*(참조!$E$2:$E$15=D461),참조!$C$2:$C$15,"")</f>
        <v/>
      </c>
    </row>
    <row r="462" hidden="1" s="27">
      <c r="A462" s="47" t="inlineStr">
        <is>
          <t>스마텔</t>
        </is>
      </c>
      <c r="B462" s="47" t="inlineStr">
        <is>
          <t>스마일플러스(350분+7GB)</t>
        </is>
      </c>
      <c r="C462" s="47" t="inlineStr">
        <is>
          <t>350분</t>
        </is>
      </c>
      <c r="D462" s="47" t="inlineStr">
        <is>
          <t>100건</t>
        </is>
      </c>
      <c r="E462" s="47" t="inlineStr">
        <is>
          <t>월 7GB</t>
        </is>
      </c>
      <c r="F462" s="47" t="inlineStr">
        <is>
          <t>SKT</t>
        </is>
      </c>
      <c r="G462" s="47" t="inlineStr">
        <is>
          <t>LTE</t>
        </is>
      </c>
      <c r="H462" s="48" t="n">
        <v>990</v>
      </c>
      <c r="I462" s="48" t="n">
        <v>12</v>
      </c>
      <c r="J462" s="48" t="n">
        <v>17600</v>
      </c>
      <c r="K462" s="47">
        <f t="array" ref="K462">_xlfn.XLOOKUP(1,(참조!$B$2:$B$15=E462)*(참조!$D$2:$D$15=C462)*(참조!$E$2:$E$15=D462),참조!$C$2:$C$15,"")</f>
        <v/>
      </c>
    </row>
    <row r="463" hidden="1" s="27">
      <c r="A463" s="47" t="inlineStr">
        <is>
          <t>U+유모바일</t>
        </is>
      </c>
      <c r="B463" s="47" t="inlineStr">
        <is>
          <t>[평생할인] 5GB/300분</t>
        </is>
      </c>
      <c r="C463" s="47" t="inlineStr">
        <is>
          <t>300분</t>
        </is>
      </c>
      <c r="D463" s="47" t="inlineStr">
        <is>
          <t>100건</t>
        </is>
      </c>
      <c r="E463" s="47" t="inlineStr">
        <is>
          <t>월 5GB</t>
        </is>
      </c>
      <c r="F463" s="47" t="inlineStr">
        <is>
          <t>LG U+</t>
        </is>
      </c>
      <c r="G463" s="47" t="inlineStr">
        <is>
          <t>LTE</t>
        </is>
      </c>
      <c r="H463" s="48" t="n">
        <v>10120</v>
      </c>
      <c r="I463" s="48" t="n"/>
      <c r="J463" s="48" t="n"/>
      <c r="K463" s="47">
        <f t="array" ref="K463">_xlfn.XLOOKUP(1,(참조!$B$2:$B$15=E463)*(참조!$D$2:$D$15=C463)*(참조!$E$2:$E$15=D463),참조!$C$2:$C$15,"")</f>
        <v/>
      </c>
    </row>
    <row r="464" hidden="1" s="27">
      <c r="A464" s="47" t="inlineStr">
        <is>
          <t>U+유모바일</t>
        </is>
      </c>
      <c r="B464" s="47" t="inlineStr">
        <is>
          <t>[Npay 12만 기본제공] 5G 95GB+/통화기본</t>
        </is>
      </c>
      <c r="C464" s="47" t="inlineStr">
        <is>
          <t>무제한</t>
        </is>
      </c>
      <c r="D464" s="47" t="inlineStr">
        <is>
          <t>무제한</t>
        </is>
      </c>
      <c r="E464" s="47" t="inlineStr">
        <is>
          <t>월 95GB + 3Mbps</t>
        </is>
      </c>
      <c r="F464" s="47" t="inlineStr">
        <is>
          <t>LG U+</t>
        </is>
      </c>
      <c r="G464" s="47" t="inlineStr">
        <is>
          <t>5G</t>
        </is>
      </c>
      <c r="H464" s="48" t="n">
        <v>38300</v>
      </c>
      <c r="I464" s="48" t="n">
        <v>24</v>
      </c>
      <c r="J464" s="48" t="n">
        <v>43300</v>
      </c>
      <c r="K464" s="47">
        <f t="array" ref="K464">_xlfn.XLOOKUP(1,(참조!$B$2:$B$15=E464)*(참조!$D$2:$D$15=C464)*(참조!$E$2:$E$15=D464),참조!$C$2:$C$15,"")</f>
        <v/>
      </c>
    </row>
    <row r="465" hidden="1" s="27">
      <c r="A465" s="47" t="inlineStr">
        <is>
          <t>더원모바일</t>
        </is>
      </c>
      <c r="B465" s="47" t="inlineStr">
        <is>
          <t>TOP 15GB 100분 (밀리의서재)</t>
        </is>
      </c>
      <c r="C465" s="47" t="inlineStr">
        <is>
          <t>100분</t>
        </is>
      </c>
      <c r="D465" s="47" t="inlineStr">
        <is>
          <t>100건</t>
        </is>
      </c>
      <c r="E465" s="47" t="inlineStr">
        <is>
          <t>월 15GB + 3Mbps</t>
        </is>
      </c>
      <c r="F465" s="47" t="inlineStr">
        <is>
          <t>KT</t>
        </is>
      </c>
      <c r="G465" s="47" t="inlineStr">
        <is>
          <t>LTE</t>
        </is>
      </c>
      <c r="H465" s="48" t="n">
        <v>6050</v>
      </c>
      <c r="I465" s="48" t="n">
        <v>7</v>
      </c>
      <c r="J465" s="48" t="n">
        <v>33000</v>
      </c>
      <c r="K465" s="47">
        <f t="array" ref="K465">_xlfn.XLOOKUP(1,(참조!$B$2:$B$15=E465)*(참조!$D$2:$D$15=C465)*(참조!$E$2:$E$15=D465),참조!$C$2:$C$15,"")</f>
        <v/>
      </c>
    </row>
    <row r="466" hidden="1" s="27">
      <c r="A466" s="47" t="inlineStr">
        <is>
          <t>더원모바일</t>
        </is>
      </c>
      <c r="B466" s="47" t="inlineStr">
        <is>
          <t>ONE 20GB 100분</t>
        </is>
      </c>
      <c r="C466" s="47" t="inlineStr">
        <is>
          <t>100분</t>
        </is>
      </c>
      <c r="D466" s="47" t="inlineStr">
        <is>
          <t>100건</t>
        </is>
      </c>
      <c r="E466" s="47" t="inlineStr">
        <is>
          <t>월 20GB</t>
        </is>
      </c>
      <c r="F466" s="47" t="inlineStr">
        <is>
          <t>KT</t>
        </is>
      </c>
      <c r="G466" s="47" t="inlineStr">
        <is>
          <t>LTE</t>
        </is>
      </c>
      <c r="H466" s="48" t="n">
        <v>990</v>
      </c>
      <c r="I466" s="48" t="n">
        <v>6</v>
      </c>
      <c r="J466" s="48" t="n">
        <v>26400</v>
      </c>
      <c r="K466" s="47">
        <f t="array" ref="K466">_xlfn.XLOOKUP(1,(참조!$B$2:$B$15=E466)*(참조!$D$2:$D$15=C466)*(참조!$E$2:$E$15=D466),참조!$C$2:$C$15,"")</f>
        <v/>
      </c>
    </row>
    <row r="467" hidden="1" s="27">
      <c r="A467" s="47" t="inlineStr">
        <is>
          <t>핀다이렉트</t>
        </is>
      </c>
      <c r="B467" s="47" t="inlineStr">
        <is>
          <t>[모요only] [K] 핀다이렉트Z Light(12) _PIN</t>
        </is>
      </c>
      <c r="C467" s="47" t="inlineStr">
        <is>
          <t>100분</t>
        </is>
      </c>
      <c r="D467" s="47" t="inlineStr">
        <is>
          <t>100건</t>
        </is>
      </c>
      <c r="E467" s="47" t="inlineStr">
        <is>
          <t>월 15GB + 3Mbps</t>
        </is>
      </c>
      <c r="F467" s="47" t="inlineStr">
        <is>
          <t>KT</t>
        </is>
      </c>
      <c r="G467" s="47" t="inlineStr">
        <is>
          <t>LTE</t>
        </is>
      </c>
      <c r="H467" s="48" t="n">
        <v>18000</v>
      </c>
      <c r="I467" s="48" t="n">
        <v>12</v>
      </c>
      <c r="J467" s="48" t="n">
        <v>30800</v>
      </c>
      <c r="K467" s="47">
        <f t="array" ref="K467">_xlfn.XLOOKUP(1,(참조!$B$2:$B$15=E467)*(참조!$D$2:$D$15=C467)*(참조!$E$2:$E$15=D467),참조!$C$2:$C$15,"")</f>
        <v/>
      </c>
    </row>
    <row r="468" hidden="1" s="27">
      <c r="A468" s="47" t="inlineStr">
        <is>
          <t>고고모바일</t>
        </is>
      </c>
      <c r="B468" s="47" t="inlineStr">
        <is>
          <t>LTE무제한 11GB+3M(CU20%할인)</t>
        </is>
      </c>
      <c r="C468" s="47" t="inlineStr">
        <is>
          <t>무제한</t>
        </is>
      </c>
      <c r="D468" s="47" t="inlineStr">
        <is>
          <t>무제한</t>
        </is>
      </c>
      <c r="E468" s="47" t="inlineStr">
        <is>
          <t>월 11GB + 매일 2GB + 3Mbps</t>
        </is>
      </c>
      <c r="F468" s="47" t="inlineStr">
        <is>
          <t>KT</t>
        </is>
      </c>
      <c r="G468" s="47" t="inlineStr">
        <is>
          <t>LTE</t>
        </is>
      </c>
      <c r="H468" s="48" t="n">
        <v>36850</v>
      </c>
      <c r="I468" s="48" t="n"/>
      <c r="J468" s="48" t="n"/>
      <c r="K468" s="47">
        <f t="array" ref="K468">_xlfn.XLOOKUP(1,(참조!$B$2:$B$15=E468)*(참조!$D$2:$D$15=C468)*(참조!$E$2:$E$15=D468),참조!$C$2:$C$15,"")</f>
        <v/>
      </c>
    </row>
    <row r="469" hidden="1" s="27">
      <c r="A469" s="47" t="inlineStr">
        <is>
          <t>KT엠모바일</t>
        </is>
      </c>
      <c r="B469" s="47" t="inlineStr">
        <is>
          <t>모두다 맘껏 11GB+(CU 20%할인)</t>
        </is>
      </c>
      <c r="C469" s="47" t="inlineStr">
        <is>
          <t>무제한</t>
        </is>
      </c>
      <c r="D469" s="47" t="inlineStr">
        <is>
          <t>무제한</t>
        </is>
      </c>
      <c r="E469" s="47" t="inlineStr">
        <is>
          <t>월 11GB + 매일 2GB + 3Mbps</t>
        </is>
      </c>
      <c r="F469" s="47" t="inlineStr">
        <is>
          <t>KT</t>
        </is>
      </c>
      <c r="G469" s="47" t="inlineStr">
        <is>
          <t>LTE</t>
        </is>
      </c>
      <c r="H469" s="48" t="n">
        <v>33000</v>
      </c>
      <c r="I469" s="48" t="n"/>
      <c r="J469" s="48" t="n"/>
      <c r="K469" s="47">
        <f t="array" ref="K469">_xlfn.XLOOKUP(1,(참조!$B$2:$B$15=E469)*(참조!$D$2:$D$15=C469)*(참조!$E$2:$E$15=D469),참조!$C$2:$C$15,"")</f>
        <v/>
      </c>
    </row>
    <row r="470" hidden="1" s="27">
      <c r="A470" s="47" t="inlineStr">
        <is>
          <t>티플러스</t>
        </is>
      </c>
      <c r="B470" s="47" t="inlineStr">
        <is>
          <t>가성비플러스(6GB/350분)</t>
        </is>
      </c>
      <c r="C470" s="47" t="inlineStr">
        <is>
          <t>350분</t>
        </is>
      </c>
      <c r="D470" s="47" t="inlineStr">
        <is>
          <t>100건</t>
        </is>
      </c>
      <c r="E470" s="47" t="inlineStr">
        <is>
          <t>월 6GB</t>
        </is>
      </c>
      <c r="F470" s="47" t="inlineStr">
        <is>
          <t>SKT</t>
        </is>
      </c>
      <c r="G470" s="47" t="inlineStr">
        <is>
          <t>LTE</t>
        </is>
      </c>
      <c r="H470" s="48" t="n">
        <v>10</v>
      </c>
      <c r="I470" s="48" t="n">
        <v>9</v>
      </c>
      <c r="J470" s="48" t="n">
        <v>9900</v>
      </c>
      <c r="K470" s="47">
        <f t="array" ref="K470">_xlfn.XLOOKUP(1,(참조!$B$2:$B$15=E470)*(참조!$D$2:$D$15=C470)*(참조!$E$2:$E$15=D470),참조!$C$2:$C$15,"")</f>
        <v/>
      </c>
    </row>
    <row r="471" hidden="1" s="27">
      <c r="A471" s="47" t="inlineStr">
        <is>
          <t>고고모바일</t>
        </is>
      </c>
      <c r="B471" s="47" t="inlineStr">
        <is>
          <t>[모요only] 무제한 100GB+5Mbps(밀리의서재 Free)</t>
        </is>
      </c>
      <c r="C471" s="47" t="inlineStr">
        <is>
          <t>무제한</t>
        </is>
      </c>
      <c r="D471" s="47" t="inlineStr">
        <is>
          <t>무제한</t>
        </is>
      </c>
      <c r="E471" s="47" t="inlineStr">
        <is>
          <t>월 100GB + 5Mbps</t>
        </is>
      </c>
      <c r="F471" s="47" t="inlineStr">
        <is>
          <t>KT</t>
        </is>
      </c>
      <c r="G471" s="47" t="inlineStr">
        <is>
          <t>LTE</t>
        </is>
      </c>
      <c r="H471" s="48" t="n">
        <v>15000</v>
      </c>
      <c r="I471" s="48" t="n">
        <v>7</v>
      </c>
      <c r="J471" s="48" t="n">
        <v>44000</v>
      </c>
      <c r="K471" s="47">
        <f t="array" ref="K471">_xlfn.XLOOKUP(1,(참조!$B$2:$B$15=E471)*(참조!$D$2:$D$15=C471)*(참조!$E$2:$E$15=D471),참조!$C$2:$C$15,"")</f>
        <v/>
      </c>
    </row>
    <row r="472" hidden="1" s="27">
      <c r="A472" s="47" t="inlineStr">
        <is>
          <t>찬스모바일</t>
        </is>
      </c>
      <c r="B472" s="47" t="inlineStr">
        <is>
          <t>[모요only] 알찬 음성기본 11GB+일 2GB+3Mbps</t>
        </is>
      </c>
      <c r="C472" s="47" t="inlineStr">
        <is>
          <t>무제한</t>
        </is>
      </c>
      <c r="D472" s="47" t="inlineStr">
        <is>
          <t>무제한</t>
        </is>
      </c>
      <c r="E472" s="47" t="inlineStr">
        <is>
          <t>월 11GB + 매일 2GB + 3Mbps</t>
        </is>
      </c>
      <c r="F472" s="47" t="inlineStr">
        <is>
          <t>LG U+</t>
        </is>
      </c>
      <c r="G472" s="47" t="inlineStr">
        <is>
          <t>LTE</t>
        </is>
      </c>
      <c r="H472" s="48" t="n">
        <v>9458</v>
      </c>
      <c r="I472" s="48" t="n">
        <v>7</v>
      </c>
      <c r="J472" s="48" t="n">
        <v>38940</v>
      </c>
      <c r="K472" s="47">
        <f t="array" ref="K472">_xlfn.XLOOKUP(1,(참조!$B$2:$B$15=E472)*(참조!$D$2:$D$15=C472)*(참조!$E$2:$E$15=D472),참조!$C$2:$C$15,"")</f>
        <v/>
      </c>
    </row>
    <row r="473" hidden="1" s="27">
      <c r="A473" s="47" t="inlineStr">
        <is>
          <t>슈가모바일</t>
        </is>
      </c>
      <c r="B473" s="47" t="inlineStr">
        <is>
          <t>5G Sugar 실속(500분/10GB)</t>
        </is>
      </c>
      <c r="C473" s="47" t="inlineStr">
        <is>
          <t>500분</t>
        </is>
      </c>
      <c r="D473" s="47" t="inlineStr">
        <is>
          <t>100건</t>
        </is>
      </c>
      <c r="E473" s="47" t="inlineStr">
        <is>
          <t>월 10GB</t>
        </is>
      </c>
      <c r="F473" s="47" t="inlineStr">
        <is>
          <t>LG U+</t>
        </is>
      </c>
      <c r="G473" s="47" t="inlineStr">
        <is>
          <t>5G</t>
        </is>
      </c>
      <c r="H473" s="48" t="n">
        <v>5500</v>
      </c>
      <c r="I473" s="48" t="n"/>
      <c r="J473" s="48" t="n"/>
      <c r="K473" s="47">
        <f t="array" ref="K473">_xlfn.XLOOKUP(1,(참조!$B$2:$B$15=E473)*(참조!$D$2:$D$15=C473)*(참조!$E$2:$E$15=D473),참조!$C$2:$C$15,"")</f>
        <v/>
      </c>
    </row>
    <row r="474" hidden="1" s="27">
      <c r="A474" s="47" t="inlineStr">
        <is>
          <t>고고모바일</t>
        </is>
      </c>
      <c r="B474" s="47" t="inlineStr">
        <is>
          <t>무제한일 5GB + 5Mbps</t>
        </is>
      </c>
      <c r="C474" s="47" t="inlineStr">
        <is>
          <t>무제한</t>
        </is>
      </c>
      <c r="D474" s="47" t="inlineStr">
        <is>
          <t>무제한</t>
        </is>
      </c>
      <c r="E474" s="47" t="inlineStr">
        <is>
          <t>매일 5GB + 5Mbps</t>
        </is>
      </c>
      <c r="F474" s="47" t="inlineStr">
        <is>
          <t>KT</t>
        </is>
      </c>
      <c r="G474" s="47" t="inlineStr">
        <is>
          <t>LTE</t>
        </is>
      </c>
      <c r="H474" s="48" t="n">
        <v>42020</v>
      </c>
      <c r="I474" s="48" t="n"/>
      <c r="J474" s="48" t="n"/>
      <c r="K474" s="47">
        <f t="array" ref="K474">_xlfn.XLOOKUP(1,(참조!$B$2:$B$15=E474)*(참조!$D$2:$D$15=C474)*(참조!$E$2:$E$15=D474),참조!$C$2:$C$15,"")</f>
        <v/>
      </c>
    </row>
    <row r="475" hidden="1" s="27">
      <c r="A475" s="47" t="inlineStr">
        <is>
          <t>마블링</t>
        </is>
      </c>
      <c r="B475" s="47" t="inlineStr">
        <is>
          <t>[모요only] 마블링 프라임 7GB+1Mbps</t>
        </is>
      </c>
      <c r="C475" s="47" t="inlineStr">
        <is>
          <t>무제한</t>
        </is>
      </c>
      <c r="D475" s="47" t="inlineStr">
        <is>
          <t>무제한</t>
        </is>
      </c>
      <c r="E475" s="47" t="inlineStr">
        <is>
          <t>월 7GB + 1Mbps</t>
        </is>
      </c>
      <c r="F475" s="47" t="inlineStr">
        <is>
          <t>LG U+</t>
        </is>
      </c>
      <c r="G475" s="47" t="inlineStr">
        <is>
          <t>LTE</t>
        </is>
      </c>
      <c r="H475" s="48" t="n">
        <v>2990</v>
      </c>
      <c r="I475" s="48" t="n">
        <v>7</v>
      </c>
      <c r="J475" s="48" t="n">
        <v>19800</v>
      </c>
      <c r="K475" s="47">
        <f t="array" ref="K475">_xlfn.XLOOKUP(1,(참조!$B$2:$B$15=E475)*(참조!$D$2:$D$15=C475)*(참조!$E$2:$E$15=D475),참조!$C$2:$C$15,"")</f>
        <v/>
      </c>
    </row>
    <row r="476" hidden="1" s="27">
      <c r="A476" s="47" t="inlineStr">
        <is>
          <t>시월모바일</t>
        </is>
      </c>
      <c r="B476" s="47" t="inlineStr">
        <is>
          <t>시월 100분15GB+3Mbps</t>
        </is>
      </c>
      <c r="C476" s="47" t="inlineStr">
        <is>
          <t>100분</t>
        </is>
      </c>
      <c r="D476" s="47" t="inlineStr">
        <is>
          <t>100건</t>
        </is>
      </c>
      <c r="E476" s="47" t="inlineStr">
        <is>
          <t>월 15GB + 3Mbps</t>
        </is>
      </c>
      <c r="F476" s="47" t="inlineStr">
        <is>
          <t>LG U+</t>
        </is>
      </c>
      <c r="G476" s="47" t="inlineStr">
        <is>
          <t>LTE</t>
        </is>
      </c>
      <c r="H476" s="48" t="n">
        <v>10060</v>
      </c>
      <c r="I476" s="48" t="n">
        <v>7</v>
      </c>
      <c r="J476" s="48" t="n">
        <v>28760</v>
      </c>
      <c r="K476" s="47">
        <f t="array" ref="K476">_xlfn.XLOOKUP(1,(참조!$B$2:$B$15=E476)*(참조!$D$2:$D$15=C476)*(참조!$E$2:$E$15=D476),참조!$C$2:$C$15,"")</f>
        <v/>
      </c>
    </row>
    <row r="477" hidden="1" s="27">
      <c r="A477" s="47" t="inlineStr">
        <is>
          <t>모나</t>
        </is>
      </c>
      <c r="B477" s="47" t="inlineStr">
        <is>
          <t>모나기본100G안심5</t>
        </is>
      </c>
      <c r="C477" s="47" t="inlineStr">
        <is>
          <t>무제한</t>
        </is>
      </c>
      <c r="D477" s="47" t="inlineStr">
        <is>
          <t>무제한</t>
        </is>
      </c>
      <c r="E477" s="47" t="inlineStr">
        <is>
          <t>월 100GB + 5Mbps</t>
        </is>
      </c>
      <c r="F477" s="47" t="inlineStr">
        <is>
          <t>LG U+</t>
        </is>
      </c>
      <c r="G477" s="47" t="inlineStr">
        <is>
          <t>LTE</t>
        </is>
      </c>
      <c r="H477" s="48" t="n">
        <v>29900</v>
      </c>
      <c r="I477" s="48" t="n">
        <v>24</v>
      </c>
      <c r="J477" s="48" t="n">
        <v>48400</v>
      </c>
      <c r="K477" s="47">
        <f t="array" ref="K477">_xlfn.XLOOKUP(1,(참조!$B$2:$B$15=E477)*(참조!$D$2:$D$15=C477)*(참조!$E$2:$E$15=D477),참조!$C$2:$C$15,"")</f>
        <v/>
      </c>
    </row>
    <row r="478" hidden="1" s="27">
      <c r="A478" s="47" t="inlineStr">
        <is>
          <t>U+유모바일</t>
        </is>
      </c>
      <c r="B478" s="47" t="inlineStr">
        <is>
          <t>[평생할인] 10GB+/통화기본</t>
        </is>
      </c>
      <c r="C478" s="47" t="inlineStr">
        <is>
          <t>무제한</t>
        </is>
      </c>
      <c r="D478" s="47" t="inlineStr">
        <is>
          <t>무제한</t>
        </is>
      </c>
      <c r="E478" s="47" t="inlineStr">
        <is>
          <t>월 10GB + 1Mbps</t>
        </is>
      </c>
      <c r="F478" s="47" t="inlineStr">
        <is>
          <t>LG U+</t>
        </is>
      </c>
      <c r="G478" s="47" t="inlineStr">
        <is>
          <t>LTE</t>
        </is>
      </c>
      <c r="H478" s="48" t="n">
        <v>18900</v>
      </c>
      <c r="I478" s="48" t="n"/>
      <c r="J478" s="48" t="n"/>
      <c r="K478" s="47">
        <f t="array" ref="K478">_xlfn.XLOOKUP(1,(참조!$B$2:$B$15=E478)*(참조!$D$2:$D$15=C478)*(참조!$E$2:$E$15=D478),참조!$C$2:$C$15,"")</f>
        <v/>
      </c>
    </row>
    <row r="479" hidden="1" s="27">
      <c r="A479" s="47" t="inlineStr">
        <is>
          <t>모나</t>
        </is>
      </c>
      <c r="B479" s="47" t="inlineStr">
        <is>
          <t>5G_신한카드_기본95G안심3</t>
        </is>
      </c>
      <c r="C479" s="47" t="inlineStr">
        <is>
          <t>무제한</t>
        </is>
      </c>
      <c r="D479" s="47" t="inlineStr">
        <is>
          <t>무제한</t>
        </is>
      </c>
      <c r="E479" s="47" t="inlineStr">
        <is>
          <t>월 95GB + 3Mbps</t>
        </is>
      </c>
      <c r="F479" s="47" t="inlineStr">
        <is>
          <t>LG U+</t>
        </is>
      </c>
      <c r="G479" s="47" t="inlineStr">
        <is>
          <t>5G</t>
        </is>
      </c>
      <c r="H479" s="48" t="n">
        <v>26900</v>
      </c>
      <c r="I479" s="48" t="n">
        <v>24</v>
      </c>
      <c r="J479" s="48" t="n">
        <v>55000</v>
      </c>
      <c r="K479" s="47">
        <f t="array" ref="K479">_xlfn.XLOOKUP(1,(참조!$B$2:$B$15=E479)*(참조!$D$2:$D$15=C479)*(참조!$E$2:$E$15=D479),참조!$C$2:$C$15,"")</f>
        <v/>
      </c>
    </row>
    <row r="480" hidden="1" s="27">
      <c r="A480" s="47" t="inlineStr">
        <is>
          <t>인스모바일</t>
        </is>
      </c>
      <c r="B480" s="47" t="inlineStr">
        <is>
          <t>인스 유심 스피드(5G) 180GB+</t>
        </is>
      </c>
      <c r="C480" s="47" t="inlineStr">
        <is>
          <t>무제한</t>
        </is>
      </c>
      <c r="D480" s="47" t="inlineStr">
        <is>
          <t>무제한</t>
        </is>
      </c>
      <c r="E480" s="47" t="inlineStr">
        <is>
          <t>월 180GB + 10Mbps</t>
        </is>
      </c>
      <c r="F480" s="47" t="inlineStr">
        <is>
          <t>LG U+</t>
        </is>
      </c>
      <c r="G480" s="47" t="inlineStr">
        <is>
          <t>5G</t>
        </is>
      </c>
      <c r="H480" s="48" t="n">
        <v>9920</v>
      </c>
      <c r="I480" s="48" t="n">
        <v>7</v>
      </c>
      <c r="J480" s="48" t="n">
        <v>64700</v>
      </c>
      <c r="K480" s="47">
        <f t="array" ref="K480">_xlfn.XLOOKUP(1,(참조!$B$2:$B$15=E480)*(참조!$D$2:$D$15=C480)*(참조!$E$2:$E$15=D480),참조!$C$2:$C$15,"")</f>
        <v/>
      </c>
    </row>
    <row r="481" hidden="1" s="27">
      <c r="A481" s="47" t="inlineStr">
        <is>
          <t>KG모바일</t>
        </is>
      </c>
      <c r="B481" s="47" t="inlineStr">
        <is>
          <t>[모빌카드 스페셜] 통화, 데이터 마음대로 Pro</t>
        </is>
      </c>
      <c r="C481" s="47" t="inlineStr">
        <is>
          <t>무제한</t>
        </is>
      </c>
      <c r="D481" s="47" t="inlineStr">
        <is>
          <t>무제한</t>
        </is>
      </c>
      <c r="E481" s="47" t="inlineStr">
        <is>
          <t>매일 5GB + 5Mbps</t>
        </is>
      </c>
      <c r="F481" s="47" t="inlineStr">
        <is>
          <t>LG U+</t>
        </is>
      </c>
      <c r="G481" s="47" t="inlineStr">
        <is>
          <t>LTE</t>
        </is>
      </c>
      <c r="H481" s="48" t="n">
        <v>9900</v>
      </c>
      <c r="I481" s="48" t="n">
        <v>7</v>
      </c>
      <c r="J481" s="48" t="n">
        <v>47300</v>
      </c>
      <c r="K481" s="47">
        <f t="array" ref="K481">_xlfn.XLOOKUP(1,(참조!$B$2:$B$15=E481)*(참조!$D$2:$D$15=C481)*(참조!$E$2:$E$15=D481),참조!$C$2:$C$15,"")</f>
        <v/>
      </c>
    </row>
    <row r="482" hidden="1" s="27">
      <c r="A482" s="47" t="inlineStr">
        <is>
          <t>찬스모바일</t>
        </is>
      </c>
      <c r="B482" s="47" t="inlineStr">
        <is>
          <t>5G 음성기본 180GB+</t>
        </is>
      </c>
      <c r="C482" s="47" t="inlineStr">
        <is>
          <t>무제한</t>
        </is>
      </c>
      <c r="D482" s="47" t="inlineStr">
        <is>
          <t>무제한</t>
        </is>
      </c>
      <c r="E482" s="47" t="inlineStr">
        <is>
          <t>월 180GB + 10Mbps</t>
        </is>
      </c>
      <c r="F482" s="47" t="inlineStr">
        <is>
          <t>LG U+</t>
        </is>
      </c>
      <c r="G482" s="47" t="inlineStr">
        <is>
          <t>5G</t>
        </is>
      </c>
      <c r="H482" s="48" t="n">
        <v>13800</v>
      </c>
      <c r="I482" s="48" t="n">
        <v>7</v>
      </c>
      <c r="J482" s="48" t="n">
        <v>66000</v>
      </c>
      <c r="K482" s="47">
        <f t="array" ref="K482">_xlfn.XLOOKUP(1,(참조!$B$2:$B$15=E482)*(참조!$D$2:$D$15=C482)*(참조!$E$2:$E$15=D482),참조!$C$2:$C$15,"")</f>
        <v/>
      </c>
    </row>
    <row r="483" hidden="1" s="27">
      <c r="A483" s="47" t="inlineStr">
        <is>
          <t>인스모바일</t>
        </is>
      </c>
      <c r="B483" s="47" t="inlineStr">
        <is>
          <t>인스 유심 스피드(5G) 음성200분+5GB</t>
        </is>
      </c>
      <c r="C483" s="47" t="inlineStr">
        <is>
          <t>200분</t>
        </is>
      </c>
      <c r="D483" s="47" t="inlineStr">
        <is>
          <t>100건</t>
        </is>
      </c>
      <c r="E483" s="47" t="inlineStr">
        <is>
          <t>월 5GB</t>
        </is>
      </c>
      <c r="F483" s="47" t="inlineStr">
        <is>
          <t>LG U+</t>
        </is>
      </c>
      <c r="G483" s="47" t="inlineStr">
        <is>
          <t>5G</t>
        </is>
      </c>
      <c r="H483" s="48" t="n">
        <v>10</v>
      </c>
      <c r="I483" s="48" t="n">
        <v>6</v>
      </c>
      <c r="J483" s="48" t="n">
        <v>25300</v>
      </c>
      <c r="K483" s="47">
        <f t="array" ref="K483">_xlfn.XLOOKUP(1,(참조!$B$2:$B$15=E483)*(참조!$D$2:$D$15=C483)*(참조!$E$2:$E$15=D483),참조!$C$2:$C$15,"")</f>
        <v/>
      </c>
    </row>
    <row r="484" hidden="1" s="27">
      <c r="A484" s="47" t="inlineStr">
        <is>
          <t>마블링</t>
        </is>
      </c>
      <c r="B484" s="47" t="inlineStr">
        <is>
          <t>[모요only] 마블링 프라임 100GB+5Mbps</t>
        </is>
      </c>
      <c r="C484" s="47" t="inlineStr">
        <is>
          <t>무제한</t>
        </is>
      </c>
      <c r="D484" s="47" t="inlineStr">
        <is>
          <t>무제한</t>
        </is>
      </c>
      <c r="E484" s="47" t="inlineStr">
        <is>
          <t>월 100GB + 5Mbps</t>
        </is>
      </c>
      <c r="F484" s="47" t="inlineStr">
        <is>
          <t>LG U+</t>
        </is>
      </c>
      <c r="G484" s="47" t="inlineStr">
        <is>
          <t>LTE</t>
        </is>
      </c>
      <c r="H484" s="48" t="n">
        <v>9900</v>
      </c>
      <c r="I484" s="48" t="n">
        <v>7</v>
      </c>
      <c r="J484" s="48" t="n">
        <v>44900</v>
      </c>
      <c r="K484" s="47">
        <f t="array" ref="K484">_xlfn.XLOOKUP(1,(참조!$B$2:$B$15=E484)*(참조!$D$2:$D$15=C484)*(참조!$E$2:$E$15=D484),참조!$C$2:$C$15,"")</f>
        <v/>
      </c>
    </row>
    <row r="485" hidden="1" s="27">
      <c r="A485" s="47" t="inlineStr">
        <is>
          <t>더원모바일</t>
        </is>
      </c>
      <c r="B485" s="47" t="inlineStr">
        <is>
          <t>TOP 5G 110GB 기본 (밀리의서재)</t>
        </is>
      </c>
      <c r="C485" s="47" t="inlineStr">
        <is>
          <t>무제한</t>
        </is>
      </c>
      <c r="D485" s="47" t="inlineStr">
        <is>
          <t>무제한</t>
        </is>
      </c>
      <c r="E485" s="47" t="inlineStr">
        <is>
          <t>월 110GB + 5Mbps</t>
        </is>
      </c>
      <c r="F485" s="47" t="inlineStr">
        <is>
          <t>KT</t>
        </is>
      </c>
      <c r="G485" s="47" t="inlineStr">
        <is>
          <t>5G</t>
        </is>
      </c>
      <c r="H485" s="48" t="n">
        <v>16500</v>
      </c>
      <c r="I485" s="48" t="n">
        <v>7</v>
      </c>
      <c r="J485" s="48" t="n">
        <v>47300</v>
      </c>
      <c r="K485" s="47">
        <f t="array" ref="K485">_xlfn.XLOOKUP(1,(참조!$B$2:$B$15=E485)*(참조!$D$2:$D$15=C485)*(참조!$E$2:$E$15=D485),참조!$C$2:$C$15,"")</f>
        <v/>
      </c>
    </row>
    <row r="486">
      <c r="A486" s="47" t="inlineStr">
        <is>
          <t>티플러스</t>
        </is>
      </c>
      <c r="B486" s="47" t="inlineStr">
        <is>
          <t>The 완전마음껏11G＋(올리브영 매월 5000P)</t>
        </is>
      </c>
      <c r="C486" s="47" t="inlineStr">
        <is>
          <t>무제한</t>
        </is>
      </c>
      <c r="D486" s="47" t="inlineStr">
        <is>
          <t>무제한</t>
        </is>
      </c>
      <c r="E486" s="47" t="inlineStr">
        <is>
          <t>월 11GB + 매일 2GB + 3Mbps</t>
        </is>
      </c>
      <c r="F486" s="47" t="inlineStr">
        <is>
          <t>LG U+</t>
        </is>
      </c>
      <c r="G486" s="47" t="inlineStr">
        <is>
          <t>LTE</t>
        </is>
      </c>
      <c r="H486" s="48" t="n">
        <v>27900</v>
      </c>
      <c r="I486" s="48" t="n">
        <v>24</v>
      </c>
      <c r="J486" s="48" t="n">
        <v>39600</v>
      </c>
      <c r="K486" s="47">
        <f t="array" ref="K486">_xlfn.XLOOKUP(1,(참조!$B$2:$B$15=E486)*(참조!$D$2:$D$15=C486)*(참조!$E$2:$E$15=D486),참조!$C$2:$C$15,"")</f>
        <v/>
      </c>
    </row>
    <row r="487" hidden="1" s="27">
      <c r="A487" s="47" t="inlineStr">
        <is>
          <t>U+유모바일</t>
        </is>
      </c>
      <c r="B487" s="47" t="inlineStr">
        <is>
          <t>[올리브영 12만원] 15GB+/300분</t>
        </is>
      </c>
      <c r="C487" s="47" t="inlineStr">
        <is>
          <t>300분</t>
        </is>
      </c>
      <c r="D487" s="47" t="inlineStr">
        <is>
          <t>300건</t>
        </is>
      </c>
      <c r="E487" s="47" t="inlineStr">
        <is>
          <t>월 15GB + 3Mbps</t>
        </is>
      </c>
      <c r="F487" s="47" t="inlineStr">
        <is>
          <t>LG U+</t>
        </is>
      </c>
      <c r="G487" s="47" t="inlineStr">
        <is>
          <t>LTE</t>
        </is>
      </c>
      <c r="H487" s="48" t="n">
        <v>28450</v>
      </c>
      <c r="I487" s="48" t="n"/>
      <c r="J487" s="48" t="n"/>
      <c r="K487" s="47">
        <f t="array" ref="K487">_xlfn.XLOOKUP(1,(참조!$B$2:$B$15=E487)*(참조!$D$2:$D$15=C487)*(참조!$E$2:$E$15=D487),참조!$C$2:$C$15,"")</f>
        <v/>
      </c>
    </row>
    <row r="488" hidden="1" s="27">
      <c r="A488" s="47" t="inlineStr">
        <is>
          <t>더원모바일</t>
        </is>
      </c>
      <c r="B488" s="47" t="inlineStr">
        <is>
          <t>ONE 5G 20GB 300분</t>
        </is>
      </c>
      <c r="C488" s="47" t="inlineStr">
        <is>
          <t>300분</t>
        </is>
      </c>
      <c r="D488" s="47" t="inlineStr">
        <is>
          <t>200건</t>
        </is>
      </c>
      <c r="E488" s="47" t="inlineStr">
        <is>
          <t>월 20GB</t>
        </is>
      </c>
      <c r="F488" s="47" t="inlineStr">
        <is>
          <t>KT</t>
        </is>
      </c>
      <c r="G488" s="47" t="inlineStr">
        <is>
          <t>5G</t>
        </is>
      </c>
      <c r="H488" s="48" t="n">
        <v>3960</v>
      </c>
      <c r="I488" s="48" t="n">
        <v>6</v>
      </c>
      <c r="J488" s="48" t="n">
        <v>29700</v>
      </c>
      <c r="K488" s="47">
        <f t="array" ref="K488">_xlfn.XLOOKUP(1,(참조!$B$2:$B$15=E488)*(참조!$D$2:$D$15=C488)*(참조!$E$2:$E$15=D488),참조!$C$2:$C$15,"")</f>
        <v/>
      </c>
    </row>
    <row r="489" hidden="1" s="27">
      <c r="A489" s="47" t="inlineStr">
        <is>
          <t>시월모바일</t>
        </is>
      </c>
      <c r="B489" s="47" t="inlineStr">
        <is>
          <t>두해 통화기본100GB+</t>
        </is>
      </c>
      <c r="C489" s="47" t="inlineStr">
        <is>
          <t>무제한</t>
        </is>
      </c>
      <c r="D489" s="47" t="inlineStr">
        <is>
          <t>무제한</t>
        </is>
      </c>
      <c r="E489" s="47" t="inlineStr">
        <is>
          <t>월 100GB + 5Mbps</t>
        </is>
      </c>
      <c r="F489" s="47" t="inlineStr">
        <is>
          <t>LG U+</t>
        </is>
      </c>
      <c r="G489" s="47" t="inlineStr">
        <is>
          <t>LTE</t>
        </is>
      </c>
      <c r="H489" s="48" t="n">
        <v>29090</v>
      </c>
      <c r="I489" s="48" t="n">
        <v>24</v>
      </c>
      <c r="J489" s="48" t="n">
        <v>47350</v>
      </c>
      <c r="K489" s="47">
        <f t="array" ref="K489">_xlfn.XLOOKUP(1,(참조!$B$2:$B$15=E489)*(참조!$D$2:$D$15=C489)*(참조!$E$2:$E$15=D489),참조!$C$2:$C$15,"")</f>
        <v/>
      </c>
    </row>
    <row r="490" hidden="1" s="27">
      <c r="A490" s="47" t="inlineStr">
        <is>
          <t>인스모바일</t>
        </is>
      </c>
      <c r="B490" s="47" t="inlineStr">
        <is>
          <t>인스 유심 스트롱 매일 5GB+</t>
        </is>
      </c>
      <c r="C490" s="47" t="inlineStr">
        <is>
          <t>무제한</t>
        </is>
      </c>
      <c r="D490" s="47" t="inlineStr">
        <is>
          <t>무제한</t>
        </is>
      </c>
      <c r="E490" s="47" t="inlineStr">
        <is>
          <t>매일 5GB + 5Mbps</t>
        </is>
      </c>
      <c r="F490" s="47" t="inlineStr">
        <is>
          <t>LG U+</t>
        </is>
      </c>
      <c r="G490" s="47" t="inlineStr">
        <is>
          <t>LTE</t>
        </is>
      </c>
      <c r="H490" s="48" t="n">
        <v>9600</v>
      </c>
      <c r="I490" s="48" t="n">
        <v>7</v>
      </c>
      <c r="J490" s="48" t="n">
        <v>47000</v>
      </c>
      <c r="K490" s="47">
        <f t="array" ref="K490">_xlfn.XLOOKUP(1,(참조!$B$2:$B$15=E490)*(참조!$D$2:$D$15=C490)*(참조!$E$2:$E$15=D490),참조!$C$2:$C$15,"")</f>
        <v/>
      </c>
    </row>
    <row r="491" hidden="1" s="27">
      <c r="A491" s="47" t="inlineStr">
        <is>
          <t>위너스텔</t>
        </is>
      </c>
      <c r="B491" s="47" t="inlineStr">
        <is>
          <t>7GB+1Mbps(다이소쿠폰 5,000P)</t>
        </is>
      </c>
      <c r="C491" s="47" t="inlineStr">
        <is>
          <t>무제한</t>
        </is>
      </c>
      <c r="D491" s="47" t="inlineStr">
        <is>
          <t>무제한</t>
        </is>
      </c>
      <c r="E491" s="47" t="inlineStr">
        <is>
          <t>월 7GB + 1Mbps</t>
        </is>
      </c>
      <c r="F491" s="47" t="inlineStr">
        <is>
          <t>KT</t>
        </is>
      </c>
      <c r="G491" s="47" t="inlineStr">
        <is>
          <t>LTE</t>
        </is>
      </c>
      <c r="H491" s="48" t="n">
        <v>19800</v>
      </c>
      <c r="I491" s="48" t="n"/>
      <c r="J491" s="48" t="n"/>
      <c r="K491" s="47">
        <f t="array" ref="K491">_xlfn.XLOOKUP(1,(참조!$B$2:$B$15=E491)*(참조!$D$2:$D$15=C491)*(참조!$E$2:$E$15=D491),참조!$C$2:$C$15,"")</f>
        <v/>
      </c>
    </row>
    <row r="492" hidden="1" s="27">
      <c r="A492" s="47" t="inlineStr">
        <is>
          <t>KG모바일</t>
        </is>
      </c>
      <c r="B492" s="47" t="inlineStr">
        <is>
          <t>[평생할인] 데이터 마음대로 (1GB+/300분)</t>
        </is>
      </c>
      <c r="C492" s="47" t="inlineStr">
        <is>
          <t>300분</t>
        </is>
      </c>
      <c r="D492" s="47" t="inlineStr">
        <is>
          <t>100건</t>
        </is>
      </c>
      <c r="E492" s="47" t="inlineStr">
        <is>
          <t>월 1GB + 1Mbps</t>
        </is>
      </c>
      <c r="F492" s="47" t="inlineStr">
        <is>
          <t>LG U+</t>
        </is>
      </c>
      <c r="G492" s="47" t="inlineStr">
        <is>
          <t>LTE</t>
        </is>
      </c>
      <c r="H492" s="48" t="n">
        <v>4510</v>
      </c>
      <c r="I492" s="48" t="n"/>
      <c r="J492" s="48" t="n"/>
      <c r="K492" s="47">
        <f t="array" ref="K492">_xlfn.XLOOKUP(1,(참조!$B$2:$B$15=E492)*(참조!$D$2:$D$15=C492)*(참조!$E$2:$E$15=D492),참조!$C$2:$C$15,"")</f>
        <v/>
      </c>
    </row>
    <row r="493" hidden="1" s="27">
      <c r="A493" s="47" t="inlineStr">
        <is>
          <t>인스모바일</t>
        </is>
      </c>
      <c r="B493" s="47" t="inlineStr">
        <is>
          <t>[12개월]인스 유심 스트롱 15GB+</t>
        </is>
      </c>
      <c r="C493" s="47" t="inlineStr">
        <is>
          <t>100분</t>
        </is>
      </c>
      <c r="D493" s="47" t="inlineStr">
        <is>
          <t>100건</t>
        </is>
      </c>
      <c r="E493" s="47" t="inlineStr">
        <is>
          <t>월 15GB + 3Mbps</t>
        </is>
      </c>
      <c r="F493" s="47" t="inlineStr">
        <is>
          <t>LG U+</t>
        </is>
      </c>
      <c r="G493" s="47" t="inlineStr">
        <is>
          <t>LTE</t>
        </is>
      </c>
      <c r="H493" s="48" t="n">
        <v>18600</v>
      </c>
      <c r="I493" s="48" t="n">
        <v>12</v>
      </c>
      <c r="J493" s="48" t="n">
        <v>29050</v>
      </c>
      <c r="K493" s="47">
        <f t="array" ref="K493">_xlfn.XLOOKUP(1,(참조!$B$2:$B$15=E493)*(참조!$D$2:$D$15=C493)*(참조!$E$2:$E$15=D493),참조!$C$2:$C$15,"")</f>
        <v/>
      </c>
    </row>
    <row r="494" hidden="1" s="27">
      <c r="A494" s="47" t="inlineStr">
        <is>
          <t>인스모바일</t>
        </is>
      </c>
      <c r="B494" s="47" t="inlineStr">
        <is>
          <t>[24개월] 인스 유심 스트롱 100GB+</t>
        </is>
      </c>
      <c r="C494" s="47" t="inlineStr">
        <is>
          <t>무제한</t>
        </is>
      </c>
      <c r="D494" s="47" t="inlineStr">
        <is>
          <t>무제한</t>
        </is>
      </c>
      <c r="E494" s="47" t="inlineStr">
        <is>
          <t>월 100GB + 5Mbps</t>
        </is>
      </c>
      <c r="F494" s="47" t="inlineStr">
        <is>
          <t>LG U+</t>
        </is>
      </c>
      <c r="G494" s="47" t="inlineStr">
        <is>
          <t>LTE</t>
        </is>
      </c>
      <c r="H494" s="48" t="n">
        <v>28520</v>
      </c>
      <c r="I494" s="48" t="n">
        <v>24</v>
      </c>
      <c r="J494" s="48" t="n">
        <v>47000</v>
      </c>
      <c r="K494" s="47">
        <f t="array" ref="K494">_xlfn.XLOOKUP(1,(참조!$B$2:$B$15=E494)*(참조!$D$2:$D$15=C494)*(참조!$E$2:$E$15=D494),참조!$C$2:$C$15,"")</f>
        <v/>
      </c>
    </row>
    <row r="495" hidden="1" s="27">
      <c r="A495" s="47" t="inlineStr">
        <is>
          <t>KT스카이라이프</t>
        </is>
      </c>
      <c r="B495" s="47" t="inlineStr">
        <is>
          <t>통화 충분 2.5GB</t>
        </is>
      </c>
      <c r="C495" s="47" t="inlineStr">
        <is>
          <t>무제한</t>
        </is>
      </c>
      <c r="D495" s="47" t="inlineStr">
        <is>
          <t>무제한</t>
        </is>
      </c>
      <c r="E495" s="47" t="inlineStr">
        <is>
          <t>월 2.5GB</t>
        </is>
      </c>
      <c r="F495" s="47" t="inlineStr">
        <is>
          <t>KT</t>
        </is>
      </c>
      <c r="G495" s="47" t="inlineStr">
        <is>
          <t>LTE</t>
        </is>
      </c>
      <c r="H495" s="48" t="n">
        <v>7700</v>
      </c>
      <c r="I495" s="48" t="n"/>
      <c r="J495" s="48" t="n"/>
      <c r="K495" s="47">
        <f t="array" ref="K495">_xlfn.XLOOKUP(1,(참조!$B$2:$B$15=E495)*(참조!$D$2:$D$15=C495)*(참조!$E$2:$E$15=D495),참조!$C$2:$C$15,"")</f>
        <v/>
      </c>
    </row>
    <row r="496" hidden="1" s="27">
      <c r="A496" s="47" t="inlineStr">
        <is>
          <t>위너스텔</t>
        </is>
      </c>
      <c r="B496" s="47" t="inlineStr">
        <is>
          <t>7GB+1Mbps(밀리의서재 무료구독)</t>
        </is>
      </c>
      <c r="C496" s="47" t="inlineStr">
        <is>
          <t>무제한</t>
        </is>
      </c>
      <c r="D496" s="47" t="inlineStr">
        <is>
          <t>무제한</t>
        </is>
      </c>
      <c r="E496" s="47" t="inlineStr">
        <is>
          <t>월 7GB + 1Mbps</t>
        </is>
      </c>
      <c r="F496" s="47" t="inlineStr">
        <is>
          <t>KT</t>
        </is>
      </c>
      <c r="G496" s="47" t="inlineStr">
        <is>
          <t>LTE</t>
        </is>
      </c>
      <c r="H496" s="48" t="n">
        <v>19800</v>
      </c>
      <c r="I496" s="48" t="n"/>
      <c r="J496" s="48" t="n"/>
      <c r="K496" s="47">
        <f t="array" ref="K496">_xlfn.XLOOKUP(1,(참조!$B$2:$B$15=E496)*(참조!$D$2:$D$15=C496)*(참조!$E$2:$E$15=D496),참조!$C$2:$C$15,"")</f>
        <v/>
      </c>
    </row>
    <row r="497" hidden="1" s="27">
      <c r="A497" s="47" t="inlineStr">
        <is>
          <t>스마텔</t>
        </is>
      </c>
      <c r="B497" s="47" t="inlineStr">
        <is>
          <t>USIM 스마일 (500분/10GB)</t>
        </is>
      </c>
      <c r="C497" s="47" t="inlineStr">
        <is>
          <t>500분</t>
        </is>
      </c>
      <c r="D497" s="47" t="inlineStr">
        <is>
          <t>100건</t>
        </is>
      </c>
      <c r="E497" s="47" t="inlineStr">
        <is>
          <t>월 10GB</t>
        </is>
      </c>
      <c r="F497" s="47" t="inlineStr">
        <is>
          <t>SKT</t>
        </is>
      </c>
      <c r="G497" s="47" t="inlineStr">
        <is>
          <t>LTE</t>
        </is>
      </c>
      <c r="H497" s="48" t="n">
        <v>990</v>
      </c>
      <c r="I497" s="48" t="n">
        <v>12</v>
      </c>
      <c r="J497" s="48" t="n">
        <v>20900</v>
      </c>
      <c r="K497" s="47">
        <f t="array" ref="K497">_xlfn.XLOOKUP(1,(참조!$B$2:$B$15=E497)*(참조!$D$2:$D$15=C497)*(참조!$E$2:$E$15=D497),참조!$C$2:$C$15,"")</f>
        <v/>
      </c>
    </row>
    <row r="498">
      <c r="A498" s="47" t="inlineStr">
        <is>
          <t>티플러스</t>
        </is>
      </c>
      <c r="B498" s="47" t="inlineStr">
        <is>
          <t>티플 마음껏 매일5G＋_24개월요금</t>
        </is>
      </c>
      <c r="C498" s="47" t="inlineStr">
        <is>
          <t>무제한</t>
        </is>
      </c>
      <c r="D498" s="47" t="inlineStr">
        <is>
          <t>무제한</t>
        </is>
      </c>
      <c r="E498" s="47" t="inlineStr">
        <is>
          <t>매일 5GB + 5Mbps</t>
        </is>
      </c>
      <c r="F498" s="47" t="inlineStr">
        <is>
          <t>LG U+</t>
        </is>
      </c>
      <c r="G498" s="47" t="inlineStr">
        <is>
          <t>LTE</t>
        </is>
      </c>
      <c r="H498" s="48" t="n">
        <v>28900</v>
      </c>
      <c r="I498" s="48" t="n">
        <v>24</v>
      </c>
      <c r="J498" s="48" t="n">
        <v>41800</v>
      </c>
      <c r="K498" s="47">
        <f t="array" ref="K498">_xlfn.XLOOKUP(1,(참조!$B$2:$B$15=E498)*(참조!$D$2:$D$15=C498)*(참조!$E$2:$E$15=D498),참조!$C$2:$C$15,"")</f>
        <v/>
      </c>
    </row>
    <row r="499" hidden="1" s="27">
      <c r="A499" s="47" t="inlineStr">
        <is>
          <t>찬스모바일</t>
        </is>
      </c>
      <c r="B499" s="47" t="inlineStr">
        <is>
          <t>[CHM]5G 찬스 300분/15GB+</t>
        </is>
      </c>
      <c r="C499" s="47" t="inlineStr">
        <is>
          <t>300분</t>
        </is>
      </c>
      <c r="D499" s="47" t="inlineStr">
        <is>
          <t>300건</t>
        </is>
      </c>
      <c r="E499" s="47" t="inlineStr">
        <is>
          <t>월 15GB + 1Mbps</t>
        </is>
      </c>
      <c r="F499" s="47" t="inlineStr">
        <is>
          <t>LG U+</t>
        </is>
      </c>
      <c r="G499" s="47" t="inlineStr">
        <is>
          <t>5G</t>
        </is>
      </c>
      <c r="H499" s="48" t="n">
        <v>5500</v>
      </c>
      <c r="I499" s="48" t="n">
        <v>6</v>
      </c>
      <c r="J499" s="48" t="n">
        <v>27500</v>
      </c>
      <c r="K499" s="47">
        <f t="array" ref="K499">_xlfn.XLOOKUP(1,(참조!$B$2:$B$15=E499)*(참조!$D$2:$D$15=C499)*(참조!$E$2:$E$15=D499),참조!$C$2:$C$15,"")</f>
        <v/>
      </c>
    </row>
    <row r="500">
      <c r="A500" s="47" t="inlineStr">
        <is>
          <t>U+유모바일</t>
        </is>
      </c>
      <c r="B500" s="47" t="inlineStr">
        <is>
          <t>데이터 플러스 15GB+/100분(평생 +10GB 추가 제공 프로모션)</t>
        </is>
      </c>
      <c r="C500" s="47" t="inlineStr">
        <is>
          <t>100분</t>
        </is>
      </c>
      <c r="D500" s="47" t="inlineStr">
        <is>
          <t>100건</t>
        </is>
      </c>
      <c r="E500" s="47" t="inlineStr">
        <is>
          <t>월 25GB + 3Mbps</t>
        </is>
      </c>
      <c r="F500" s="47" t="inlineStr">
        <is>
          <t>LG U+</t>
        </is>
      </c>
      <c r="G500" s="47" t="inlineStr">
        <is>
          <t>LTE</t>
        </is>
      </c>
      <c r="H500" s="48" t="n">
        <v>26900</v>
      </c>
      <c r="I500" s="48" t="n"/>
      <c r="J500" s="48" t="n"/>
      <c r="K500" s="47">
        <f t="array" ref="K500">_xlfn.XLOOKUP(1,(참조!$B$2:$B$15=E500)*(참조!$D$2:$D$15=C500)*(참조!$E$2:$E$15=D500),참조!$C$2:$C$15,"")</f>
        <v/>
      </c>
    </row>
    <row r="501" hidden="1" s="27">
      <c r="A501" s="47" t="inlineStr">
        <is>
          <t>티플러스</t>
        </is>
      </c>
      <c r="B501" s="47" t="inlineStr">
        <is>
          <t>티플포유(5G/100분)</t>
        </is>
      </c>
      <c r="C501" s="47" t="inlineStr">
        <is>
          <t>100분</t>
        </is>
      </c>
      <c r="D501" s="47" t="inlineStr">
        <is>
          <t>100건</t>
        </is>
      </c>
      <c r="E501" s="47" t="inlineStr">
        <is>
          <t>월 5GB</t>
        </is>
      </c>
      <c r="F501" s="47" t="inlineStr">
        <is>
          <t>LG U+</t>
        </is>
      </c>
      <c r="G501" s="47" t="inlineStr">
        <is>
          <t>LTE</t>
        </is>
      </c>
      <c r="H501" s="48" t="n">
        <v>10</v>
      </c>
      <c r="I501" s="48" t="n">
        <v>12</v>
      </c>
      <c r="J501" s="48" t="n">
        <v>8800</v>
      </c>
      <c r="K501" s="47">
        <f t="array" ref="K501">_xlfn.XLOOKUP(1,(참조!$B$2:$B$15=E501)*(참조!$D$2:$D$15=C501)*(참조!$E$2:$E$15=D501),참조!$C$2:$C$15,"")</f>
        <v/>
      </c>
    </row>
    <row r="502" hidden="1" s="27">
      <c r="A502" s="47" t="inlineStr">
        <is>
          <t>찬스모바일</t>
        </is>
      </c>
      <c r="B502" s="47" t="inlineStr">
        <is>
          <t>음성 300분 15GB+3Mbps_24개월</t>
        </is>
      </c>
      <c r="C502" s="47" t="inlineStr">
        <is>
          <t>300분</t>
        </is>
      </c>
      <c r="D502" s="47" t="inlineStr">
        <is>
          <t>300건</t>
        </is>
      </c>
      <c r="E502" s="47" t="inlineStr">
        <is>
          <t>월 15GB + 3Mbps</t>
        </is>
      </c>
      <c r="F502" s="47" t="inlineStr">
        <is>
          <t>LG U+</t>
        </is>
      </c>
      <c r="G502" s="47" t="inlineStr">
        <is>
          <t>LTE</t>
        </is>
      </c>
      <c r="H502" s="48" t="n">
        <v>20900</v>
      </c>
      <c r="I502" s="48" t="n">
        <v>24</v>
      </c>
      <c r="J502" s="48" t="n">
        <v>36300</v>
      </c>
      <c r="K502" s="47">
        <f t="array" ref="K502">_xlfn.XLOOKUP(1,(참조!$B$2:$B$15=E502)*(참조!$D$2:$D$15=C502)*(참조!$E$2:$E$15=D502),참조!$C$2:$C$15,"")</f>
        <v/>
      </c>
    </row>
    <row r="503" hidden="1" s="27">
      <c r="A503" s="47" t="inlineStr">
        <is>
          <t>고고모바일</t>
        </is>
      </c>
      <c r="B503" s="47" t="inlineStr">
        <is>
          <t>[모요only] LTE 무제한 100GB+5M(CU20%할인)</t>
        </is>
      </c>
      <c r="C503" s="47" t="inlineStr">
        <is>
          <t>무제한</t>
        </is>
      </c>
      <c r="D503" s="47" t="inlineStr">
        <is>
          <t>무제한</t>
        </is>
      </c>
      <c r="E503" s="47" t="inlineStr">
        <is>
          <t>월 100GB + 5Mbps</t>
        </is>
      </c>
      <c r="F503" s="47" t="inlineStr">
        <is>
          <t>KT</t>
        </is>
      </c>
      <c r="G503" s="47" t="inlineStr">
        <is>
          <t>LTE</t>
        </is>
      </c>
      <c r="H503" s="48" t="n">
        <v>15000</v>
      </c>
      <c r="I503" s="48" t="n">
        <v>7</v>
      </c>
      <c r="J503" s="48" t="n">
        <v>44000</v>
      </c>
      <c r="K503" s="47">
        <f t="array" ref="K503">_xlfn.XLOOKUP(1,(참조!$B$2:$B$15=E503)*(참조!$D$2:$D$15=C503)*(참조!$E$2:$E$15=D503),참조!$C$2:$C$15,"")</f>
        <v/>
      </c>
    </row>
    <row r="504" hidden="1" s="27">
      <c r="A504" s="47" t="inlineStr">
        <is>
          <t>KG모바일</t>
        </is>
      </c>
      <c r="B504" s="47" t="inlineStr">
        <is>
          <t>[일반] 데이터 마음대로 (15GB+/300분)_24개월</t>
        </is>
      </c>
      <c r="C504" s="47" t="inlineStr">
        <is>
          <t>300분</t>
        </is>
      </c>
      <c r="D504" s="47" t="inlineStr">
        <is>
          <t>300건</t>
        </is>
      </c>
      <c r="E504" s="47" t="inlineStr">
        <is>
          <t>월 15GB + 3Mbps</t>
        </is>
      </c>
      <c r="F504" s="47" t="inlineStr">
        <is>
          <t>LG U+</t>
        </is>
      </c>
      <c r="G504" s="47" t="inlineStr">
        <is>
          <t>LTE</t>
        </is>
      </c>
      <c r="H504" s="48" t="n">
        <v>21800</v>
      </c>
      <c r="I504" s="48" t="n">
        <v>24</v>
      </c>
      <c r="J504" s="48" t="n">
        <v>35200</v>
      </c>
      <c r="K504" s="47">
        <f t="array" ref="K504">_xlfn.XLOOKUP(1,(참조!$B$2:$B$15=E504)*(참조!$D$2:$D$15=C504)*(참조!$E$2:$E$15=D504),참조!$C$2:$C$15,"")</f>
        <v/>
      </c>
    </row>
    <row r="505" hidden="1" s="27">
      <c r="A505" s="47" t="inlineStr">
        <is>
          <t>티플러스</t>
        </is>
      </c>
      <c r="B505" s="47" t="inlineStr">
        <is>
          <t>통화안심 10GB</t>
        </is>
      </c>
      <c r="C505" s="47" t="inlineStr">
        <is>
          <t>무제한</t>
        </is>
      </c>
      <c r="D505" s="47" t="inlineStr">
        <is>
          <t>100건</t>
        </is>
      </c>
      <c r="E505" s="47" t="inlineStr">
        <is>
          <t>월 10GB</t>
        </is>
      </c>
      <c r="F505" s="47" t="inlineStr">
        <is>
          <t>SKT</t>
        </is>
      </c>
      <c r="G505" s="47" t="inlineStr">
        <is>
          <t>LTE</t>
        </is>
      </c>
      <c r="H505" s="48" t="n">
        <v>10</v>
      </c>
      <c r="I505" s="48" t="n">
        <v>7</v>
      </c>
      <c r="J505" s="48" t="n">
        <v>19800</v>
      </c>
      <c r="K505" s="47">
        <f t="array" ref="K505">_xlfn.XLOOKUP(1,(참조!$B$2:$B$15=E505)*(참조!$D$2:$D$15=C505)*(참조!$E$2:$E$15=D505),참조!$C$2:$C$15,"")</f>
        <v/>
      </c>
    </row>
    <row r="506" hidden="1" s="27">
      <c r="A506" s="47" t="inlineStr">
        <is>
          <t>더원모바일</t>
        </is>
      </c>
      <c r="B506" s="47" t="inlineStr">
        <is>
          <t>TOP 11GB 기본 (다이소)</t>
        </is>
      </c>
      <c r="C506" s="47" t="inlineStr">
        <is>
          <t>무제한</t>
        </is>
      </c>
      <c r="D506" s="47" t="inlineStr">
        <is>
          <t>무제한</t>
        </is>
      </c>
      <c r="E506" s="47" t="inlineStr">
        <is>
          <t>월 11GB + 매일 2GB + 3Mbps</t>
        </is>
      </c>
      <c r="F506" s="47" t="inlineStr">
        <is>
          <t>KT</t>
        </is>
      </c>
      <c r="G506" s="47" t="inlineStr">
        <is>
          <t>LTE</t>
        </is>
      </c>
      <c r="H506" s="48" t="n">
        <v>9900</v>
      </c>
      <c r="I506" s="48" t="n">
        <v>7</v>
      </c>
      <c r="J506" s="48" t="n">
        <v>40700</v>
      </c>
      <c r="K506" s="47">
        <f t="array" ref="K506">_xlfn.XLOOKUP(1,(참조!$B$2:$B$15=E506)*(참조!$D$2:$D$15=C506)*(참조!$E$2:$E$15=D506),참조!$C$2:$C$15,"")</f>
        <v/>
      </c>
    </row>
    <row r="507" hidden="1" s="27">
      <c r="A507" s="47" t="inlineStr">
        <is>
          <t>마블링</t>
        </is>
      </c>
      <c r="B507" s="47" t="inlineStr">
        <is>
          <t>[모요only] 마블링 프라임 15GB+1Mbps</t>
        </is>
      </c>
      <c r="C507" s="47" t="inlineStr">
        <is>
          <t>무제한</t>
        </is>
      </c>
      <c r="D507" s="47" t="inlineStr">
        <is>
          <t>무제한</t>
        </is>
      </c>
      <c r="E507" s="47" t="inlineStr">
        <is>
          <t>월 15GB + 1Mbps</t>
        </is>
      </c>
      <c r="F507" s="47" t="inlineStr">
        <is>
          <t>LG U+</t>
        </is>
      </c>
      <c r="G507" s="47" t="inlineStr">
        <is>
          <t>LTE</t>
        </is>
      </c>
      <c r="H507" s="48" t="n">
        <v>6990</v>
      </c>
      <c r="I507" s="48" t="n">
        <v>7</v>
      </c>
      <c r="J507" s="48" t="n">
        <v>24900</v>
      </c>
      <c r="K507" s="47">
        <f t="array" ref="K507">_xlfn.XLOOKUP(1,(참조!$B$2:$B$15=E507)*(참조!$D$2:$D$15=C507)*(참조!$E$2:$E$15=D507),참조!$C$2:$C$15,"")</f>
        <v/>
      </c>
    </row>
    <row r="508" hidden="1" s="27">
      <c r="A508" s="47" t="inlineStr">
        <is>
          <t>더원모바일</t>
        </is>
      </c>
      <c r="B508" s="47" t="inlineStr">
        <is>
          <t>ONE 5G 15GB 100분</t>
        </is>
      </c>
      <c r="C508" s="47" t="inlineStr">
        <is>
          <t>100분</t>
        </is>
      </c>
      <c r="D508" s="47" t="inlineStr">
        <is>
          <t>100건</t>
        </is>
      </c>
      <c r="E508" s="47" t="inlineStr">
        <is>
          <t>월 15GB</t>
        </is>
      </c>
      <c r="F508" s="47" t="inlineStr">
        <is>
          <t>KT</t>
        </is>
      </c>
      <c r="G508" s="47" t="inlineStr">
        <is>
          <t>5G</t>
        </is>
      </c>
      <c r="H508" s="48" t="n">
        <v>660</v>
      </c>
      <c r="I508" s="48" t="n">
        <v>6</v>
      </c>
      <c r="J508" s="48" t="n">
        <v>19800</v>
      </c>
      <c r="K508" s="47">
        <f t="array" ref="K508">_xlfn.XLOOKUP(1,(참조!$B$2:$B$15=E508)*(참조!$D$2:$D$15=C508)*(참조!$E$2:$E$15=D508),참조!$C$2:$C$15,"")</f>
        <v/>
      </c>
    </row>
    <row r="509" hidden="1" s="27">
      <c r="A509" s="47" t="inlineStr">
        <is>
          <t>티플러스</t>
        </is>
      </c>
      <c r="B509" s="47" t="inlineStr">
        <is>
          <t>The 완전마음껏11G+(컬쳐랜드 문화상품권 매월 5000P)</t>
        </is>
      </c>
      <c r="C509" s="47" t="inlineStr">
        <is>
          <t>무제한</t>
        </is>
      </c>
      <c r="D509" s="47" t="inlineStr">
        <is>
          <t>무제한</t>
        </is>
      </c>
      <c r="E509" s="47" t="inlineStr">
        <is>
          <t>월 11GB + 매일 2GB + 3Mbps</t>
        </is>
      </c>
      <c r="F509" s="47" t="inlineStr">
        <is>
          <t>LG U+</t>
        </is>
      </c>
      <c r="G509" s="47" t="inlineStr">
        <is>
          <t>LTE</t>
        </is>
      </c>
      <c r="H509" s="48" t="n">
        <v>27900</v>
      </c>
      <c r="I509" s="48" t="n">
        <v>24</v>
      </c>
      <c r="J509" s="48" t="n">
        <v>39600</v>
      </c>
      <c r="K509" s="47">
        <f t="array" ref="K509">_xlfn.XLOOKUP(1,(참조!$B$2:$B$15=E509)*(참조!$D$2:$D$15=C509)*(참조!$E$2:$E$15=D509),참조!$C$2:$C$15,"")</f>
        <v/>
      </c>
    </row>
    <row r="510" hidden="1" s="27">
      <c r="A510" s="47" t="inlineStr">
        <is>
          <t>티플러스</t>
        </is>
      </c>
      <c r="B510" s="47" t="inlineStr">
        <is>
          <t>티플 7G+_24개월할인</t>
        </is>
      </c>
      <c r="C510" s="47" t="inlineStr">
        <is>
          <t>무제한</t>
        </is>
      </c>
      <c r="D510" s="47" t="inlineStr">
        <is>
          <t>무제한</t>
        </is>
      </c>
      <c r="E510" s="47" t="inlineStr">
        <is>
          <t>월 7GB + 1Mbps</t>
        </is>
      </c>
      <c r="F510" s="47" t="inlineStr">
        <is>
          <t>LG U+</t>
        </is>
      </c>
      <c r="G510" s="47" t="inlineStr">
        <is>
          <t>LTE</t>
        </is>
      </c>
      <c r="H510" s="48" t="n">
        <v>11900</v>
      </c>
      <c r="I510" s="48" t="n">
        <v>24</v>
      </c>
      <c r="J510" s="48" t="n">
        <v>22000</v>
      </c>
      <c r="K510" s="47">
        <f t="array" ref="K510">_xlfn.XLOOKUP(1,(참조!$B$2:$B$15=E510)*(참조!$D$2:$D$15=C510)*(참조!$E$2:$E$15=D510),참조!$C$2:$C$15,"")</f>
        <v/>
      </c>
    </row>
    <row r="511" hidden="1" s="27">
      <c r="A511" s="47" t="inlineStr">
        <is>
          <t>시월모바일</t>
        </is>
      </c>
      <c r="B511" s="47" t="inlineStr">
        <is>
          <t>시월 300분15GB+3Mbps</t>
        </is>
      </c>
      <c r="C511" s="47" t="inlineStr">
        <is>
          <t>300분</t>
        </is>
      </c>
      <c r="D511" s="47" t="inlineStr">
        <is>
          <t>300건</t>
        </is>
      </c>
      <c r="E511" s="47" t="inlineStr">
        <is>
          <t>월 15GB + 3Mbps</t>
        </is>
      </c>
      <c r="F511" s="47" t="inlineStr">
        <is>
          <t>LG U+</t>
        </is>
      </c>
      <c r="G511" s="47" t="inlineStr">
        <is>
          <t>LTE</t>
        </is>
      </c>
      <c r="H511" s="48" t="n">
        <v>12050</v>
      </c>
      <c r="I511" s="48" t="n">
        <v>7</v>
      </c>
      <c r="J511" s="48" t="n">
        <v>30750</v>
      </c>
      <c r="K511" s="47">
        <f t="array" ref="K511">_xlfn.XLOOKUP(1,(참조!$B$2:$B$15=E511)*(참조!$D$2:$D$15=C511)*(참조!$E$2:$E$15=D511),참조!$C$2:$C$15,"")</f>
        <v/>
      </c>
    </row>
    <row r="512" hidden="1" s="27">
      <c r="A512" s="47" t="inlineStr">
        <is>
          <t>KT스카이라이프</t>
        </is>
      </c>
      <c r="B512" s="47" t="inlineStr">
        <is>
          <t>모두 충분 11GB+(밀리의서재)</t>
        </is>
      </c>
      <c r="C512" s="47" t="inlineStr">
        <is>
          <t>무제한</t>
        </is>
      </c>
      <c r="D512" s="47" t="inlineStr">
        <is>
          <t>무제한</t>
        </is>
      </c>
      <c r="E512" s="47" t="inlineStr">
        <is>
          <t>월 11GB + 매일 2GB + 3Mbps</t>
        </is>
      </c>
      <c r="F512" s="47" t="inlineStr">
        <is>
          <t>KT</t>
        </is>
      </c>
      <c r="G512" s="47" t="inlineStr">
        <is>
          <t>LTE</t>
        </is>
      </c>
      <c r="H512" s="48" t="n">
        <v>34300</v>
      </c>
      <c r="I512" s="48" t="n"/>
      <c r="J512" s="48" t="n"/>
      <c r="K512" s="47">
        <f t="array" ref="K512">_xlfn.XLOOKUP(1,(참조!$B$2:$B$15=E512)*(참조!$D$2:$D$15=C512)*(참조!$E$2:$E$15=D512),참조!$C$2:$C$15,"")</f>
        <v/>
      </c>
    </row>
    <row r="513" hidden="1" s="27">
      <c r="A513" s="47" t="inlineStr">
        <is>
          <t>KT스카이라이프</t>
        </is>
      </c>
      <c r="B513" s="47" t="inlineStr">
        <is>
          <t>모두 충분 15GB+(다이소_5000)</t>
        </is>
      </c>
      <c r="C513" s="47" t="inlineStr">
        <is>
          <t>무제한</t>
        </is>
      </c>
      <c r="D513" s="47" t="inlineStr">
        <is>
          <t>무제한</t>
        </is>
      </c>
      <c r="E513" s="47" t="inlineStr">
        <is>
          <t>월 15GB + 1Mbps</t>
        </is>
      </c>
      <c r="F513" s="47" t="inlineStr">
        <is>
          <t>KT</t>
        </is>
      </c>
      <c r="G513" s="47" t="inlineStr">
        <is>
          <t>LTE</t>
        </is>
      </c>
      <c r="H513" s="48" t="n">
        <v>23700</v>
      </c>
      <c r="I513" s="48" t="n"/>
      <c r="J513" s="48" t="n"/>
      <c r="K513" s="47">
        <f t="array" ref="K513">_xlfn.XLOOKUP(1,(참조!$B$2:$B$15=E513)*(참조!$D$2:$D$15=C513)*(참조!$E$2:$E$15=D513),참조!$C$2:$C$15,"")</f>
        <v/>
      </c>
    </row>
    <row r="514" hidden="1" s="27">
      <c r="A514" s="47" t="inlineStr">
        <is>
          <t>KT엠모바일</t>
        </is>
      </c>
      <c r="B514" s="47" t="inlineStr">
        <is>
          <t>모두다 맘껏 7GB+(밀리의 서재 FREE)</t>
        </is>
      </c>
      <c r="C514" s="47" t="inlineStr">
        <is>
          <t>무제한</t>
        </is>
      </c>
      <c r="D514" s="47" t="inlineStr">
        <is>
          <t>무제한</t>
        </is>
      </c>
      <c r="E514" s="47" t="inlineStr">
        <is>
          <t>월 7GB + 1Mbps</t>
        </is>
      </c>
      <c r="F514" s="47" t="inlineStr">
        <is>
          <t>KT</t>
        </is>
      </c>
      <c r="G514" s="47" t="inlineStr">
        <is>
          <t>LTE</t>
        </is>
      </c>
      <c r="H514" s="48" t="n">
        <v>16300</v>
      </c>
      <c r="I514" s="48" t="n"/>
      <c r="J514" s="48" t="n"/>
      <c r="K514" s="47">
        <f t="array" ref="K514">_xlfn.XLOOKUP(1,(참조!$B$2:$B$15=E514)*(참조!$D$2:$D$15=C514)*(참조!$E$2:$E$15=D514),참조!$C$2:$C$15,"")</f>
        <v/>
      </c>
    </row>
    <row r="515" hidden="1" s="27">
      <c r="A515" s="47" t="inlineStr">
        <is>
          <t>고고모바일</t>
        </is>
      </c>
      <c r="B515" s="47" t="inlineStr">
        <is>
          <t>LTE무제한 100GB+5M(CU20%할인)</t>
        </is>
      </c>
      <c r="C515" s="47" t="inlineStr">
        <is>
          <t>무제한</t>
        </is>
      </c>
      <c r="D515" s="47" t="inlineStr">
        <is>
          <t>무제한</t>
        </is>
      </c>
      <c r="E515" s="47" t="inlineStr">
        <is>
          <t>월 100GB + 5Mbps</t>
        </is>
      </c>
      <c r="F515" s="47" t="inlineStr">
        <is>
          <t>KT</t>
        </is>
      </c>
      <c r="G515" s="47" t="inlineStr">
        <is>
          <t>LTE</t>
        </is>
      </c>
      <c r="H515" s="48" t="n">
        <v>42020</v>
      </c>
      <c r="I515" s="48" t="n"/>
      <c r="J515" s="48" t="n"/>
      <c r="K515" s="47">
        <f t="array" ref="K515">_xlfn.XLOOKUP(1,(참조!$B$2:$B$15=E515)*(참조!$D$2:$D$15=C515)*(참조!$E$2:$E$15=D515),참조!$C$2:$C$15,"")</f>
        <v/>
      </c>
    </row>
    <row r="516" hidden="1" s="27">
      <c r="A516" s="47" t="inlineStr">
        <is>
          <t>KT스카이라이프</t>
        </is>
      </c>
      <c r="B516" s="47" t="inlineStr">
        <is>
          <t>모두 충분 15GB+(Pay_5000)</t>
        </is>
      </c>
      <c r="C516" s="47" t="inlineStr">
        <is>
          <t>무제한</t>
        </is>
      </c>
      <c r="D516" s="47" t="inlineStr">
        <is>
          <t>무제한</t>
        </is>
      </c>
      <c r="E516" s="47" t="inlineStr">
        <is>
          <t>월 15GB + 1Mbps</t>
        </is>
      </c>
      <c r="F516" s="47" t="inlineStr">
        <is>
          <t>KT</t>
        </is>
      </c>
      <c r="G516" s="47" t="inlineStr">
        <is>
          <t>LTE</t>
        </is>
      </c>
      <c r="H516" s="48" t="n">
        <v>23700</v>
      </c>
      <c r="I516" s="48" t="n"/>
      <c r="J516" s="48" t="n"/>
      <c r="K516" s="47">
        <f t="array" ref="K516">_xlfn.XLOOKUP(1,(참조!$B$2:$B$15=E516)*(참조!$D$2:$D$15=C516)*(참조!$E$2:$E$15=D516),참조!$C$2:$C$15,"")</f>
        <v/>
      </c>
    </row>
    <row r="517" hidden="1" s="27">
      <c r="A517" s="47" t="inlineStr">
        <is>
          <t>스마텔</t>
        </is>
      </c>
      <c r="B517" s="47" t="inlineStr">
        <is>
          <t>[모요only] CU 스위트 무제한 100GB+</t>
        </is>
      </c>
      <c r="C517" s="47" t="inlineStr">
        <is>
          <t>9,997분</t>
        </is>
      </c>
      <c r="D517" s="47" t="inlineStr">
        <is>
          <t>무제한</t>
        </is>
      </c>
      <c r="E517" s="47" t="inlineStr">
        <is>
          <t>월 100GB + 5Mbps</t>
        </is>
      </c>
      <c r="F517" s="47" t="inlineStr">
        <is>
          <t>KT</t>
        </is>
      </c>
      <c r="G517" s="47" t="inlineStr">
        <is>
          <t>LTE</t>
        </is>
      </c>
      <c r="H517" s="48" t="n">
        <v>26000</v>
      </c>
      <c r="I517" s="48" t="n">
        <v>12</v>
      </c>
      <c r="J517" s="48" t="n">
        <v>46200</v>
      </c>
      <c r="K517" s="47">
        <f t="array" ref="K517">_xlfn.XLOOKUP(1,(참조!$B$2:$B$15=E517)*(참조!$D$2:$D$15=C517)*(참조!$E$2:$E$15=D517),참조!$C$2:$C$15,"")</f>
        <v/>
      </c>
    </row>
    <row r="518" hidden="1" s="27">
      <c r="A518" s="47" t="inlineStr">
        <is>
          <t>KT스카이라이프</t>
        </is>
      </c>
      <c r="B518" s="47" t="inlineStr">
        <is>
          <t>웨어러블 Watch</t>
        </is>
      </c>
      <c r="C518" s="47" t="inlineStr">
        <is>
          <t>50분</t>
        </is>
      </c>
      <c r="D518" s="47" t="inlineStr">
        <is>
          <t>250건</t>
        </is>
      </c>
      <c r="E518" s="47" t="inlineStr">
        <is>
          <t>월 250MB + 200Kbps</t>
        </is>
      </c>
      <c r="F518" s="47" t="inlineStr">
        <is>
          <t>KT</t>
        </is>
      </c>
      <c r="G518" s="47" t="inlineStr">
        <is>
          <t>LTE</t>
        </is>
      </c>
      <c r="H518" s="48" t="n">
        <v>6600</v>
      </c>
      <c r="I518" s="48" t="n"/>
      <c r="J518" s="48" t="n"/>
      <c r="K518" s="47">
        <f t="array" ref="K518">_xlfn.XLOOKUP(1,(참조!$B$2:$B$15=E518)*(참조!$D$2:$D$15=C518)*(참조!$E$2:$E$15=D518),참조!$C$2:$C$15,"")</f>
        <v/>
      </c>
    </row>
    <row r="519" hidden="1" s="27">
      <c r="A519" s="47" t="inlineStr">
        <is>
          <t>고고모바일</t>
        </is>
      </c>
      <c r="B519" s="47" t="inlineStr">
        <is>
          <t>무제한 11GB+3M(다이소 매월 5000원)</t>
        </is>
      </c>
      <c r="C519" s="47" t="inlineStr">
        <is>
          <t>무제한</t>
        </is>
      </c>
      <c r="D519" s="47" t="inlineStr">
        <is>
          <t>무제한</t>
        </is>
      </c>
      <c r="E519" s="47" t="inlineStr">
        <is>
          <t>월 11GB + 매일 2GB + 3Mbps</t>
        </is>
      </c>
      <c r="F519" s="47" t="inlineStr">
        <is>
          <t>KT</t>
        </is>
      </c>
      <c r="G519" s="47" t="inlineStr">
        <is>
          <t>LTE</t>
        </is>
      </c>
      <c r="H519" s="48" t="n">
        <v>39160</v>
      </c>
      <c r="I519" s="48" t="n"/>
      <c r="J519" s="48" t="n"/>
      <c r="K519" s="47">
        <f t="array" ref="K519">_xlfn.XLOOKUP(1,(참조!$B$2:$B$15=E519)*(참조!$D$2:$D$15=C519)*(참조!$E$2:$E$15=D519),참조!$C$2:$C$15,"")</f>
        <v/>
      </c>
    </row>
    <row r="520" hidden="1" s="27">
      <c r="A520" s="47" t="inlineStr">
        <is>
          <t>고고모바일</t>
        </is>
      </c>
      <c r="B520" s="47" t="inlineStr">
        <is>
          <t>무제한11GB+3Mbps(배달의민족 매월 5,000포인트)</t>
        </is>
      </c>
      <c r="C520" s="47" t="inlineStr">
        <is>
          <t>무제한</t>
        </is>
      </c>
      <c r="D520" s="47" t="inlineStr">
        <is>
          <t>무제한</t>
        </is>
      </c>
      <c r="E520" s="47" t="inlineStr">
        <is>
          <t>월 11GB + 매일 2GB + 3Mbps</t>
        </is>
      </c>
      <c r="F520" s="47" t="inlineStr">
        <is>
          <t>KT</t>
        </is>
      </c>
      <c r="G520" s="47" t="inlineStr">
        <is>
          <t>LTE</t>
        </is>
      </c>
      <c r="H520" s="48" t="n">
        <v>39160</v>
      </c>
      <c r="I520" s="48" t="n"/>
      <c r="J520" s="48" t="n"/>
      <c r="K520" s="47">
        <f t="array" ref="K520">_xlfn.XLOOKUP(1,(참조!$B$2:$B$15=E520)*(참조!$D$2:$D$15=C520)*(참조!$E$2:$E$15=D520),참조!$C$2:$C$15,"")</f>
        <v/>
      </c>
    </row>
    <row r="521" hidden="1" s="27">
      <c r="A521" s="47" t="inlineStr">
        <is>
          <t>이야기모바일</t>
        </is>
      </c>
      <c r="B521" s="47" t="inlineStr">
        <is>
          <t>5G 이야기스페셜 125GB+</t>
        </is>
      </c>
      <c r="C521" s="47" t="inlineStr">
        <is>
          <t>무제한</t>
        </is>
      </c>
      <c r="D521" s="47" t="inlineStr">
        <is>
          <t>무제한</t>
        </is>
      </c>
      <c r="E521" s="47" t="inlineStr">
        <is>
          <t>월 125GB + 5Mbps</t>
        </is>
      </c>
      <c r="F521" s="47" t="inlineStr">
        <is>
          <t>LG U+</t>
        </is>
      </c>
      <c r="G521" s="47" t="inlineStr">
        <is>
          <t>5G</t>
        </is>
      </c>
      <c r="H521" s="48" t="n">
        <v>30800</v>
      </c>
      <c r="I521" s="48" t="n">
        <v>24</v>
      </c>
      <c r="J521" s="48" t="n">
        <v>46200</v>
      </c>
      <c r="K521" s="47">
        <f t="array" ref="K521">_xlfn.XLOOKUP(1,(참조!$B$2:$B$15=E521)*(참조!$D$2:$D$15=C521)*(참조!$E$2:$E$15=D521),참조!$C$2:$C$15,"")</f>
        <v/>
      </c>
    </row>
    <row r="522" hidden="1" s="27">
      <c r="A522" s="47" t="inlineStr">
        <is>
          <t>U+유모바일</t>
        </is>
      </c>
      <c r="B522" s="47" t="inlineStr">
        <is>
          <t>[평생할인] 15GB+/180분</t>
        </is>
      </c>
      <c r="C522" s="47" t="inlineStr">
        <is>
          <t>180분</t>
        </is>
      </c>
      <c r="D522" s="47" t="inlineStr">
        <is>
          <t>100건</t>
        </is>
      </c>
      <c r="E522" s="47" t="inlineStr">
        <is>
          <t>월 15GB + 3Mbps</t>
        </is>
      </c>
      <c r="F522" s="47" t="inlineStr">
        <is>
          <t>LG U+</t>
        </is>
      </c>
      <c r="G522" s="47" t="inlineStr">
        <is>
          <t>LTE</t>
        </is>
      </c>
      <c r="H522" s="48" t="n">
        <v>26900</v>
      </c>
      <c r="I522" s="48" t="n"/>
      <c r="J522" s="48" t="n"/>
      <c r="K522" s="47">
        <f t="array" ref="K522">_xlfn.XLOOKUP(1,(참조!$B$2:$B$15=E522)*(참조!$D$2:$D$15=C522)*(참조!$E$2:$E$15=D522),참조!$C$2:$C$15,"")</f>
        <v/>
      </c>
    </row>
    <row r="523" hidden="1" s="27">
      <c r="A523" s="47" t="inlineStr">
        <is>
          <t>이야기모바일</t>
        </is>
      </c>
      <c r="B523" s="47" t="inlineStr">
        <is>
          <t>5G 함께이야기해S 무한 20GB</t>
        </is>
      </c>
      <c r="C523" s="47" t="inlineStr">
        <is>
          <t>무제한</t>
        </is>
      </c>
      <c r="D523" s="47" t="inlineStr">
        <is>
          <t>무제한</t>
        </is>
      </c>
      <c r="E523" s="47" t="inlineStr">
        <is>
          <t>월 20GB</t>
        </is>
      </c>
      <c r="F523" s="47" t="inlineStr">
        <is>
          <t>SKT</t>
        </is>
      </c>
      <c r="G523" s="47" t="inlineStr">
        <is>
          <t>5G</t>
        </is>
      </c>
      <c r="H523" s="48" t="n">
        <v>19900</v>
      </c>
      <c r="I523" s="48" t="n"/>
      <c r="J523" s="48" t="n"/>
      <c r="K523" s="47">
        <f t="array" ref="K523">_xlfn.XLOOKUP(1,(참조!$B$2:$B$15=E523)*(참조!$D$2:$D$15=C523)*(참조!$E$2:$E$15=D523),참조!$C$2:$C$15,"")</f>
        <v/>
      </c>
    </row>
    <row r="524" hidden="1" s="27">
      <c r="A524" s="47" t="inlineStr">
        <is>
          <t>U+유모바일</t>
        </is>
      </c>
      <c r="B524" s="47" t="inlineStr">
        <is>
          <t>[GS25 12만] 150GB+/통화기본</t>
        </is>
      </c>
      <c r="C524" s="47" t="inlineStr">
        <is>
          <t>무제한</t>
        </is>
      </c>
      <c r="D524" s="47" t="inlineStr">
        <is>
          <t>무제한</t>
        </is>
      </c>
      <c r="E524" s="47" t="inlineStr">
        <is>
          <t>월 150GB + 5Mbps</t>
        </is>
      </c>
      <c r="F524" s="47" t="inlineStr">
        <is>
          <t>LG U+</t>
        </is>
      </c>
      <c r="G524" s="47" t="inlineStr">
        <is>
          <t>LTE</t>
        </is>
      </c>
      <c r="H524" s="48" t="n">
        <v>40500</v>
      </c>
      <c r="I524" s="48" t="n"/>
      <c r="J524" s="48" t="n"/>
      <c r="K524" s="47">
        <f t="array" ref="K524">_xlfn.XLOOKUP(1,(참조!$B$2:$B$15=E524)*(참조!$D$2:$D$15=C524)*(참조!$E$2:$E$15=D524),참조!$C$2:$C$15,"")</f>
        <v/>
      </c>
    </row>
    <row r="525" hidden="1" s="27">
      <c r="A525" s="47" t="inlineStr">
        <is>
          <t>이야기모바일</t>
        </is>
      </c>
      <c r="B525" s="47" t="inlineStr">
        <is>
          <t>내맘대로S(200+1GB)</t>
        </is>
      </c>
      <c r="C525" s="47" t="inlineStr">
        <is>
          <t>200분</t>
        </is>
      </c>
      <c r="D525" s="47" t="inlineStr">
        <is>
          <t>200건</t>
        </is>
      </c>
      <c r="E525" s="47" t="inlineStr">
        <is>
          <t>월 1GB</t>
        </is>
      </c>
      <c r="F525" s="47" t="inlineStr">
        <is>
          <t>SKT</t>
        </is>
      </c>
      <c r="G525" s="47" t="inlineStr">
        <is>
          <t>LTE</t>
        </is>
      </c>
      <c r="H525" s="48" t="n">
        <v>2600</v>
      </c>
      <c r="I525" s="48" t="n">
        <v>24</v>
      </c>
      <c r="J525" s="48" t="n">
        <v>3600</v>
      </c>
      <c r="K525" s="47">
        <f t="array" ref="K525">_xlfn.XLOOKUP(1,(참조!$B$2:$B$15=E525)*(참조!$D$2:$D$15=C525)*(참조!$E$2:$E$15=D525),참조!$C$2:$C$15,"")</f>
        <v/>
      </c>
    </row>
    <row r="526" hidden="1" s="27">
      <c r="A526" s="47" t="inlineStr">
        <is>
          <t>쉐이크모바일</t>
        </is>
      </c>
      <c r="B526" s="47" t="inlineStr">
        <is>
          <t>[모요only] 쉐이크 LTE 15GB+/100분_CU</t>
        </is>
      </c>
      <c r="C526" s="47" t="inlineStr">
        <is>
          <t>100분</t>
        </is>
      </c>
      <c r="D526" s="47" t="inlineStr">
        <is>
          <t>100건</t>
        </is>
      </c>
      <c r="E526" s="47" t="inlineStr">
        <is>
          <t>월 15GB + 3Mbps</t>
        </is>
      </c>
      <c r="F526" s="47" t="inlineStr">
        <is>
          <t>KT</t>
        </is>
      </c>
      <c r="G526" s="47" t="inlineStr">
        <is>
          <t>LTE</t>
        </is>
      </c>
      <c r="H526" s="48" t="n">
        <v>19000</v>
      </c>
      <c r="I526" s="48" t="n">
        <v>12</v>
      </c>
      <c r="J526" s="48" t="n">
        <v>33000</v>
      </c>
      <c r="K526" s="47">
        <f t="array" ref="K526">_xlfn.XLOOKUP(1,(참조!$B$2:$B$15=E526)*(참조!$D$2:$D$15=C526)*(참조!$E$2:$E$15=D526),참조!$C$2:$C$15,"")</f>
        <v/>
      </c>
    </row>
    <row r="527" hidden="1" s="27">
      <c r="A527" s="47" t="inlineStr">
        <is>
          <t>더원모바일</t>
        </is>
      </c>
      <c r="B527" s="47" t="inlineStr">
        <is>
          <t>TOP 15GB 300분 (CU할인)</t>
        </is>
      </c>
      <c r="C527" s="47" t="inlineStr">
        <is>
          <t>300분</t>
        </is>
      </c>
      <c r="D527" s="47" t="inlineStr">
        <is>
          <t>300건</t>
        </is>
      </c>
      <c r="E527" s="47" t="inlineStr">
        <is>
          <t>월 15GB + 3Mbps</t>
        </is>
      </c>
      <c r="F527" s="47" t="inlineStr">
        <is>
          <t>KT</t>
        </is>
      </c>
      <c r="G527" s="47" t="inlineStr">
        <is>
          <t>LTE</t>
        </is>
      </c>
      <c r="H527" s="48" t="n">
        <v>6600</v>
      </c>
      <c r="I527" s="48" t="n">
        <v>7</v>
      </c>
      <c r="J527" s="48" t="n">
        <v>37400</v>
      </c>
      <c r="K527" s="47">
        <f t="array" ref="K527">_xlfn.XLOOKUP(1,(참조!$B$2:$B$15=E527)*(참조!$D$2:$D$15=C527)*(참조!$E$2:$E$15=D527),참조!$C$2:$C$15,"")</f>
        <v/>
      </c>
    </row>
    <row r="528" hidden="1" s="27">
      <c r="A528" s="47" t="inlineStr">
        <is>
          <t>U+유모바일</t>
        </is>
      </c>
      <c r="B528" s="47" t="inlineStr">
        <is>
          <t>[평생할인] 5GB+/100분</t>
        </is>
      </c>
      <c r="C528" s="47" t="inlineStr">
        <is>
          <t>100분</t>
        </is>
      </c>
      <c r="D528" s="47" t="inlineStr">
        <is>
          <t>100건</t>
        </is>
      </c>
      <c r="E528" s="47" t="inlineStr">
        <is>
          <t>월 5GB + 1Mbps</t>
        </is>
      </c>
      <c r="F528" s="47" t="inlineStr">
        <is>
          <t>LG U+</t>
        </is>
      </c>
      <c r="G528" s="47" t="inlineStr">
        <is>
          <t>LTE</t>
        </is>
      </c>
      <c r="H528" s="48" t="n">
        <v>11500</v>
      </c>
      <c r="I528" s="48" t="n"/>
      <c r="J528" s="48" t="n"/>
      <c r="K528" s="47">
        <f t="array" ref="K528">_xlfn.XLOOKUP(1,(참조!$B$2:$B$15=E528)*(참조!$D$2:$D$15=C528)*(참조!$E$2:$E$15=D528),참조!$C$2:$C$15,"")</f>
        <v/>
      </c>
    </row>
    <row r="529" hidden="1" s="27">
      <c r="A529" s="47" t="inlineStr">
        <is>
          <t>쉐이크모바일</t>
        </is>
      </c>
      <c r="B529" s="47" t="inlineStr">
        <is>
          <t>[모요only] 쉐이크 LTE 100GB+_웨이브</t>
        </is>
      </c>
      <c r="C529" s="47" t="inlineStr">
        <is>
          <t>무제한</t>
        </is>
      </c>
      <c r="D529" s="47" t="inlineStr">
        <is>
          <t>무제한</t>
        </is>
      </c>
      <c r="E529" s="47" t="inlineStr">
        <is>
          <t>월 100GB + 5Mbps</t>
        </is>
      </c>
      <c r="F529" s="47" t="inlineStr">
        <is>
          <t>KT</t>
        </is>
      </c>
      <c r="G529" s="47" t="inlineStr">
        <is>
          <t>LTE</t>
        </is>
      </c>
      <c r="H529" s="48" t="n">
        <v>9900</v>
      </c>
      <c r="I529" s="48" t="n">
        <v>7</v>
      </c>
      <c r="J529" s="48" t="n">
        <v>49500</v>
      </c>
      <c r="K529" s="47">
        <f t="array" ref="K529">_xlfn.XLOOKUP(1,(참조!$B$2:$B$15=E529)*(참조!$D$2:$D$15=C529)*(참조!$E$2:$E$15=D529),참조!$C$2:$C$15,"")</f>
        <v/>
      </c>
    </row>
    <row r="530" hidden="1" s="27">
      <c r="A530" s="47" t="inlineStr">
        <is>
          <t>U+유모바일</t>
        </is>
      </c>
      <c r="B530" s="47" t="inlineStr">
        <is>
          <t>[평생할인] 5G 5GB/통화기본</t>
        </is>
      </c>
      <c r="C530" s="47" t="inlineStr">
        <is>
          <t>무제한</t>
        </is>
      </c>
      <c r="D530" s="47" t="inlineStr">
        <is>
          <t>무제한</t>
        </is>
      </c>
      <c r="E530" s="47" t="inlineStr">
        <is>
          <t>월 5GB</t>
        </is>
      </c>
      <c r="F530" s="47" t="inlineStr">
        <is>
          <t>LG U+</t>
        </is>
      </c>
      <c r="G530" s="47" t="inlineStr">
        <is>
          <t>5G</t>
        </is>
      </c>
      <c r="H530" s="48" t="n">
        <v>9900</v>
      </c>
      <c r="I530" s="48" t="n"/>
      <c r="J530" s="48" t="n"/>
      <c r="K530" s="47">
        <f t="array" ref="K530">_xlfn.XLOOKUP(1,(참조!$B$2:$B$15=E530)*(참조!$D$2:$D$15=C530)*(참조!$E$2:$E$15=D530),참조!$C$2:$C$15,"")</f>
        <v/>
      </c>
    </row>
    <row r="531" hidden="1" s="27">
      <c r="A531" s="47" t="inlineStr">
        <is>
          <t>더원모바일</t>
        </is>
      </c>
      <c r="B531" s="47" t="inlineStr">
        <is>
          <t>TOP 10GB 기본 (CU할인)</t>
        </is>
      </c>
      <c r="C531" s="47" t="inlineStr">
        <is>
          <t>무제한</t>
        </is>
      </c>
      <c r="D531" s="47" t="inlineStr">
        <is>
          <t>무제한</t>
        </is>
      </c>
      <c r="E531" s="47" t="inlineStr">
        <is>
          <t>월 10GB + 1Mbps</t>
        </is>
      </c>
      <c r="F531" s="47" t="inlineStr">
        <is>
          <t>KT</t>
        </is>
      </c>
      <c r="G531" s="47" t="inlineStr">
        <is>
          <t>LTE</t>
        </is>
      </c>
      <c r="H531" s="48" t="n">
        <v>7700</v>
      </c>
      <c r="I531" s="48" t="n">
        <v>12</v>
      </c>
      <c r="J531" s="48" t="n">
        <v>28600</v>
      </c>
      <c r="K531" s="47">
        <f t="array" ref="K531">_xlfn.XLOOKUP(1,(참조!$B$2:$B$15=E531)*(참조!$D$2:$D$15=C531)*(참조!$E$2:$E$15=D531),참조!$C$2:$C$15,"")</f>
        <v/>
      </c>
    </row>
    <row r="532" hidden="1" s="27">
      <c r="A532" s="47" t="inlineStr">
        <is>
          <t>KT엠모바일</t>
        </is>
      </c>
      <c r="B532" s="47" t="inlineStr">
        <is>
          <t>모두다 맘껏 15GB+(CU 20%할인)</t>
        </is>
      </c>
      <c r="C532" s="47" t="inlineStr">
        <is>
          <t>무제한</t>
        </is>
      </c>
      <c r="D532" s="47" t="inlineStr">
        <is>
          <t>무제한</t>
        </is>
      </c>
      <c r="E532" s="47" t="inlineStr">
        <is>
          <t>월 15GB + 1Mbps</t>
        </is>
      </c>
      <c r="F532" s="47" t="inlineStr">
        <is>
          <t>KT</t>
        </is>
      </c>
      <c r="G532" s="47" t="inlineStr">
        <is>
          <t>LTE</t>
        </is>
      </c>
      <c r="H532" s="48" t="n">
        <v>21900</v>
      </c>
      <c r="I532" s="48" t="n"/>
      <c r="J532" s="48" t="n"/>
      <c r="K532" s="47">
        <f t="array" ref="K532">_xlfn.XLOOKUP(1,(참조!$B$2:$B$15=E532)*(참조!$D$2:$D$15=C532)*(참조!$E$2:$E$15=D532),참조!$C$2:$C$15,"")</f>
        <v/>
      </c>
    </row>
    <row r="533" hidden="1" s="27">
      <c r="A533" s="47" t="inlineStr">
        <is>
          <t>이야기모바일</t>
        </is>
      </c>
      <c r="B533" s="47" t="inlineStr">
        <is>
          <t>내맘대로S(200+10GB)</t>
        </is>
      </c>
      <c r="C533" s="47" t="inlineStr">
        <is>
          <t>200분</t>
        </is>
      </c>
      <c r="D533" s="47" t="inlineStr">
        <is>
          <t>200건</t>
        </is>
      </c>
      <c r="E533" s="47" t="inlineStr">
        <is>
          <t>월 10GB</t>
        </is>
      </c>
      <c r="F533" s="47" t="inlineStr">
        <is>
          <t>SKT</t>
        </is>
      </c>
      <c r="G533" s="47" t="inlineStr">
        <is>
          <t>LTE</t>
        </is>
      </c>
      <c r="H533" s="48" t="n">
        <v>11000</v>
      </c>
      <c r="I533" s="48" t="n">
        <v>12</v>
      </c>
      <c r="J533" s="48" t="n">
        <v>15400</v>
      </c>
      <c r="K533" s="47">
        <f t="array" ref="K533">_xlfn.XLOOKUP(1,(참조!$B$2:$B$15=E533)*(참조!$D$2:$D$15=C533)*(참조!$E$2:$E$15=D533),참조!$C$2:$C$15,"")</f>
        <v/>
      </c>
    </row>
    <row r="534" hidden="1" s="27">
      <c r="A534" s="47" t="inlineStr">
        <is>
          <t>KT스카이라이프</t>
        </is>
      </c>
      <c r="B534" s="47" t="inlineStr">
        <is>
          <t>모두 충분 11.0GB+(지니뮤직)</t>
        </is>
      </c>
      <c r="C534" s="47" t="inlineStr">
        <is>
          <t>무제한</t>
        </is>
      </c>
      <c r="D534" s="47" t="inlineStr">
        <is>
          <t>무제한</t>
        </is>
      </c>
      <c r="E534" s="47" t="inlineStr">
        <is>
          <t>월 11GB + 매일 2GB + 3Mbps</t>
        </is>
      </c>
      <c r="F534" s="47" t="inlineStr">
        <is>
          <t>KT</t>
        </is>
      </c>
      <c r="G534" s="47" t="inlineStr">
        <is>
          <t>LTE</t>
        </is>
      </c>
      <c r="H534" s="48" t="n">
        <v>35800</v>
      </c>
      <c r="I534" s="48" t="n"/>
      <c r="J534" s="48" t="n"/>
      <c r="K534" s="47">
        <f t="array" ref="K534">_xlfn.XLOOKUP(1,(참조!$B$2:$B$15=E534)*(참조!$D$2:$D$15=C534)*(참조!$E$2:$E$15=D534),참조!$C$2:$C$15,"")</f>
        <v/>
      </c>
    </row>
    <row r="535" hidden="1" s="27">
      <c r="A535" s="47" t="inlineStr">
        <is>
          <t>더원모바일</t>
        </is>
      </c>
      <c r="B535" s="47" t="inlineStr">
        <is>
          <t>TOP 100GB 기본 (웨이브 광고형)</t>
        </is>
      </c>
      <c r="C535" s="47" t="inlineStr">
        <is>
          <t>무제한</t>
        </is>
      </c>
      <c r="D535" s="47" t="inlineStr">
        <is>
          <t>무제한</t>
        </is>
      </c>
      <c r="E535" s="47" t="inlineStr">
        <is>
          <t>월 100GB + 5Mbps</t>
        </is>
      </c>
      <c r="F535" s="47" t="inlineStr">
        <is>
          <t>KT</t>
        </is>
      </c>
      <c r="G535" s="47" t="inlineStr">
        <is>
          <t>LTE</t>
        </is>
      </c>
      <c r="H535" s="48" t="n">
        <v>15070</v>
      </c>
      <c r="I535" s="48" t="n">
        <v>7</v>
      </c>
      <c r="J535" s="48" t="n">
        <v>46200</v>
      </c>
      <c r="K535" s="47">
        <f t="array" ref="K535">_xlfn.XLOOKUP(1,(참조!$B$2:$B$15=E535)*(참조!$D$2:$D$15=C535)*(참조!$E$2:$E$15=D535),참조!$C$2:$C$15,"")</f>
        <v/>
      </c>
    </row>
    <row r="536" hidden="1" s="27">
      <c r="A536" s="47" t="inlineStr">
        <is>
          <t>고고모바일</t>
        </is>
      </c>
      <c r="B536" s="47" t="inlineStr">
        <is>
          <t>무제한 7GB+1M(다이소 매월 5000원)</t>
        </is>
      </c>
      <c r="C536" s="47" t="inlineStr">
        <is>
          <t>무제한</t>
        </is>
      </c>
      <c r="D536" s="47" t="inlineStr">
        <is>
          <t>무제한</t>
        </is>
      </c>
      <c r="E536" s="47" t="inlineStr">
        <is>
          <t>월 7GB + 1Mbps</t>
        </is>
      </c>
      <c r="F536" s="47" t="inlineStr">
        <is>
          <t>KT</t>
        </is>
      </c>
      <c r="G536" s="47" t="inlineStr">
        <is>
          <t>LTE</t>
        </is>
      </c>
      <c r="H536" s="48" t="n">
        <v>21560</v>
      </c>
      <c r="I536" s="48" t="n"/>
      <c r="J536" s="48" t="n"/>
      <c r="K536" s="47">
        <f t="array" ref="K536">_xlfn.XLOOKUP(1,(참조!$B$2:$B$15=E536)*(참조!$D$2:$D$15=C536)*(참조!$E$2:$E$15=D536),참조!$C$2:$C$15,"")</f>
        <v/>
      </c>
    </row>
    <row r="537" hidden="1" s="27">
      <c r="A537" s="47" t="inlineStr">
        <is>
          <t>KT스카이라이프</t>
        </is>
      </c>
      <c r="B537" s="47" t="inlineStr">
        <is>
          <t>모두 충분 11GB+(후후안심)</t>
        </is>
      </c>
      <c r="C537" s="47" t="inlineStr">
        <is>
          <t>무제한</t>
        </is>
      </c>
      <c r="D537" s="47" t="inlineStr">
        <is>
          <t>무제한</t>
        </is>
      </c>
      <c r="E537" s="47" t="inlineStr">
        <is>
          <t>월 11GB + 매일 2GB + 3Mbps</t>
        </is>
      </c>
      <c r="F537" s="47" t="inlineStr">
        <is>
          <t>KT</t>
        </is>
      </c>
      <c r="G537" s="47" t="inlineStr">
        <is>
          <t>LTE</t>
        </is>
      </c>
      <c r="H537" s="48" t="n">
        <v>34200</v>
      </c>
      <c r="I537" s="48" t="n"/>
      <c r="J537" s="48" t="n"/>
      <c r="K537" s="47">
        <f t="array" ref="K537">_xlfn.XLOOKUP(1,(참조!$B$2:$B$15=E537)*(참조!$D$2:$D$15=C537)*(참조!$E$2:$E$15=D537),참조!$C$2:$C$15,"")</f>
        <v/>
      </c>
    </row>
    <row r="538" hidden="1" s="27">
      <c r="A538" s="47" t="inlineStr">
        <is>
          <t>고고모바일</t>
        </is>
      </c>
      <c r="B538" s="47" t="inlineStr">
        <is>
          <t>무제한 7GB+1M(올리브영 매월 5000원)</t>
        </is>
      </c>
      <c r="C538" s="47" t="inlineStr">
        <is>
          <t>무제한</t>
        </is>
      </c>
      <c r="D538" s="47" t="inlineStr">
        <is>
          <t>무제한</t>
        </is>
      </c>
      <c r="E538" s="47" t="inlineStr">
        <is>
          <t>월 7GB + 1Mbps</t>
        </is>
      </c>
      <c r="F538" s="47" t="inlineStr">
        <is>
          <t>KT</t>
        </is>
      </c>
      <c r="G538" s="47" t="inlineStr">
        <is>
          <t>LTE</t>
        </is>
      </c>
      <c r="H538" s="48" t="n">
        <v>21560</v>
      </c>
      <c r="I538" s="48" t="n"/>
      <c r="J538" s="48" t="n"/>
      <c r="K538" s="47">
        <f t="array" ref="K538">_xlfn.XLOOKUP(1,(참조!$B$2:$B$15=E538)*(참조!$D$2:$D$15=C538)*(참조!$E$2:$E$15=D538),참조!$C$2:$C$15,"")</f>
        <v/>
      </c>
    </row>
    <row r="539" hidden="1" s="27">
      <c r="A539" s="47" t="inlineStr">
        <is>
          <t>KT스카이라이프</t>
        </is>
      </c>
      <c r="B539" s="47" t="inlineStr">
        <is>
          <t>모두 충분 100GB+(모아진)</t>
        </is>
      </c>
      <c r="C539" s="47" t="inlineStr">
        <is>
          <t>무제한</t>
        </is>
      </c>
      <c r="D539" s="47" t="inlineStr">
        <is>
          <t>무제한</t>
        </is>
      </c>
      <c r="E539" s="47" t="inlineStr">
        <is>
          <t>월 100GB + 5Mbps</t>
        </is>
      </c>
      <c r="F539" s="47" t="inlineStr">
        <is>
          <t>KT</t>
        </is>
      </c>
      <c r="G539" s="47" t="inlineStr">
        <is>
          <t>LTE</t>
        </is>
      </c>
      <c r="H539" s="48" t="n">
        <v>39400</v>
      </c>
      <c r="I539" s="48" t="n"/>
      <c r="J539" s="48" t="n"/>
      <c r="K539" s="47">
        <f t="array" ref="K539">_xlfn.XLOOKUP(1,(참조!$B$2:$B$15=E539)*(참조!$D$2:$D$15=C539)*(참조!$E$2:$E$15=D539),참조!$C$2:$C$15,"")</f>
        <v/>
      </c>
    </row>
    <row r="540" hidden="1" s="27">
      <c r="A540" s="47" t="inlineStr">
        <is>
          <t>이야기모바일</t>
        </is>
      </c>
      <c r="B540" s="47" t="inlineStr">
        <is>
          <t>5G 함께이야기해(300분+15GB)</t>
        </is>
      </c>
      <c r="C540" s="47" t="inlineStr">
        <is>
          <t>300분</t>
        </is>
      </c>
      <c r="D540" s="47" t="inlineStr">
        <is>
          <t>100건</t>
        </is>
      </c>
      <c r="E540" s="47" t="inlineStr">
        <is>
          <t>월 15GB</t>
        </is>
      </c>
      <c r="F540" s="47" t="inlineStr">
        <is>
          <t>LG U+</t>
        </is>
      </c>
      <c r="G540" s="47" t="inlineStr">
        <is>
          <t>5G</t>
        </is>
      </c>
      <c r="H540" s="48" t="n">
        <v>3300</v>
      </c>
      <c r="I540" s="48" t="n">
        <v>6</v>
      </c>
      <c r="J540" s="48" t="n">
        <v>18700</v>
      </c>
      <c r="K540" s="47">
        <f t="array" ref="K540">_xlfn.XLOOKUP(1,(참조!$B$2:$B$15=E540)*(참조!$D$2:$D$15=C540)*(참조!$E$2:$E$15=D540),참조!$C$2:$C$15,"")</f>
        <v/>
      </c>
    </row>
    <row r="541" hidden="1" s="27">
      <c r="A541" s="47" t="inlineStr">
        <is>
          <t>스마텔</t>
        </is>
      </c>
      <c r="B541" s="47" t="inlineStr">
        <is>
          <t>USIM 스마트(100분/10GB+)</t>
        </is>
      </c>
      <c r="C541" s="47" t="inlineStr">
        <is>
          <t>100분</t>
        </is>
      </c>
      <c r="D541" s="47" t="inlineStr">
        <is>
          <t>100건</t>
        </is>
      </c>
      <c r="E541" s="47" t="inlineStr">
        <is>
          <t>월 10GB + 1Mbps</t>
        </is>
      </c>
      <c r="F541" s="47" t="inlineStr">
        <is>
          <t>LG U+</t>
        </is>
      </c>
      <c r="G541" s="47" t="inlineStr">
        <is>
          <t>LTE</t>
        </is>
      </c>
      <c r="H541" s="48" t="n">
        <v>6000</v>
      </c>
      <c r="I541" s="48" t="n">
        <v>12</v>
      </c>
      <c r="J541" s="48" t="n">
        <v>19800</v>
      </c>
      <c r="K541" s="47">
        <f t="array" ref="K541">_xlfn.XLOOKUP(1,(참조!$B$2:$B$15=E541)*(참조!$D$2:$D$15=C541)*(참조!$E$2:$E$15=D541),참조!$C$2:$C$15,"")</f>
        <v/>
      </c>
    </row>
    <row r="542" hidden="1" s="27">
      <c r="A542" s="47" t="inlineStr">
        <is>
          <t>이야기모바일</t>
        </is>
      </c>
      <c r="B542" s="47" t="inlineStr">
        <is>
          <t>이야기 6GB 350분</t>
        </is>
      </c>
      <c r="C542" s="47" t="inlineStr">
        <is>
          <t>350분</t>
        </is>
      </c>
      <c r="D542" s="47" t="inlineStr">
        <is>
          <t>100건</t>
        </is>
      </c>
      <c r="E542" s="47" t="inlineStr">
        <is>
          <t>월 6GB</t>
        </is>
      </c>
      <c r="F542" s="47" t="inlineStr">
        <is>
          <t>LG U+</t>
        </is>
      </c>
      <c r="G542" s="47" t="inlineStr">
        <is>
          <t>LTE</t>
        </is>
      </c>
      <c r="H542" s="48" t="n">
        <v>3300</v>
      </c>
      <c r="I542" s="48" t="n">
        <v>24</v>
      </c>
      <c r="J542" s="48" t="n">
        <v>5500</v>
      </c>
      <c r="K542" s="47">
        <f t="array" ref="K542">_xlfn.XLOOKUP(1,(참조!$B$2:$B$15=E542)*(참조!$D$2:$D$15=C542)*(참조!$E$2:$E$15=D542),참조!$C$2:$C$15,"")</f>
        <v/>
      </c>
    </row>
    <row r="543" hidden="1" s="27">
      <c r="A543" s="47" t="inlineStr">
        <is>
          <t>인스모바일</t>
        </is>
      </c>
      <c r="B543" s="47" t="inlineStr">
        <is>
          <t>[24개월] 인스 유심 스트롱 매일 5GB+</t>
        </is>
      </c>
      <c r="C543" s="47" t="inlineStr">
        <is>
          <t>무제한</t>
        </is>
      </c>
      <c r="D543" s="47" t="inlineStr">
        <is>
          <t>무제한</t>
        </is>
      </c>
      <c r="E543" s="47" t="inlineStr">
        <is>
          <t>매일 5GB + 5Mbps</t>
        </is>
      </c>
      <c r="F543" s="47" t="inlineStr">
        <is>
          <t>LG U+</t>
        </is>
      </c>
      <c r="G543" s="47" t="inlineStr">
        <is>
          <t>LTE</t>
        </is>
      </c>
      <c r="H543" s="48" t="n">
        <v>28520</v>
      </c>
      <c r="I543" s="48" t="n">
        <v>24</v>
      </c>
      <c r="J543" s="48" t="n">
        <v>47000</v>
      </c>
      <c r="K543" s="47">
        <f t="array" ref="K543">_xlfn.XLOOKUP(1,(참조!$B$2:$B$15=E543)*(참조!$D$2:$D$15=C543)*(참조!$E$2:$E$15=D543),참조!$C$2:$C$15,"")</f>
        <v/>
      </c>
    </row>
    <row r="544" hidden="1" s="27">
      <c r="A544" s="47" t="inlineStr">
        <is>
          <t>시월모바일</t>
        </is>
      </c>
      <c r="B544" s="47" t="inlineStr">
        <is>
          <t>시월 무제한 매일5GB+5Mbps</t>
        </is>
      </c>
      <c r="C544" s="47" t="inlineStr">
        <is>
          <t>무제한</t>
        </is>
      </c>
      <c r="D544" s="47" t="inlineStr">
        <is>
          <t>무제한</t>
        </is>
      </c>
      <c r="E544" s="47" t="inlineStr">
        <is>
          <t>매일 5GB + 5Mbps</t>
        </is>
      </c>
      <c r="F544" s="47" t="inlineStr">
        <is>
          <t>LG U+</t>
        </is>
      </c>
      <c r="G544" s="47" t="inlineStr">
        <is>
          <t>LTE</t>
        </is>
      </c>
      <c r="H544" s="48" t="n">
        <v>14310</v>
      </c>
      <c r="I544" s="48" t="n">
        <v>7</v>
      </c>
      <c r="J544" s="48" t="n">
        <v>44010</v>
      </c>
      <c r="K544" s="47">
        <f t="array" ref="K544">_xlfn.XLOOKUP(1,(참조!$B$2:$B$15=E544)*(참조!$D$2:$D$15=C544)*(참조!$E$2:$E$15=D544),참조!$C$2:$C$15,"")</f>
        <v/>
      </c>
    </row>
    <row r="545" hidden="1" s="27">
      <c r="A545" s="47" t="inlineStr">
        <is>
          <t>U+유모바일</t>
        </is>
      </c>
      <c r="B545" s="47" t="inlineStr">
        <is>
          <t>[평생할인] 3GB+/100분</t>
        </is>
      </c>
      <c r="C545" s="47" t="inlineStr">
        <is>
          <t>100분</t>
        </is>
      </c>
      <c r="D545" s="47" t="inlineStr">
        <is>
          <t>100건</t>
        </is>
      </c>
      <c r="E545" s="47" t="inlineStr">
        <is>
          <t>월 3GB + 1Mbps</t>
        </is>
      </c>
      <c r="F545" s="47" t="inlineStr">
        <is>
          <t>LG U+</t>
        </is>
      </c>
      <c r="G545" s="47" t="inlineStr">
        <is>
          <t>LTE</t>
        </is>
      </c>
      <c r="H545" s="48" t="n">
        <v>9500</v>
      </c>
      <c r="I545" s="48" t="n"/>
      <c r="J545" s="48" t="n"/>
      <c r="K545" s="47">
        <f t="array" ref="K545">_xlfn.XLOOKUP(1,(참조!$B$2:$B$15=E545)*(참조!$D$2:$D$15=C545)*(참조!$E$2:$E$15=D545),참조!$C$2:$C$15,"")</f>
        <v/>
      </c>
    </row>
    <row r="546" hidden="1" s="27">
      <c r="A546" s="47" t="inlineStr">
        <is>
          <t>U+유모바일</t>
        </is>
      </c>
      <c r="B546" s="47" t="inlineStr">
        <is>
          <t>[Npay 12만 기본제공] 5G 150GB+/통화기본</t>
        </is>
      </c>
      <c r="C546" s="47" t="inlineStr">
        <is>
          <t>무제한</t>
        </is>
      </c>
      <c r="D546" s="47" t="inlineStr">
        <is>
          <t>무제한</t>
        </is>
      </c>
      <c r="E546" s="47" t="inlineStr">
        <is>
          <t>월 150GB + 5Mbps</t>
        </is>
      </c>
      <c r="F546" s="47" t="inlineStr">
        <is>
          <t>LG U+</t>
        </is>
      </c>
      <c r="G546" s="47" t="inlineStr">
        <is>
          <t>5G</t>
        </is>
      </c>
      <c r="H546" s="48" t="n">
        <v>44700</v>
      </c>
      <c r="I546" s="48" t="n">
        <v>24</v>
      </c>
      <c r="J546" s="48" t="n">
        <v>49700</v>
      </c>
      <c r="K546" s="47">
        <f t="array" ref="K546">_xlfn.XLOOKUP(1,(참조!$B$2:$B$15=E546)*(참조!$D$2:$D$15=C546)*(참조!$E$2:$E$15=D546),참조!$C$2:$C$15,"")</f>
        <v/>
      </c>
    </row>
    <row r="547" hidden="1" s="27">
      <c r="A547" s="47" t="inlineStr">
        <is>
          <t>스마텔</t>
        </is>
      </c>
      <c r="B547" s="47" t="inlineStr">
        <is>
          <t>USIM 스위트 (100분/10GB)</t>
        </is>
      </c>
      <c r="C547" s="47" t="inlineStr">
        <is>
          <t>100분</t>
        </is>
      </c>
      <c r="D547" s="47" t="inlineStr">
        <is>
          <t>100건</t>
        </is>
      </c>
      <c r="E547" s="47" t="inlineStr">
        <is>
          <t>월 10GB</t>
        </is>
      </c>
      <c r="F547" s="47" t="inlineStr">
        <is>
          <t>KT</t>
        </is>
      </c>
      <c r="G547" s="47" t="inlineStr">
        <is>
          <t>LTE</t>
        </is>
      </c>
      <c r="H547" s="48" t="n">
        <v>90</v>
      </c>
      <c r="I547" s="48" t="n">
        <v>7</v>
      </c>
      <c r="J547" s="48" t="n">
        <v>15400</v>
      </c>
      <c r="K547" s="47">
        <f t="array" ref="K547">_xlfn.XLOOKUP(1,(참조!$B$2:$B$15=E547)*(참조!$D$2:$D$15=C547)*(참조!$E$2:$E$15=D547),참조!$C$2:$C$15,"")</f>
        <v/>
      </c>
    </row>
    <row r="548" hidden="1" s="27">
      <c r="A548" s="47" t="inlineStr">
        <is>
          <t>더원모바일</t>
        </is>
      </c>
      <c r="B548" s="47" t="inlineStr">
        <is>
          <t>TOP 100GB 기본 (다이소)</t>
        </is>
      </c>
      <c r="C548" s="47" t="inlineStr">
        <is>
          <t>무제한</t>
        </is>
      </c>
      <c r="D548" s="47" t="inlineStr">
        <is>
          <t>무제한</t>
        </is>
      </c>
      <c r="E548" s="47" t="inlineStr">
        <is>
          <t>월 100GB + 5Mbps</t>
        </is>
      </c>
      <c r="F548" s="47" t="inlineStr">
        <is>
          <t>KT</t>
        </is>
      </c>
      <c r="G548" s="47" t="inlineStr">
        <is>
          <t>LTE</t>
        </is>
      </c>
      <c r="H548" s="48" t="n">
        <v>15070</v>
      </c>
      <c r="I548" s="48" t="n">
        <v>7</v>
      </c>
      <c r="J548" s="48" t="n">
        <v>46200</v>
      </c>
      <c r="K548" s="47">
        <f t="array" ref="K548">_xlfn.XLOOKUP(1,(참조!$B$2:$B$15=E548)*(참조!$D$2:$D$15=C548)*(참조!$E$2:$E$15=D548),참조!$C$2:$C$15,"")</f>
        <v/>
      </c>
    </row>
    <row r="549" hidden="1" s="27">
      <c r="A549" s="47" t="inlineStr">
        <is>
          <t>KG모바일</t>
        </is>
      </c>
      <c r="B549" s="47" t="inlineStr">
        <is>
          <t>[모빌카드 스페셜] 유심 5G 95GB+</t>
        </is>
      </c>
      <c r="C549" s="47" t="inlineStr">
        <is>
          <t>무제한</t>
        </is>
      </c>
      <c r="D549" s="47" t="inlineStr">
        <is>
          <t>무제한</t>
        </is>
      </c>
      <c r="E549" s="47" t="inlineStr">
        <is>
          <t>월 95GB + 3Mbps</t>
        </is>
      </c>
      <c r="F549" s="47" t="inlineStr">
        <is>
          <t>LG U+</t>
        </is>
      </c>
      <c r="G549" s="47" t="inlineStr">
        <is>
          <t>5G</t>
        </is>
      </c>
      <c r="H549" s="48" t="n">
        <v>14000</v>
      </c>
      <c r="I549" s="48" t="n">
        <v>7</v>
      </c>
      <c r="J549" s="48" t="n">
        <v>49500</v>
      </c>
      <c r="K549" s="47">
        <f t="array" ref="K549">_xlfn.XLOOKUP(1,(참조!$B$2:$B$15=E549)*(참조!$D$2:$D$15=C549)*(참조!$E$2:$E$15=D549),참조!$C$2:$C$15,"")</f>
        <v/>
      </c>
    </row>
    <row r="550" hidden="1" s="27">
      <c r="A550" s="47" t="inlineStr">
        <is>
          <t>인스모바일</t>
        </is>
      </c>
      <c r="B550" s="47" t="inlineStr">
        <is>
          <t>[24개월] 인스 유심 올프리 7GB+</t>
        </is>
      </c>
      <c r="C550" s="47" t="inlineStr">
        <is>
          <t>무제한</t>
        </is>
      </c>
      <c r="D550" s="47" t="inlineStr">
        <is>
          <t>무제한</t>
        </is>
      </c>
      <c r="E550" s="47" t="inlineStr">
        <is>
          <t>월 7GB + 1Mbps</t>
        </is>
      </c>
      <c r="F550" s="47" t="inlineStr">
        <is>
          <t>LG U+</t>
        </is>
      </c>
      <c r="G550" s="47" t="inlineStr">
        <is>
          <t>LTE</t>
        </is>
      </c>
      <c r="H550" s="48" t="n">
        <v>12650</v>
      </c>
      <c r="I550" s="48" t="n">
        <v>24</v>
      </c>
      <c r="J550" s="48" t="n">
        <v>25300</v>
      </c>
      <c r="K550" s="47">
        <f t="array" ref="K550">_xlfn.XLOOKUP(1,(참조!$B$2:$B$15=E550)*(참조!$D$2:$D$15=C550)*(참조!$E$2:$E$15=D550),참조!$C$2:$C$15,"")</f>
        <v/>
      </c>
    </row>
    <row r="551" hidden="1" s="27">
      <c r="A551" s="47" t="inlineStr">
        <is>
          <t>슈가모바일</t>
        </is>
      </c>
      <c r="B551" s="47" t="inlineStr">
        <is>
          <t>Sugar 세이브+(200분/10GB)</t>
        </is>
      </c>
      <c r="C551" s="47" t="inlineStr">
        <is>
          <t>200분</t>
        </is>
      </c>
      <c r="D551" s="47" t="inlineStr">
        <is>
          <t>100건</t>
        </is>
      </c>
      <c r="E551" s="47" t="inlineStr">
        <is>
          <t>월 10GB + 1Mbps</t>
        </is>
      </c>
      <c r="F551" s="47" t="inlineStr">
        <is>
          <t>LG U+</t>
        </is>
      </c>
      <c r="G551" s="47" t="inlineStr">
        <is>
          <t>LTE</t>
        </is>
      </c>
      <c r="H551" s="48" t="n">
        <v>7500</v>
      </c>
      <c r="I551" s="48" t="n"/>
      <c r="J551" s="48" t="n"/>
      <c r="K551" s="47">
        <f t="array" ref="K551">_xlfn.XLOOKUP(1,(참조!$B$2:$B$15=E551)*(참조!$D$2:$D$15=C551)*(참조!$E$2:$E$15=D551),참조!$C$2:$C$15,"")</f>
        <v/>
      </c>
    </row>
    <row r="552" hidden="1" s="27">
      <c r="A552" s="47" t="inlineStr">
        <is>
          <t>티플러스</t>
        </is>
      </c>
      <c r="B552" s="47" t="inlineStr">
        <is>
          <t>티플 10GB(10GB/300분)_평생요금</t>
        </is>
      </c>
      <c r="C552" s="47" t="inlineStr">
        <is>
          <t>300분</t>
        </is>
      </c>
      <c r="D552" s="47" t="inlineStr">
        <is>
          <t>100건</t>
        </is>
      </c>
      <c r="E552" s="47" t="inlineStr">
        <is>
          <t>월 10GB</t>
        </is>
      </c>
      <c r="F552" s="47" t="inlineStr">
        <is>
          <t>SKT</t>
        </is>
      </c>
      <c r="G552" s="47" t="inlineStr">
        <is>
          <t>LTE</t>
        </is>
      </c>
      <c r="H552" s="48" t="n">
        <v>5500</v>
      </c>
      <c r="I552" s="48" t="n"/>
      <c r="J552" s="48" t="n"/>
      <c r="K552" s="47">
        <f t="array" ref="K552">_xlfn.XLOOKUP(1,(참조!$B$2:$B$15=E552)*(참조!$D$2:$D$15=C552)*(참조!$E$2:$E$15=D552),참조!$C$2:$C$15,"")</f>
        <v/>
      </c>
    </row>
    <row r="553" hidden="1" s="27">
      <c r="A553" s="47" t="inlineStr">
        <is>
          <t>이야기모바일</t>
        </is>
      </c>
      <c r="B553" s="47" t="inlineStr">
        <is>
          <t>이야기 9GB 350분</t>
        </is>
      </c>
      <c r="C553" s="47" t="inlineStr">
        <is>
          <t>350분</t>
        </is>
      </c>
      <c r="D553" s="47" t="inlineStr">
        <is>
          <t>100건</t>
        </is>
      </c>
      <c r="E553" s="47" t="inlineStr">
        <is>
          <t>월 9GB</t>
        </is>
      </c>
      <c r="F553" s="47" t="inlineStr">
        <is>
          <t>LG U+</t>
        </is>
      </c>
      <c r="G553" s="47" t="inlineStr">
        <is>
          <t>LTE</t>
        </is>
      </c>
      <c r="H553" s="48" t="n">
        <v>3300</v>
      </c>
      <c r="I553" s="48" t="n">
        <v>24</v>
      </c>
      <c r="J553" s="48" t="n">
        <v>7700</v>
      </c>
      <c r="K553" s="47">
        <f t="array" ref="K553">_xlfn.XLOOKUP(1,(참조!$B$2:$B$15=E553)*(참조!$D$2:$D$15=C553)*(참조!$E$2:$E$15=D553),참조!$C$2:$C$15,"")</f>
        <v/>
      </c>
    </row>
    <row r="554" hidden="1" s="27">
      <c r="A554" s="47" t="inlineStr">
        <is>
          <t>더원모바일</t>
        </is>
      </c>
      <c r="B554" s="47" t="inlineStr">
        <is>
          <t>TOP 10GB 기본 (밀리의서재)</t>
        </is>
      </c>
      <c r="C554" s="47" t="inlineStr">
        <is>
          <t>무제한</t>
        </is>
      </c>
      <c r="D554" s="47" t="inlineStr">
        <is>
          <t>무제한</t>
        </is>
      </c>
      <c r="E554" s="47" t="inlineStr">
        <is>
          <t>월 10GB + 1Mbps</t>
        </is>
      </c>
      <c r="F554" s="47" t="inlineStr">
        <is>
          <t>KT</t>
        </is>
      </c>
      <c r="G554" s="47" t="inlineStr">
        <is>
          <t>LTE</t>
        </is>
      </c>
      <c r="H554" s="48" t="n">
        <v>7700</v>
      </c>
      <c r="I554" s="48" t="n">
        <v>12</v>
      </c>
      <c r="J554" s="48" t="n">
        <v>27500</v>
      </c>
      <c r="K554" s="47">
        <f t="array" ref="K554">_xlfn.XLOOKUP(1,(참조!$B$2:$B$15=E554)*(참조!$D$2:$D$15=C554)*(참조!$E$2:$E$15=D554),참조!$C$2:$C$15,"")</f>
        <v/>
      </c>
    </row>
    <row r="555" hidden="1" s="27">
      <c r="A555" s="47" t="inlineStr">
        <is>
          <t>고고모바일</t>
        </is>
      </c>
      <c r="B555" s="47" t="inlineStr">
        <is>
          <t>무제한11GB+3Mbps(지니뮤직 매월 무료)</t>
        </is>
      </c>
      <c r="C555" s="47" t="inlineStr">
        <is>
          <t>무제한</t>
        </is>
      </c>
      <c r="D555" s="47" t="inlineStr">
        <is>
          <t>무제한</t>
        </is>
      </c>
      <c r="E555" s="47" t="inlineStr">
        <is>
          <t>월 11GB + 매일 2GB + 3Mbps</t>
        </is>
      </c>
      <c r="F555" s="47" t="inlineStr">
        <is>
          <t>KT</t>
        </is>
      </c>
      <c r="G555" s="47" t="inlineStr">
        <is>
          <t>LTE</t>
        </is>
      </c>
      <c r="H555" s="48" t="n">
        <v>39600</v>
      </c>
      <c r="I555" s="48" t="n"/>
      <c r="J555" s="48" t="n"/>
      <c r="K555" s="47">
        <f t="array" ref="K555">_xlfn.XLOOKUP(1,(참조!$B$2:$B$15=E555)*(참조!$D$2:$D$15=C555)*(참조!$E$2:$E$15=D555),참조!$C$2:$C$15,"")</f>
        <v/>
      </c>
    </row>
    <row r="556" hidden="1" s="27">
      <c r="A556" s="47" t="inlineStr">
        <is>
          <t>핀다이렉트</t>
        </is>
      </c>
      <c r="B556" s="47" t="inlineStr">
        <is>
          <t>[모요only] [S] 핀다이렉트Z _PIN</t>
        </is>
      </c>
      <c r="C556" s="47" t="inlineStr">
        <is>
          <t>무제한</t>
        </is>
      </c>
      <c r="D556" s="47" t="inlineStr">
        <is>
          <t>무제한</t>
        </is>
      </c>
      <c r="E556" s="47" t="inlineStr">
        <is>
          <t>월 11GB + 매일 2GB + 3Mbps</t>
        </is>
      </c>
      <c r="F556" s="47" t="inlineStr">
        <is>
          <t>SKT</t>
        </is>
      </c>
      <c r="G556" s="47" t="inlineStr">
        <is>
          <t>LTE</t>
        </is>
      </c>
      <c r="H556" s="48" t="n">
        <v>15000</v>
      </c>
      <c r="I556" s="48" t="n">
        <v>7</v>
      </c>
      <c r="J556" s="48" t="n">
        <v>39600</v>
      </c>
      <c r="K556" s="47">
        <f t="array" ref="K556">_xlfn.XLOOKUP(1,(참조!$B$2:$B$15=E556)*(참조!$D$2:$D$15=C556)*(참조!$E$2:$E$15=D556),참조!$C$2:$C$15,"")</f>
        <v/>
      </c>
    </row>
    <row r="557" hidden="1" s="27">
      <c r="A557" s="47" t="inlineStr">
        <is>
          <t>찬스모바일</t>
        </is>
      </c>
      <c r="B557" s="47" t="inlineStr">
        <is>
          <t>음성기본 매일 5GB+_24개월</t>
        </is>
      </c>
      <c r="C557" s="47" t="inlineStr">
        <is>
          <t>무제한</t>
        </is>
      </c>
      <c r="D557" s="47" t="inlineStr">
        <is>
          <t>무제한</t>
        </is>
      </c>
      <c r="E557" s="47" t="inlineStr">
        <is>
          <t>매일 5GB + 5Mbps</t>
        </is>
      </c>
      <c r="F557" s="47" t="inlineStr">
        <is>
          <t>LG U+</t>
        </is>
      </c>
      <c r="G557" s="47" t="inlineStr">
        <is>
          <t>LTE</t>
        </is>
      </c>
      <c r="H557" s="48" t="n">
        <v>29000</v>
      </c>
      <c r="I557" s="48" t="n">
        <v>24</v>
      </c>
      <c r="J557" s="48" t="n">
        <v>48400</v>
      </c>
      <c r="K557" s="47">
        <f t="array" ref="K557">_xlfn.XLOOKUP(1,(참조!$B$2:$B$15=E557)*(참조!$D$2:$D$15=C557)*(참조!$E$2:$E$15=D557),참조!$C$2:$C$15,"")</f>
        <v/>
      </c>
    </row>
    <row r="558" hidden="1" s="27">
      <c r="A558" s="47" t="inlineStr">
        <is>
          <t>티플러스</t>
        </is>
      </c>
      <c r="B558" s="47" t="inlineStr">
        <is>
          <t>티플 위드유 100GB＋(G car)</t>
        </is>
      </c>
      <c r="C558" s="47" t="inlineStr">
        <is>
          <t>무제한</t>
        </is>
      </c>
      <c r="D558" s="47" t="inlineStr">
        <is>
          <t>무제한</t>
        </is>
      </c>
      <c r="E558" s="47" t="inlineStr">
        <is>
          <t>월 100GB + 5Mbps</t>
        </is>
      </c>
      <c r="F558" s="47" t="inlineStr">
        <is>
          <t>SKT</t>
        </is>
      </c>
      <c r="G558" s="47" t="inlineStr">
        <is>
          <t>LTE</t>
        </is>
      </c>
      <c r="H558" s="48" t="n">
        <v>13900</v>
      </c>
      <c r="I558" s="48" t="n">
        <v>7</v>
      </c>
      <c r="J558" s="48" t="n">
        <v>48400</v>
      </c>
      <c r="K558" s="47">
        <f t="array" ref="K558">_xlfn.XLOOKUP(1,(참조!$B$2:$B$15=E558)*(참조!$D$2:$D$15=C558)*(참조!$E$2:$E$15=D558),참조!$C$2:$C$15,"")</f>
        <v/>
      </c>
    </row>
    <row r="559" hidden="1" s="27">
      <c r="A559" s="47" t="inlineStr">
        <is>
          <t>시월모바일</t>
        </is>
      </c>
      <c r="B559" s="47" t="inlineStr">
        <is>
          <t>두해 통화기본매일5GB+</t>
        </is>
      </c>
      <c r="C559" s="47" t="inlineStr">
        <is>
          <t>무제한</t>
        </is>
      </c>
      <c r="D559" s="47" t="inlineStr">
        <is>
          <t>무제한</t>
        </is>
      </c>
      <c r="E559" s="47" t="inlineStr">
        <is>
          <t>매일 5GB + 5Mbps</t>
        </is>
      </c>
      <c r="F559" s="47" t="inlineStr">
        <is>
          <t>LG U+</t>
        </is>
      </c>
      <c r="G559" s="47" t="inlineStr">
        <is>
          <t>LTE</t>
        </is>
      </c>
      <c r="H559" s="48" t="n">
        <v>29090</v>
      </c>
      <c r="I559" s="48" t="n">
        <v>24</v>
      </c>
      <c r="J559" s="48" t="n">
        <v>46250</v>
      </c>
      <c r="K559" s="47">
        <f t="array" ref="K559">_xlfn.XLOOKUP(1,(참조!$B$2:$B$15=E559)*(참조!$D$2:$D$15=C559)*(참조!$E$2:$E$15=D559),참조!$C$2:$C$15,"")</f>
        <v/>
      </c>
    </row>
    <row r="560" hidden="1" s="27">
      <c r="A560" s="47" t="inlineStr">
        <is>
          <t>이지모바일</t>
        </is>
      </c>
      <c r="B560" s="47" t="inlineStr">
        <is>
          <t>EG 무제한 7G+1(NPAY3000)</t>
        </is>
      </c>
      <c r="C560" s="47" t="inlineStr">
        <is>
          <t>무제한</t>
        </is>
      </c>
      <c r="D560" s="47" t="inlineStr">
        <is>
          <t>무제한</t>
        </is>
      </c>
      <c r="E560" s="47" t="inlineStr">
        <is>
          <t>월 7GB + 1Mbps</t>
        </is>
      </c>
      <c r="F560" s="47" t="inlineStr">
        <is>
          <t>KT</t>
        </is>
      </c>
      <c r="G560" s="47" t="inlineStr">
        <is>
          <t>LTE</t>
        </is>
      </c>
      <c r="H560" s="48" t="n">
        <v>1900</v>
      </c>
      <c r="I560" s="48" t="n">
        <v>6</v>
      </c>
      <c r="J560" s="48" t="n">
        <v>23100</v>
      </c>
      <c r="K560" s="47">
        <f t="array" ref="K560">_xlfn.XLOOKUP(1,(참조!$B$2:$B$15=E560)*(참조!$D$2:$D$15=C560)*(참조!$E$2:$E$15=D560),참조!$C$2:$C$15,"")</f>
        <v/>
      </c>
    </row>
    <row r="561" hidden="1" s="27">
      <c r="A561" s="47" t="inlineStr">
        <is>
          <t>시월모바일</t>
        </is>
      </c>
      <c r="B561" s="47" t="inlineStr">
        <is>
          <t>두해 100분15GB+</t>
        </is>
      </c>
      <c r="C561" s="47" t="inlineStr">
        <is>
          <t>100분</t>
        </is>
      </c>
      <c r="D561" s="47" t="inlineStr">
        <is>
          <t>100건</t>
        </is>
      </c>
      <c r="E561" s="47" t="inlineStr">
        <is>
          <t>월 15GB + 3Mbps</t>
        </is>
      </c>
      <c r="F561" s="47" t="inlineStr">
        <is>
          <t>LG U+</t>
        </is>
      </c>
      <c r="G561" s="47" t="inlineStr">
        <is>
          <t>LTE</t>
        </is>
      </c>
      <c r="H561" s="48" t="n">
        <v>19560</v>
      </c>
      <c r="I561" s="48" t="n">
        <v>24</v>
      </c>
      <c r="J561" s="48" t="n">
        <v>31990</v>
      </c>
      <c r="K561" s="47">
        <f t="array" ref="K561">_xlfn.XLOOKUP(1,(참조!$B$2:$B$15=E561)*(참조!$D$2:$D$15=C561)*(참조!$E$2:$E$15=D561),참조!$C$2:$C$15,"")</f>
        <v/>
      </c>
    </row>
    <row r="562" hidden="1" s="27">
      <c r="A562" s="47" t="inlineStr">
        <is>
          <t>이지모바일</t>
        </is>
      </c>
      <c r="B562" s="47" t="inlineStr">
        <is>
          <t>EG 무제한 15G+3/100분(밀리의 서재)</t>
        </is>
      </c>
      <c r="C562" s="47" t="inlineStr">
        <is>
          <t>100분</t>
        </is>
      </c>
      <c r="D562" s="47" t="inlineStr">
        <is>
          <t>100건</t>
        </is>
      </c>
      <c r="E562" s="47" t="inlineStr">
        <is>
          <t>월 15GB + 3Mbps</t>
        </is>
      </c>
      <c r="F562" s="47" t="inlineStr">
        <is>
          <t>KT</t>
        </is>
      </c>
      <c r="G562" s="47" t="inlineStr">
        <is>
          <t>LTE</t>
        </is>
      </c>
      <c r="H562" s="48" t="n">
        <v>6000</v>
      </c>
      <c r="I562" s="48" t="n">
        <v>6</v>
      </c>
      <c r="J562" s="48" t="n">
        <v>29700</v>
      </c>
      <c r="K562" s="47">
        <f t="array" ref="K562">_xlfn.XLOOKUP(1,(참조!$B$2:$B$15=E562)*(참조!$D$2:$D$15=C562)*(참조!$E$2:$E$15=D562),참조!$C$2:$C$15,"")</f>
        <v/>
      </c>
    </row>
    <row r="563" hidden="1" s="27">
      <c r="A563" s="47" t="inlineStr">
        <is>
          <t>더원모바일</t>
        </is>
      </c>
      <c r="B563" s="47" t="inlineStr">
        <is>
          <t>TOP 7GB 기본 (밀리의서재)</t>
        </is>
      </c>
      <c r="C563" s="47" t="inlineStr">
        <is>
          <t>무제한</t>
        </is>
      </c>
      <c r="D563" s="47" t="inlineStr">
        <is>
          <t>무제한</t>
        </is>
      </c>
      <c r="E563" s="47" t="inlineStr">
        <is>
          <t>월 7GB + 1Mbps</t>
        </is>
      </c>
      <c r="F563" s="47" t="inlineStr">
        <is>
          <t>KT</t>
        </is>
      </c>
      <c r="G563" s="47" t="inlineStr">
        <is>
          <t>LTE</t>
        </is>
      </c>
      <c r="H563" s="48" t="n">
        <v>2750</v>
      </c>
      <c r="I563" s="48" t="n">
        <v>7</v>
      </c>
      <c r="J563" s="48" t="n">
        <v>22000</v>
      </c>
      <c r="K563" s="47">
        <f t="array" ref="K563">_xlfn.XLOOKUP(1,(참조!$B$2:$B$15=E563)*(참조!$D$2:$D$15=C563)*(참조!$E$2:$E$15=D563),참조!$C$2:$C$15,"")</f>
        <v/>
      </c>
    </row>
    <row r="564" hidden="1" s="27">
      <c r="A564" s="47" t="inlineStr">
        <is>
          <t>U+유모바일</t>
        </is>
      </c>
      <c r="B564" s="47" t="inlineStr">
        <is>
          <t>교보문고 북 플러스알파 1GB+</t>
        </is>
      </c>
      <c r="C564" s="47" t="inlineStr">
        <is>
          <t>무제한</t>
        </is>
      </c>
      <c r="D564" s="47" t="inlineStr">
        <is>
          <t>무제한</t>
        </is>
      </c>
      <c r="E564" s="47" t="inlineStr">
        <is>
          <t>월 1GB + 1Mbps</t>
        </is>
      </c>
      <c r="F564" s="47" t="inlineStr">
        <is>
          <t>LG U+</t>
        </is>
      </c>
      <c r="G564" s="47" t="inlineStr">
        <is>
          <t>LTE</t>
        </is>
      </c>
      <c r="H564" s="48" t="n">
        <v>11400</v>
      </c>
      <c r="I564" s="48" t="n"/>
      <c r="J564" s="48" t="n"/>
      <c r="K564" s="47">
        <f t="array" ref="K564">_xlfn.XLOOKUP(1,(참조!$B$2:$B$15=E564)*(참조!$D$2:$D$15=C564)*(참조!$E$2:$E$15=D564),참조!$C$2:$C$15,"")</f>
        <v/>
      </c>
    </row>
    <row r="565" hidden="1" s="27">
      <c r="A565" s="47" t="inlineStr">
        <is>
          <t>이야기모바일</t>
        </is>
      </c>
      <c r="B565" s="47" t="inlineStr">
        <is>
          <t>함께이야기해S(100분+10GB)</t>
        </is>
      </c>
      <c r="C565" s="47" t="inlineStr">
        <is>
          <t>100분</t>
        </is>
      </c>
      <c r="D565" s="47" t="inlineStr">
        <is>
          <t>100건</t>
        </is>
      </c>
      <c r="E565" s="47" t="inlineStr">
        <is>
          <t>월 10GB</t>
        </is>
      </c>
      <c r="F565" s="47" t="inlineStr">
        <is>
          <t>SKT</t>
        </is>
      </c>
      <c r="G565" s="47" t="inlineStr">
        <is>
          <t>LTE</t>
        </is>
      </c>
      <c r="H565" s="48" t="n">
        <v>3300</v>
      </c>
      <c r="I565" s="48" t="n">
        <v>24</v>
      </c>
      <c r="J565" s="48" t="n">
        <v>8800</v>
      </c>
      <c r="K565" s="47">
        <f t="array" ref="K565">_xlfn.XLOOKUP(1,(참조!$B$2:$B$15=E565)*(참조!$D$2:$D$15=C565)*(참조!$E$2:$E$15=D565),참조!$C$2:$C$15,"")</f>
        <v/>
      </c>
    </row>
    <row r="566" hidden="1" s="27">
      <c r="A566" s="47" t="inlineStr">
        <is>
          <t>KG모바일</t>
        </is>
      </c>
      <c r="B566" s="47" t="inlineStr">
        <is>
          <t>[모빌카드 스페셜] 통화, 데이터 마음대로 100GB+</t>
        </is>
      </c>
      <c r="C566" s="47" t="inlineStr">
        <is>
          <t>무제한</t>
        </is>
      </c>
      <c r="D566" s="47" t="inlineStr">
        <is>
          <t>무제한</t>
        </is>
      </c>
      <c r="E566" s="47" t="inlineStr">
        <is>
          <t>월 100GB + 5Mbps</t>
        </is>
      </c>
      <c r="F566" s="47" t="inlineStr">
        <is>
          <t>LG U+</t>
        </is>
      </c>
      <c r="G566" s="47" t="inlineStr">
        <is>
          <t>LTE</t>
        </is>
      </c>
      <c r="H566" s="48" t="n">
        <v>9900</v>
      </c>
      <c r="I566" s="48" t="n">
        <v>7</v>
      </c>
      <c r="J566" s="48" t="n">
        <v>47300</v>
      </c>
      <c r="K566" s="47">
        <f t="array" ref="K566">_xlfn.XLOOKUP(1,(참조!$B$2:$B$15=E566)*(참조!$D$2:$D$15=C566)*(참조!$E$2:$E$15=D566),참조!$C$2:$C$15,"")</f>
        <v/>
      </c>
    </row>
    <row r="567" hidden="1" s="27">
      <c r="A567" s="47" t="inlineStr">
        <is>
          <t>티플러스</t>
        </is>
      </c>
      <c r="B567" s="47" t="inlineStr">
        <is>
          <t>The 완전마음껏11G＋(스타벅스 매월 5000P)</t>
        </is>
      </c>
      <c r="C567" s="47" t="inlineStr">
        <is>
          <t>무제한</t>
        </is>
      </c>
      <c r="D567" s="47" t="inlineStr">
        <is>
          <t>무제한</t>
        </is>
      </c>
      <c r="E567" s="47" t="inlineStr">
        <is>
          <t>월 11GB + 매일 2GB + 3Mbps</t>
        </is>
      </c>
      <c r="F567" s="47" t="inlineStr">
        <is>
          <t>LG U+</t>
        </is>
      </c>
      <c r="G567" s="47" t="inlineStr">
        <is>
          <t>LTE</t>
        </is>
      </c>
      <c r="H567" s="48" t="n">
        <v>27900</v>
      </c>
      <c r="I567" s="48" t="n">
        <v>24</v>
      </c>
      <c r="J567" s="48" t="n">
        <v>39600</v>
      </c>
      <c r="K567" s="47">
        <f t="array" ref="K567">_xlfn.XLOOKUP(1,(참조!$B$2:$B$15=E567)*(참조!$D$2:$D$15=C567)*(참조!$E$2:$E$15=D567),참조!$C$2:$C$15,"")</f>
        <v/>
      </c>
    </row>
    <row r="568" hidden="1" s="27">
      <c r="A568" s="47" t="inlineStr">
        <is>
          <t>고고모바일</t>
        </is>
      </c>
      <c r="B568" s="47" t="inlineStr">
        <is>
          <t>무제한7GB+1M(지니뮤직 매월 무료)</t>
        </is>
      </c>
      <c r="C568" s="47" t="inlineStr">
        <is>
          <t>무제한</t>
        </is>
      </c>
      <c r="D568" s="47" t="inlineStr">
        <is>
          <t>무제한</t>
        </is>
      </c>
      <c r="E568" s="47" t="inlineStr">
        <is>
          <t>월 7GB + 1Mbps</t>
        </is>
      </c>
      <c r="F568" s="47" t="inlineStr">
        <is>
          <t>KT</t>
        </is>
      </c>
      <c r="G568" s="47" t="inlineStr">
        <is>
          <t>LTE</t>
        </is>
      </c>
      <c r="H568" s="48" t="n">
        <v>22000</v>
      </c>
      <c r="I568" s="48" t="n"/>
      <c r="J568" s="48" t="n"/>
      <c r="K568" s="47">
        <f t="array" ref="K568">_xlfn.XLOOKUP(1,(참조!$B$2:$B$15=E568)*(참조!$D$2:$D$15=C568)*(참조!$E$2:$E$15=D568),참조!$C$2:$C$15,"")</f>
        <v/>
      </c>
    </row>
    <row r="569" hidden="1" s="27">
      <c r="A569" s="47" t="inlineStr">
        <is>
          <t>찬스모바일</t>
        </is>
      </c>
      <c r="B569" s="47" t="inlineStr">
        <is>
          <t>5G 음성기본 95GB+3Mbps_24개월</t>
        </is>
      </c>
      <c r="C569" s="47" t="inlineStr">
        <is>
          <t>무제한</t>
        </is>
      </c>
      <c r="D569" s="47" t="inlineStr">
        <is>
          <t>무제한</t>
        </is>
      </c>
      <c r="E569" s="47" t="inlineStr">
        <is>
          <t>월 95GB + 3Mbps</t>
        </is>
      </c>
      <c r="F569" s="47" t="inlineStr">
        <is>
          <t>LG U+</t>
        </is>
      </c>
      <c r="G569" s="47" t="inlineStr">
        <is>
          <t>5G</t>
        </is>
      </c>
      <c r="H569" s="48" t="n">
        <v>28200</v>
      </c>
      <c r="I569" s="48" t="n">
        <v>24</v>
      </c>
      <c r="J569" s="48" t="n">
        <v>49500</v>
      </c>
      <c r="K569" s="47">
        <f t="array" ref="K569">_xlfn.XLOOKUP(1,(참조!$B$2:$B$15=E569)*(참조!$D$2:$D$15=C569)*(참조!$E$2:$E$15=D569),참조!$C$2:$C$15,"")</f>
        <v/>
      </c>
    </row>
    <row r="570" hidden="1" s="27">
      <c r="A570" s="47" t="inlineStr">
        <is>
          <t>KT스카이라이프</t>
        </is>
      </c>
      <c r="B570" s="47" t="inlineStr">
        <is>
          <t>데이터 충분 15GB+/300분(CU)</t>
        </is>
      </c>
      <c r="C570" s="47" t="inlineStr">
        <is>
          <t>300분</t>
        </is>
      </c>
      <c r="D570" s="47" t="inlineStr">
        <is>
          <t>300건</t>
        </is>
      </c>
      <c r="E570" s="47" t="inlineStr">
        <is>
          <t>월 15GB + 3Mbps</t>
        </is>
      </c>
      <c r="F570" s="47" t="inlineStr">
        <is>
          <t>KT</t>
        </is>
      </c>
      <c r="G570" s="47" t="inlineStr">
        <is>
          <t>LTE</t>
        </is>
      </c>
      <c r="H570" s="48" t="n">
        <v>27500</v>
      </c>
      <c r="I570" s="48" t="n"/>
      <c r="J570" s="48" t="n"/>
      <c r="K570" s="47">
        <f t="array" ref="K570">_xlfn.XLOOKUP(1,(참조!$B$2:$B$15=E570)*(참조!$D$2:$D$15=C570)*(참조!$E$2:$E$15=D570),참조!$C$2:$C$15,"")</f>
        <v/>
      </c>
    </row>
    <row r="571">
      <c r="A571" s="47" t="inlineStr">
        <is>
          <t>고고모바일</t>
        </is>
      </c>
      <c r="B571" s="47" t="inlineStr">
        <is>
          <t>고고100분/1GB-데이터소진후 자동차단</t>
        </is>
      </c>
      <c r="C571" s="47" t="inlineStr">
        <is>
          <t>100분</t>
        </is>
      </c>
      <c r="D571" s="47" t="inlineStr">
        <is>
          <t>100건</t>
        </is>
      </c>
      <c r="E571" s="47" t="inlineStr">
        <is>
          <t>월 1GB</t>
        </is>
      </c>
      <c r="F571" s="47" t="inlineStr">
        <is>
          <t>KT</t>
        </is>
      </c>
      <c r="G571" s="47" t="inlineStr">
        <is>
          <t>LTE</t>
        </is>
      </c>
      <c r="H571" s="48" t="n">
        <v>5500</v>
      </c>
      <c r="I571" s="48" t="n"/>
      <c r="J571" s="48" t="n"/>
      <c r="K571" s="47">
        <f t="array" ref="K571">_xlfn.XLOOKUP(1,(참조!$B$2:$B$15=E571)*(참조!$D$2:$D$15=C571)*(참조!$E$2:$E$15=D571),참조!$C$2:$C$15,"")</f>
        <v/>
      </c>
    </row>
    <row r="572" hidden="1" s="27">
      <c r="A572" s="47" t="inlineStr">
        <is>
          <t>KT스카이라이프</t>
        </is>
      </c>
      <c r="B572" s="47" t="inlineStr">
        <is>
          <t>모두 충분 100GB+(밀리의서재)</t>
        </is>
      </c>
      <c r="C572" s="47" t="inlineStr">
        <is>
          <t>무제한</t>
        </is>
      </c>
      <c r="D572" s="47" t="inlineStr">
        <is>
          <t>무제한</t>
        </is>
      </c>
      <c r="E572" s="47" t="inlineStr">
        <is>
          <t>월 100GB + 5Mbps</t>
        </is>
      </c>
      <c r="F572" s="47" t="inlineStr">
        <is>
          <t>KT</t>
        </is>
      </c>
      <c r="G572" s="47" t="inlineStr">
        <is>
          <t>LTE</t>
        </is>
      </c>
      <c r="H572" s="48" t="n">
        <v>39500</v>
      </c>
      <c r="I572" s="48" t="n"/>
      <c r="J572" s="48" t="n"/>
      <c r="K572" s="47">
        <f t="array" ref="K572">_xlfn.XLOOKUP(1,(참조!$B$2:$B$15=E572)*(참조!$D$2:$D$15=C572)*(참조!$E$2:$E$15=D572),참조!$C$2:$C$15,"")</f>
        <v/>
      </c>
    </row>
    <row r="573" hidden="1" s="27">
      <c r="A573" s="47" t="inlineStr">
        <is>
          <t>찬스모바일</t>
        </is>
      </c>
      <c r="B573" s="47" t="inlineStr">
        <is>
          <t>[CHM]5G 찬스 300분/15GB</t>
        </is>
      </c>
      <c r="C573" s="47" t="inlineStr">
        <is>
          <t>300분</t>
        </is>
      </c>
      <c r="D573" s="47" t="inlineStr">
        <is>
          <t>300건</t>
        </is>
      </c>
      <c r="E573" s="47" t="inlineStr">
        <is>
          <t>월 15GB</t>
        </is>
      </c>
      <c r="F573" s="47" t="inlineStr">
        <is>
          <t>LG U+</t>
        </is>
      </c>
      <c r="G573" s="47" t="inlineStr">
        <is>
          <t>5G</t>
        </is>
      </c>
      <c r="H573" s="48" t="n">
        <v>5400</v>
      </c>
      <c r="I573" s="48" t="n">
        <v>6</v>
      </c>
      <c r="J573" s="48" t="n">
        <v>24200</v>
      </c>
      <c r="K573" s="47">
        <f t="array" ref="K573">_xlfn.XLOOKUP(1,(참조!$B$2:$B$15=E573)*(참조!$D$2:$D$15=C573)*(참조!$E$2:$E$15=D573),참조!$C$2:$C$15,"")</f>
        <v/>
      </c>
    </row>
    <row r="574" hidden="1" s="27">
      <c r="A574" s="47" t="inlineStr">
        <is>
          <t>이야기모바일</t>
        </is>
      </c>
      <c r="B574" s="47" t="inlineStr">
        <is>
          <t>5G 함께이야기해S (200분+20GB)</t>
        </is>
      </c>
      <c r="C574" s="47" t="inlineStr">
        <is>
          <t>200분</t>
        </is>
      </c>
      <c r="D574" s="47" t="inlineStr">
        <is>
          <t>100건</t>
        </is>
      </c>
      <c r="E574" s="47" t="inlineStr">
        <is>
          <t>월 20GB</t>
        </is>
      </c>
      <c r="F574" s="47" t="inlineStr">
        <is>
          <t>SKT</t>
        </is>
      </c>
      <c r="G574" s="47" t="inlineStr">
        <is>
          <t>5G</t>
        </is>
      </c>
      <c r="H574" s="48" t="n">
        <v>18700</v>
      </c>
      <c r="I574" s="48" t="n"/>
      <c r="J574" s="48" t="n"/>
      <c r="K574" s="47">
        <f t="array" ref="K574">_xlfn.XLOOKUP(1,(참조!$B$2:$B$15=E574)*(참조!$D$2:$D$15=C574)*(참조!$E$2:$E$15=D574),참조!$C$2:$C$15,"")</f>
        <v/>
      </c>
    </row>
    <row r="575" hidden="1" s="27">
      <c r="A575" s="47" t="inlineStr">
        <is>
          <t>슈가모바일</t>
        </is>
      </c>
      <c r="B575" s="47" t="inlineStr">
        <is>
          <t>슈가칩 매일5GB++</t>
        </is>
      </c>
      <c r="C575" s="47" t="inlineStr">
        <is>
          <t>무제한</t>
        </is>
      </c>
      <c r="D575" s="47" t="inlineStr">
        <is>
          <t>무제한</t>
        </is>
      </c>
      <c r="E575" s="47" t="inlineStr">
        <is>
          <t>매일 5GB + 5Mbps</t>
        </is>
      </c>
      <c r="F575" s="47" t="inlineStr">
        <is>
          <t>LG U+</t>
        </is>
      </c>
      <c r="G575" s="47" t="inlineStr">
        <is>
          <t>LTE</t>
        </is>
      </c>
      <c r="H575" s="48" t="n">
        <v>14000</v>
      </c>
      <c r="I575" s="48" t="n">
        <v>7</v>
      </c>
      <c r="J575" s="48" t="n">
        <v>48000</v>
      </c>
      <c r="K575" s="47">
        <f t="array" ref="K575">_xlfn.XLOOKUP(1,(참조!$B$2:$B$15=E575)*(참조!$D$2:$D$15=C575)*(참조!$E$2:$E$15=D575),참조!$C$2:$C$15,"")</f>
        <v/>
      </c>
    </row>
    <row r="576" hidden="1" s="27">
      <c r="A576" s="47" t="inlineStr">
        <is>
          <t>티플러스</t>
        </is>
      </c>
      <c r="B576" s="47" t="inlineStr">
        <is>
          <t>티플포유(6G/500분)</t>
        </is>
      </c>
      <c r="C576" s="47" t="inlineStr">
        <is>
          <t>500분</t>
        </is>
      </c>
      <c r="D576" s="47" t="inlineStr">
        <is>
          <t>100건</t>
        </is>
      </c>
      <c r="E576" s="47" t="inlineStr">
        <is>
          <t>월 6GB</t>
        </is>
      </c>
      <c r="F576" s="47" t="inlineStr">
        <is>
          <t>LG U+</t>
        </is>
      </c>
      <c r="G576" s="47" t="inlineStr">
        <is>
          <t>LTE</t>
        </is>
      </c>
      <c r="H576" s="48" t="n">
        <v>10</v>
      </c>
      <c r="I576" s="48" t="n">
        <v>9</v>
      </c>
      <c r="J576" s="48" t="n">
        <v>12100</v>
      </c>
      <c r="K576" s="47">
        <f t="array" ref="K576">_xlfn.XLOOKUP(1,(참조!$B$2:$B$15=E576)*(참조!$D$2:$D$15=C576)*(참조!$E$2:$E$15=D576),참조!$C$2:$C$15,"")</f>
        <v/>
      </c>
    </row>
    <row r="577" hidden="1" s="27">
      <c r="A577" s="47" t="inlineStr">
        <is>
          <t>KG모바일</t>
        </is>
      </c>
      <c r="B577" s="47" t="inlineStr">
        <is>
          <t>[KG모바일 스페셜] 통화, 데이터 마음대로 100GB+</t>
        </is>
      </c>
      <c r="C577" s="47" t="inlineStr">
        <is>
          <t>무제한</t>
        </is>
      </c>
      <c r="D577" s="47" t="inlineStr">
        <is>
          <t>무제한</t>
        </is>
      </c>
      <c r="E577" s="47" t="inlineStr">
        <is>
          <t>월 100GB + 5Mbps</t>
        </is>
      </c>
      <c r="F577" s="47" t="inlineStr">
        <is>
          <t>LG U+</t>
        </is>
      </c>
      <c r="G577" s="47" t="inlineStr">
        <is>
          <t>LTE</t>
        </is>
      </c>
      <c r="H577" s="48" t="n">
        <v>9900</v>
      </c>
      <c r="I577" s="48" t="n">
        <v>7</v>
      </c>
      <c r="J577" s="48" t="n">
        <v>47300</v>
      </c>
      <c r="K577" s="47">
        <f t="array" ref="K577">_xlfn.XLOOKUP(1,(참조!$B$2:$B$15=E577)*(참조!$D$2:$D$15=C577)*(참조!$E$2:$E$15=D577),참조!$C$2:$C$15,"")</f>
        <v/>
      </c>
    </row>
    <row r="578" hidden="1" s="27">
      <c r="A578" s="47" t="inlineStr">
        <is>
          <t>KT스카이라이프</t>
        </is>
      </c>
      <c r="B578" s="47" t="inlineStr">
        <is>
          <t>모두 충분 100GB+(CU)</t>
        </is>
      </c>
      <c r="C578" s="47" t="inlineStr">
        <is>
          <t>무제한</t>
        </is>
      </c>
      <c r="D578" s="47" t="inlineStr">
        <is>
          <t>무제한</t>
        </is>
      </c>
      <c r="E578" s="47" t="inlineStr">
        <is>
          <t>월 100GB + 5Mbps</t>
        </is>
      </c>
      <c r="F578" s="47" t="inlineStr">
        <is>
          <t>KT</t>
        </is>
      </c>
      <c r="G578" s="47" t="inlineStr">
        <is>
          <t>LTE</t>
        </is>
      </c>
      <c r="H578" s="48" t="n">
        <v>39400</v>
      </c>
      <c r="I578" s="48" t="n"/>
      <c r="J578" s="48" t="n"/>
      <c r="K578" s="47">
        <f t="array" ref="K578">_xlfn.XLOOKUP(1,(참조!$B$2:$B$15=E578)*(참조!$D$2:$D$15=C578)*(참조!$E$2:$E$15=D578),참조!$C$2:$C$15,"")</f>
        <v/>
      </c>
    </row>
    <row r="579">
      <c r="A579" s="47" t="inlineStr">
        <is>
          <t>이야기모바일</t>
        </is>
      </c>
      <c r="B579" s="47" t="inlineStr">
        <is>
          <t>5G이야기 스페셜 150GB+</t>
        </is>
      </c>
      <c r="C579" s="47" t="inlineStr">
        <is>
          <t>무제한</t>
        </is>
      </c>
      <c r="D579" s="47" t="inlineStr">
        <is>
          <t>무제한</t>
        </is>
      </c>
      <c r="E579" s="47" t="inlineStr">
        <is>
          <t>월 150GB + 5Mbps</t>
        </is>
      </c>
      <c r="F579" s="47" t="inlineStr">
        <is>
          <t>LG U+</t>
        </is>
      </c>
      <c r="G579" s="47" t="inlineStr">
        <is>
          <t>5G</t>
        </is>
      </c>
      <c r="H579" s="48" t="n">
        <v>30800</v>
      </c>
      <c r="I579" s="48" t="n">
        <v>24</v>
      </c>
      <c r="J579" s="48" t="n">
        <v>48400</v>
      </c>
      <c r="K579" s="47">
        <f t="array" ref="K579">_xlfn.XLOOKUP(1,(참조!$B$2:$B$15=E579)*(참조!$D$2:$D$15=C579)*(참조!$E$2:$E$15=D579),참조!$C$2:$C$15,"")</f>
        <v/>
      </c>
    </row>
    <row r="580" hidden="1" s="27">
      <c r="A580" s="47" t="inlineStr">
        <is>
          <t>스마텔</t>
        </is>
      </c>
      <c r="B580" s="47" t="inlineStr">
        <is>
          <t>스마트 11GB+ (24개월)</t>
        </is>
      </c>
      <c r="C580" s="47" t="inlineStr">
        <is>
          <t>무제한</t>
        </is>
      </c>
      <c r="D580" s="47" t="inlineStr">
        <is>
          <t>무제한</t>
        </is>
      </c>
      <c r="E580" s="47" t="inlineStr">
        <is>
          <t>월 11GB + 매일 2GB + 3Mbps</t>
        </is>
      </c>
      <c r="F580" s="47" t="inlineStr">
        <is>
          <t>LG U+</t>
        </is>
      </c>
      <c r="G580" s="47" t="inlineStr">
        <is>
          <t>LTE</t>
        </is>
      </c>
      <c r="H580" s="48" t="n">
        <v>28000</v>
      </c>
      <c r="I580" s="48" t="n">
        <v>24</v>
      </c>
      <c r="J580" s="48" t="n">
        <v>40700</v>
      </c>
      <c r="K580" s="47">
        <f t="array" ref="K580">_xlfn.XLOOKUP(1,(참조!$B$2:$B$15=E580)*(참조!$D$2:$D$15=C580)*(참조!$E$2:$E$15=D580),참조!$C$2:$C$15,"")</f>
        <v/>
      </c>
    </row>
    <row r="581" hidden="1" s="27">
      <c r="A581" s="47" t="inlineStr">
        <is>
          <t>KG모바일</t>
        </is>
      </c>
      <c r="B581" s="47" t="inlineStr">
        <is>
          <t>[일반] 실속 (7GB/300분)</t>
        </is>
      </c>
      <c r="C581" s="47" t="inlineStr">
        <is>
          <t>300분</t>
        </is>
      </c>
      <c r="D581" s="47" t="inlineStr">
        <is>
          <t>100건</t>
        </is>
      </c>
      <c r="E581" s="47" t="inlineStr">
        <is>
          <t>월 7GB</t>
        </is>
      </c>
      <c r="F581" s="47" t="inlineStr">
        <is>
          <t>LG U+</t>
        </is>
      </c>
      <c r="G581" s="47" t="inlineStr">
        <is>
          <t>LTE</t>
        </is>
      </c>
      <c r="H581" s="48" t="n">
        <v>2700</v>
      </c>
      <c r="I581" s="48" t="n">
        <v>6</v>
      </c>
      <c r="J581" s="48" t="n">
        <v>14300</v>
      </c>
      <c r="K581" s="47">
        <f t="array" ref="K581">_xlfn.XLOOKUP(1,(참조!$B$2:$B$15=E581)*(참조!$D$2:$D$15=C581)*(참조!$E$2:$E$15=D581),참조!$C$2:$C$15,"")</f>
        <v/>
      </c>
    </row>
    <row r="582" hidden="1" s="27">
      <c r="A582" s="47" t="inlineStr">
        <is>
          <t>U+유모바일</t>
        </is>
      </c>
      <c r="B582" s="47" t="inlineStr">
        <is>
          <t>[평생할인] 5G 150GB+/통화기본</t>
        </is>
      </c>
      <c r="C582" s="47" t="inlineStr">
        <is>
          <t>무제한</t>
        </is>
      </c>
      <c r="D582" s="47" t="inlineStr">
        <is>
          <t>무제한</t>
        </is>
      </c>
      <c r="E582" s="47" t="inlineStr">
        <is>
          <t>월 150GB + 5Mbps</t>
        </is>
      </c>
      <c r="F582" s="47" t="inlineStr">
        <is>
          <t>LG U+</t>
        </is>
      </c>
      <c r="G582" s="47" t="inlineStr">
        <is>
          <t>5G</t>
        </is>
      </c>
      <c r="H582" s="48" t="n">
        <v>47300</v>
      </c>
      <c r="I582" s="48" t="n"/>
      <c r="J582" s="48" t="n"/>
      <c r="K582" s="47">
        <f t="array" ref="K582">_xlfn.XLOOKUP(1,(참조!$B$2:$B$15=E582)*(참조!$D$2:$D$15=C582)*(참조!$E$2:$E$15=D582),참조!$C$2:$C$15,"")</f>
        <v/>
      </c>
    </row>
    <row r="583" hidden="1" s="27">
      <c r="A583" s="47" t="inlineStr">
        <is>
          <t>더원모바일</t>
        </is>
      </c>
      <c r="B583" s="47" t="inlineStr">
        <is>
          <t>TOP 11GB 기본 (멜론)</t>
        </is>
      </c>
      <c r="C583" s="47" t="inlineStr">
        <is>
          <t>무제한</t>
        </is>
      </c>
      <c r="D583" s="47" t="inlineStr">
        <is>
          <t>무제한</t>
        </is>
      </c>
      <c r="E583" s="47" t="inlineStr">
        <is>
          <t>월 11GB + 매일 2GB + 3Mbps</t>
        </is>
      </c>
      <c r="F583" s="47" t="inlineStr">
        <is>
          <t>KT</t>
        </is>
      </c>
      <c r="G583" s="47" t="inlineStr">
        <is>
          <t>LTE</t>
        </is>
      </c>
      <c r="H583" s="48" t="n">
        <v>9900</v>
      </c>
      <c r="I583" s="48" t="n">
        <v>7</v>
      </c>
      <c r="J583" s="48" t="n">
        <v>41800</v>
      </c>
      <c r="K583" s="47">
        <f t="array" ref="K583">_xlfn.XLOOKUP(1,(참조!$B$2:$B$15=E583)*(참조!$D$2:$D$15=C583)*(참조!$E$2:$E$15=D583),참조!$C$2:$C$15,"")</f>
        <v/>
      </c>
    </row>
    <row r="584" hidden="1" s="27">
      <c r="A584" s="47" t="inlineStr">
        <is>
          <t>KT엠모바일</t>
        </is>
      </c>
      <c r="B584" s="47" t="inlineStr">
        <is>
          <t>모두다 맘껏 10GB+(PAY쿠폰 5000P)</t>
        </is>
      </c>
      <c r="C584" s="47" t="inlineStr">
        <is>
          <t>무제한</t>
        </is>
      </c>
      <c r="D584" s="47" t="inlineStr">
        <is>
          <t>무제한</t>
        </is>
      </c>
      <c r="E584" s="47" t="inlineStr">
        <is>
          <t>월 10GB + 1Mbps</t>
        </is>
      </c>
      <c r="F584" s="47" t="inlineStr">
        <is>
          <t>KT</t>
        </is>
      </c>
      <c r="G584" s="47" t="inlineStr">
        <is>
          <t>LTE</t>
        </is>
      </c>
      <c r="H584" s="48" t="n">
        <v>16200</v>
      </c>
      <c r="I584" s="48" t="n"/>
      <c r="J584" s="48" t="n"/>
      <c r="K584" s="47">
        <f t="array" ref="K584">_xlfn.XLOOKUP(1,(참조!$B$2:$B$15=E584)*(참조!$D$2:$D$15=C584)*(참조!$E$2:$E$15=D584),참조!$C$2:$C$15,"")</f>
        <v/>
      </c>
    </row>
    <row r="585" hidden="1" s="27">
      <c r="A585" s="47" t="inlineStr">
        <is>
          <t>KT엠모바일</t>
        </is>
      </c>
      <c r="B585" s="47" t="inlineStr">
        <is>
          <t>모두다 맘껏 7GB+(CU 20%할인)</t>
        </is>
      </c>
      <c r="C585" s="47" t="inlineStr">
        <is>
          <t>무제한</t>
        </is>
      </c>
      <c r="D585" s="47" t="inlineStr">
        <is>
          <t>무제한</t>
        </is>
      </c>
      <c r="E585" s="47" t="inlineStr">
        <is>
          <t>월 7GB + 1Mbps</t>
        </is>
      </c>
      <c r="F585" s="47" t="inlineStr">
        <is>
          <t>KT</t>
        </is>
      </c>
      <c r="G585" s="47" t="inlineStr">
        <is>
          <t>LTE</t>
        </is>
      </c>
      <c r="H585" s="48" t="n">
        <v>16700</v>
      </c>
      <c r="I585" s="48" t="n"/>
      <c r="J585" s="48" t="n"/>
      <c r="K585" s="47">
        <f t="array" ref="K585">_xlfn.XLOOKUP(1,(참조!$B$2:$B$15=E585)*(참조!$D$2:$D$15=C585)*(참조!$E$2:$E$15=D585),참조!$C$2:$C$15,"")</f>
        <v/>
      </c>
    </row>
    <row r="586" hidden="1" s="27">
      <c r="A586" s="47" t="inlineStr">
        <is>
          <t>U+유모바일</t>
        </is>
      </c>
      <c r="B586" s="47" t="inlineStr">
        <is>
          <t>[다이소 12만] 1.5GB/통화기본</t>
        </is>
      </c>
      <c r="C586" s="47" t="inlineStr">
        <is>
          <t>무제한</t>
        </is>
      </c>
      <c r="D586" s="47" t="inlineStr">
        <is>
          <t>무제한</t>
        </is>
      </c>
      <c r="E586" s="47" t="inlineStr">
        <is>
          <t>월 1.5GB</t>
        </is>
      </c>
      <c r="F586" s="47" t="inlineStr">
        <is>
          <t>LG U+</t>
        </is>
      </c>
      <c r="G586" s="47" t="inlineStr">
        <is>
          <t>LTE</t>
        </is>
      </c>
      <c r="H586" s="48" t="n">
        <v>9400</v>
      </c>
      <c r="I586" s="48" t="n"/>
      <c r="J586" s="48" t="n"/>
      <c r="K586" s="47">
        <f t="array" ref="K586">_xlfn.XLOOKUP(1,(참조!$B$2:$B$15=E586)*(참조!$D$2:$D$15=C586)*(참조!$E$2:$E$15=D586),참조!$C$2:$C$15,"")</f>
        <v/>
      </c>
    </row>
    <row r="587" hidden="1" s="27">
      <c r="A587" s="47" t="inlineStr">
        <is>
          <t>이야기모바일</t>
        </is>
      </c>
      <c r="B587" s="47" t="inlineStr">
        <is>
          <t>이야기 완전 무제한 100GB+</t>
        </is>
      </c>
      <c r="C587" s="47" t="inlineStr">
        <is>
          <t>무제한</t>
        </is>
      </c>
      <c r="D587" s="47" t="inlineStr">
        <is>
          <t>무제한</t>
        </is>
      </c>
      <c r="E587" s="47" t="inlineStr">
        <is>
          <t>월 100GB + 5Mbps</t>
        </is>
      </c>
      <c r="F587" s="47" t="inlineStr">
        <is>
          <t>SKT</t>
        </is>
      </c>
      <c r="G587" s="47" t="inlineStr">
        <is>
          <t>LTE</t>
        </is>
      </c>
      <c r="H587" s="48" t="n">
        <v>31900</v>
      </c>
      <c r="I587" s="48" t="n">
        <v>12</v>
      </c>
      <c r="J587" s="48" t="n">
        <v>49500</v>
      </c>
      <c r="K587" s="47">
        <f t="array" ref="K587">_xlfn.XLOOKUP(1,(참조!$B$2:$B$15=E587)*(참조!$D$2:$D$15=C587)*(참조!$E$2:$E$15=D587),참조!$C$2:$C$15,"")</f>
        <v/>
      </c>
    </row>
    <row r="588" hidden="1" s="27">
      <c r="A588" s="47" t="inlineStr">
        <is>
          <t>KT엠모바일</t>
        </is>
      </c>
      <c r="B588" s="47" t="inlineStr">
        <is>
          <t>모두다 맘껏 15GB+(쿠팡캐시 5000원)</t>
        </is>
      </c>
      <c r="C588" s="47" t="inlineStr">
        <is>
          <t>무제한</t>
        </is>
      </c>
      <c r="D588" s="47" t="inlineStr">
        <is>
          <t>무제한</t>
        </is>
      </c>
      <c r="E588" s="47" t="inlineStr">
        <is>
          <t>월 15GB + 1Mbps</t>
        </is>
      </c>
      <c r="F588" s="47" t="inlineStr">
        <is>
          <t>KT</t>
        </is>
      </c>
      <c r="G588" s="47" t="inlineStr">
        <is>
          <t>LTE</t>
        </is>
      </c>
      <c r="H588" s="48" t="n">
        <v>23700</v>
      </c>
      <c r="I588" s="48" t="n"/>
      <c r="J588" s="48" t="n"/>
      <c r="K588" s="47">
        <f t="array" ref="K588">_xlfn.XLOOKUP(1,(참조!$B$2:$B$15=E588)*(참조!$D$2:$D$15=C588)*(참조!$E$2:$E$15=D588),참조!$C$2:$C$15,"")</f>
        <v/>
      </c>
    </row>
    <row r="589" hidden="1" s="27">
      <c r="A589" s="47" t="inlineStr">
        <is>
          <t>KT엠모바일</t>
        </is>
      </c>
      <c r="B589" s="47" t="inlineStr">
        <is>
          <t>모두다 맘껏 100GB+(CU 20%할인)</t>
        </is>
      </c>
      <c r="C589" s="47" t="inlineStr">
        <is>
          <t>무제한</t>
        </is>
      </c>
      <c r="D589" s="47" t="inlineStr">
        <is>
          <t>무제한</t>
        </is>
      </c>
      <c r="E589" s="47" t="inlineStr">
        <is>
          <t>월 100GB + 5Mbps</t>
        </is>
      </c>
      <c r="F589" s="47" t="inlineStr">
        <is>
          <t>KT</t>
        </is>
      </c>
      <c r="G589" s="47" t="inlineStr">
        <is>
          <t>LTE</t>
        </is>
      </c>
      <c r="H589" s="48" t="n">
        <v>38200</v>
      </c>
      <c r="I589" s="48" t="n"/>
      <c r="J589" s="48" t="n"/>
      <c r="K589" s="47">
        <f t="array" ref="K589">_xlfn.XLOOKUP(1,(참조!$B$2:$B$15=E589)*(참조!$D$2:$D$15=C589)*(참조!$E$2:$E$15=D589),참조!$C$2:$C$15,"")</f>
        <v/>
      </c>
    </row>
    <row r="590" hidden="1" s="27">
      <c r="A590" s="47" t="inlineStr">
        <is>
          <t>인스모바일</t>
        </is>
      </c>
      <c r="B590" s="47" t="inlineStr">
        <is>
          <t>인스 유심 스피드(5G) 150GB+</t>
        </is>
      </c>
      <c r="C590" s="47" t="inlineStr">
        <is>
          <t>무제한</t>
        </is>
      </c>
      <c r="D590" s="47" t="inlineStr">
        <is>
          <t>무제한</t>
        </is>
      </c>
      <c r="E590" s="47" t="inlineStr">
        <is>
          <t>월 150GB + 5Mbps</t>
        </is>
      </c>
      <c r="F590" s="47" t="inlineStr">
        <is>
          <t>LG U+</t>
        </is>
      </c>
      <c r="G590" s="47" t="inlineStr">
        <is>
          <t>5G</t>
        </is>
      </c>
      <c r="H590" s="48" t="n">
        <v>9510</v>
      </c>
      <c r="I590" s="48" t="n">
        <v>7</v>
      </c>
      <c r="J590" s="48" t="n">
        <v>59340</v>
      </c>
      <c r="K590" s="47">
        <f t="array" ref="K590">_xlfn.XLOOKUP(1,(참조!$B$2:$B$15=E590)*(참조!$D$2:$D$15=C590)*(참조!$E$2:$E$15=D590),참조!$C$2:$C$15,"")</f>
        <v/>
      </c>
    </row>
    <row r="591" hidden="1" s="27">
      <c r="A591" s="47" t="inlineStr">
        <is>
          <t>티플러스</t>
        </is>
      </c>
      <c r="B591" s="47" t="inlineStr">
        <is>
          <t>완전마음껏 11GB＋＋(멜론 매월 6900P)</t>
        </is>
      </c>
      <c r="C591" s="47" t="inlineStr">
        <is>
          <t>무제한</t>
        </is>
      </c>
      <c r="D591" s="47" t="inlineStr">
        <is>
          <t>무제한</t>
        </is>
      </c>
      <c r="E591" s="47" t="inlineStr">
        <is>
          <t>월 11GB + 매일 2GB + 3Mbps</t>
        </is>
      </c>
      <c r="F591" s="47" t="inlineStr">
        <is>
          <t>KT</t>
        </is>
      </c>
      <c r="G591" s="47" t="inlineStr">
        <is>
          <t>LTE</t>
        </is>
      </c>
      <c r="H591" s="48" t="n">
        <v>13900</v>
      </c>
      <c r="I591" s="48" t="n">
        <v>7</v>
      </c>
      <c r="J591" s="48" t="n">
        <v>44800</v>
      </c>
      <c r="K591" s="47">
        <f t="array" ref="K591">_xlfn.XLOOKUP(1,(참조!$B$2:$B$15=E591)*(참조!$D$2:$D$15=C591)*(참조!$E$2:$E$15=D591),참조!$C$2:$C$15,"")</f>
        <v/>
      </c>
    </row>
    <row r="592" hidden="1" s="27">
      <c r="A592" s="47" t="inlineStr">
        <is>
          <t>이지모바일</t>
        </is>
      </c>
      <c r="B592" s="47" t="inlineStr">
        <is>
          <t>이지 더 오래쓰는 무제한 7G+1</t>
        </is>
      </c>
      <c r="C592" s="47" t="inlineStr">
        <is>
          <t>무제한</t>
        </is>
      </c>
      <c r="D592" s="47" t="inlineStr">
        <is>
          <t>무제한</t>
        </is>
      </c>
      <c r="E592" s="47" t="inlineStr">
        <is>
          <t>월 7GB + 1Mbps</t>
        </is>
      </c>
      <c r="F592" s="47" t="inlineStr">
        <is>
          <t>LG U+</t>
        </is>
      </c>
      <c r="G592" s="47" t="inlineStr">
        <is>
          <t>LTE</t>
        </is>
      </c>
      <c r="H592" s="48" t="n">
        <v>12980</v>
      </c>
      <c r="I592" s="48" t="n">
        <v>24</v>
      </c>
      <c r="J592" s="48" t="n">
        <v>20900</v>
      </c>
      <c r="K592" s="47">
        <f t="array" ref="K592">_xlfn.XLOOKUP(1,(참조!$B$2:$B$15=E592)*(참조!$D$2:$D$15=C592)*(참조!$E$2:$E$15=D592),참조!$C$2:$C$15,"")</f>
        <v/>
      </c>
    </row>
    <row r="593" hidden="1" s="27">
      <c r="A593" s="47" t="inlineStr">
        <is>
          <t>티플러스</t>
        </is>
      </c>
      <c r="B593" s="47" t="inlineStr">
        <is>
          <t>티플 11G＋(웨이브)</t>
        </is>
      </c>
      <c r="C593" s="47" t="inlineStr">
        <is>
          <t>무제한</t>
        </is>
      </c>
      <c r="D593" s="47" t="inlineStr">
        <is>
          <t>무제한</t>
        </is>
      </c>
      <c r="E593" s="47" t="inlineStr">
        <is>
          <t>월 11GB + 매일 2GB + 3Mbps</t>
        </is>
      </c>
      <c r="F593" s="47" t="inlineStr">
        <is>
          <t>KT</t>
        </is>
      </c>
      <c r="G593" s="47" t="inlineStr">
        <is>
          <t>LTE</t>
        </is>
      </c>
      <c r="H593" s="48" t="n">
        <v>13900</v>
      </c>
      <c r="I593" s="48" t="n">
        <v>7</v>
      </c>
      <c r="J593" s="48" t="n">
        <v>50600</v>
      </c>
      <c r="K593" s="47">
        <f t="array" ref="K593">_xlfn.XLOOKUP(1,(참조!$B$2:$B$15=E593)*(참조!$D$2:$D$15=C593)*(참조!$E$2:$E$15=D593),참조!$C$2:$C$15,"")</f>
        <v/>
      </c>
    </row>
    <row r="594" hidden="1" s="27">
      <c r="A594" s="47" t="inlineStr">
        <is>
          <t>티플러스</t>
        </is>
      </c>
      <c r="B594" s="47" t="inlineStr">
        <is>
          <t>완전마음껏 11GB＋＋(배달의민족 매월 5000P)</t>
        </is>
      </c>
      <c r="C594" s="47" t="inlineStr">
        <is>
          <t>무제한</t>
        </is>
      </c>
      <c r="D594" s="47" t="inlineStr">
        <is>
          <t>무제한</t>
        </is>
      </c>
      <c r="E594" s="47" t="inlineStr">
        <is>
          <t>월 11GB + 매일 2GB + 3Mbps</t>
        </is>
      </c>
      <c r="F594" s="47" t="inlineStr">
        <is>
          <t>KT</t>
        </is>
      </c>
      <c r="G594" s="47" t="inlineStr">
        <is>
          <t>LTE</t>
        </is>
      </c>
      <c r="H594" s="48" t="n">
        <v>13900</v>
      </c>
      <c r="I594" s="48" t="n">
        <v>7</v>
      </c>
      <c r="J594" s="48" t="n">
        <v>40900</v>
      </c>
      <c r="K594" s="47">
        <f t="array" ref="K594">_xlfn.XLOOKUP(1,(참조!$B$2:$B$15=E594)*(참조!$D$2:$D$15=C594)*(참조!$E$2:$E$15=D594),참조!$C$2:$C$15,"")</f>
        <v/>
      </c>
    </row>
    <row r="595" hidden="1" s="27">
      <c r="A595" s="47" t="inlineStr">
        <is>
          <t>티플러스</t>
        </is>
      </c>
      <c r="B595" s="47" t="inlineStr">
        <is>
          <t>완전마음껏 11GB＋＋(왓챠 베이직 매월 무료)</t>
        </is>
      </c>
      <c r="C595" s="47" t="inlineStr">
        <is>
          <t>무제한</t>
        </is>
      </c>
      <c r="D595" s="47" t="inlineStr">
        <is>
          <t>무제한</t>
        </is>
      </c>
      <c r="E595" s="47" t="inlineStr">
        <is>
          <t>월 11GB + 매일 2GB + 3Mbps</t>
        </is>
      </c>
      <c r="F595" s="47" t="inlineStr">
        <is>
          <t>KT</t>
        </is>
      </c>
      <c r="G595" s="47" t="inlineStr">
        <is>
          <t>LTE</t>
        </is>
      </c>
      <c r="H595" s="48" t="n">
        <v>13900</v>
      </c>
      <c r="I595" s="48" t="n">
        <v>7</v>
      </c>
      <c r="J595" s="48" t="n">
        <v>44400</v>
      </c>
      <c r="K595" s="47">
        <f t="array" ref="K595">_xlfn.XLOOKUP(1,(참조!$B$2:$B$15=E595)*(참조!$D$2:$D$15=C595)*(참조!$E$2:$E$15=D595),참조!$C$2:$C$15,"")</f>
        <v/>
      </c>
    </row>
    <row r="596" hidden="1" s="27">
      <c r="A596" s="47" t="inlineStr">
        <is>
          <t>티플러스</t>
        </is>
      </c>
      <c r="B596" s="47" t="inlineStr">
        <is>
          <t>통화안심 5GB_평생요금</t>
        </is>
      </c>
      <c r="C596" s="47" t="inlineStr">
        <is>
          <t>무제한</t>
        </is>
      </c>
      <c r="D596" s="47" t="inlineStr">
        <is>
          <t>100건</t>
        </is>
      </c>
      <c r="E596" s="47" t="inlineStr">
        <is>
          <t>월 5GB</t>
        </is>
      </c>
      <c r="F596" s="47" t="inlineStr">
        <is>
          <t>SKT</t>
        </is>
      </c>
      <c r="G596" s="47" t="inlineStr">
        <is>
          <t>LTE</t>
        </is>
      </c>
      <c r="H596" s="48" t="n">
        <v>2500</v>
      </c>
      <c r="I596" s="48" t="n"/>
      <c r="J596" s="48" t="n"/>
      <c r="K596" s="47">
        <f t="array" ref="K596">_xlfn.XLOOKUP(1,(참조!$B$2:$B$15=E596)*(참조!$D$2:$D$15=C596)*(참조!$E$2:$E$15=D596),참조!$C$2:$C$15,"")</f>
        <v/>
      </c>
    </row>
    <row r="597" hidden="1" s="27">
      <c r="A597" s="47" t="inlineStr">
        <is>
          <t>이야기모바일</t>
        </is>
      </c>
      <c r="B597" s="47" t="inlineStr">
        <is>
          <t>이야기 K 데이터 100GB+(밀리의서재)</t>
        </is>
      </c>
      <c r="C597" s="47" t="inlineStr">
        <is>
          <t>무제한</t>
        </is>
      </c>
      <c r="D597" s="47" t="inlineStr">
        <is>
          <t>무제한</t>
        </is>
      </c>
      <c r="E597" s="47" t="inlineStr">
        <is>
          <t>월 100GB + 5Mbps</t>
        </is>
      </c>
      <c r="F597" s="47" t="inlineStr">
        <is>
          <t>KT</t>
        </is>
      </c>
      <c r="G597" s="47" t="inlineStr">
        <is>
          <t>LTE</t>
        </is>
      </c>
      <c r="H597" s="48" t="n">
        <v>29900</v>
      </c>
      <c r="I597" s="48" t="n">
        <v>18</v>
      </c>
      <c r="J597" s="48" t="n">
        <v>49200</v>
      </c>
      <c r="K597" s="47">
        <f t="array" ref="K597">_xlfn.XLOOKUP(1,(참조!$B$2:$B$15=E597)*(참조!$D$2:$D$15=C597)*(참조!$E$2:$E$15=D597),참조!$C$2:$C$15,"")</f>
        <v/>
      </c>
    </row>
    <row r="598" hidden="1" s="27">
      <c r="A598" s="47" t="inlineStr">
        <is>
          <t>KG모바일</t>
        </is>
      </c>
      <c r="B598" s="47" t="inlineStr">
        <is>
          <t>[일반] 데이터 마음대로 (15GB+/100분)_24개월</t>
        </is>
      </c>
      <c r="C598" s="47" t="inlineStr">
        <is>
          <t>100분</t>
        </is>
      </c>
      <c r="D598" s="47" t="inlineStr">
        <is>
          <t>100건</t>
        </is>
      </c>
      <c r="E598" s="47" t="inlineStr">
        <is>
          <t>월 15GB + 3Mbps</t>
        </is>
      </c>
      <c r="F598" s="47" t="inlineStr">
        <is>
          <t>LG U+</t>
        </is>
      </c>
      <c r="G598" s="47" t="inlineStr">
        <is>
          <t>LTE</t>
        </is>
      </c>
      <c r="H598" s="48" t="n">
        <v>19900</v>
      </c>
      <c r="I598" s="48" t="n">
        <v>24</v>
      </c>
      <c r="J598" s="48" t="n">
        <v>33000</v>
      </c>
      <c r="K598" s="47">
        <f t="array" ref="K598">_xlfn.XLOOKUP(1,(참조!$B$2:$B$15=E598)*(참조!$D$2:$D$15=C598)*(참조!$E$2:$E$15=D598),참조!$C$2:$C$15,"")</f>
        <v/>
      </c>
    </row>
    <row r="599" hidden="1" s="27">
      <c r="A599" s="47" t="inlineStr">
        <is>
          <t>더원모바일</t>
        </is>
      </c>
      <c r="B599" s="47" t="inlineStr">
        <is>
          <t>TOP 100GB 기본 (네이버페이)</t>
        </is>
      </c>
      <c r="C599" s="47" t="inlineStr">
        <is>
          <t>무제한</t>
        </is>
      </c>
      <c r="D599" s="47" t="inlineStr">
        <is>
          <t>무제한</t>
        </is>
      </c>
      <c r="E599" s="47" t="inlineStr">
        <is>
          <t>월 100GB + 5Mbps</t>
        </is>
      </c>
      <c r="F599" s="47" t="inlineStr">
        <is>
          <t>KT</t>
        </is>
      </c>
      <c r="G599" s="47" t="inlineStr">
        <is>
          <t>LTE</t>
        </is>
      </c>
      <c r="H599" s="48" t="n">
        <v>15070</v>
      </c>
      <c r="I599" s="48" t="n">
        <v>7</v>
      </c>
      <c r="J599" s="48" t="n">
        <v>46200</v>
      </c>
      <c r="K599" s="47">
        <f t="array" ref="K599">_xlfn.XLOOKUP(1,(참조!$B$2:$B$15=E599)*(참조!$D$2:$D$15=C599)*(참조!$E$2:$E$15=D599),참조!$C$2:$C$15,"")</f>
        <v/>
      </c>
    </row>
    <row r="600" hidden="1" s="27">
      <c r="A600" s="47" t="inlineStr">
        <is>
          <t>이지모바일</t>
        </is>
      </c>
      <c r="B600" s="47" t="inlineStr">
        <is>
          <t>이지 데이터 8GB</t>
        </is>
      </c>
      <c r="C600" s="47" t="inlineStr">
        <is>
          <t>300분</t>
        </is>
      </c>
      <c r="D600" s="47" t="inlineStr">
        <is>
          <t>100건</t>
        </is>
      </c>
      <c r="E600" s="47" t="inlineStr">
        <is>
          <t>월 8GB</t>
        </is>
      </c>
      <c r="F600" s="47" t="inlineStr">
        <is>
          <t>LG U+</t>
        </is>
      </c>
      <c r="G600" s="47" t="inlineStr">
        <is>
          <t>LTE</t>
        </is>
      </c>
      <c r="H600" s="48" t="n">
        <v>10</v>
      </c>
      <c r="I600" s="48" t="n">
        <v>6</v>
      </c>
      <c r="J600" s="48" t="n">
        <v>18700</v>
      </c>
      <c r="K600" s="47">
        <f t="array" ref="K600">_xlfn.XLOOKUP(1,(참조!$B$2:$B$15=E600)*(참조!$D$2:$D$15=C600)*(참조!$E$2:$E$15=D600),참조!$C$2:$C$15,"")</f>
        <v/>
      </c>
    </row>
    <row r="601" hidden="1" s="27">
      <c r="A601" s="47" t="inlineStr">
        <is>
          <t>모나</t>
        </is>
      </c>
      <c r="B601" s="47" t="inlineStr">
        <is>
          <t>5G_모나120분11G</t>
        </is>
      </c>
      <c r="C601" s="47" t="inlineStr">
        <is>
          <t>120분</t>
        </is>
      </c>
      <c r="D601" s="47" t="inlineStr">
        <is>
          <t>100건</t>
        </is>
      </c>
      <c r="E601" s="47" t="inlineStr">
        <is>
          <t>월 11GB</t>
        </is>
      </c>
      <c r="F601" s="47" t="inlineStr">
        <is>
          <t>LG U+</t>
        </is>
      </c>
      <c r="G601" s="47" t="inlineStr">
        <is>
          <t>5G</t>
        </is>
      </c>
      <c r="H601" s="48" t="n">
        <v>1200</v>
      </c>
      <c r="I601" s="48" t="n">
        <v>12</v>
      </c>
      <c r="J601" s="48" t="n">
        <v>28600</v>
      </c>
      <c r="K601" s="47">
        <f t="array" ref="K601">_xlfn.XLOOKUP(1,(참조!$B$2:$B$15=E601)*(참조!$D$2:$D$15=C601)*(참조!$E$2:$E$15=D601),참조!$C$2:$C$15,"")</f>
        <v/>
      </c>
    </row>
    <row r="602" hidden="1" s="27">
      <c r="A602" s="47" t="inlineStr">
        <is>
          <t>티플러스</t>
        </is>
      </c>
      <c r="B602" s="47" t="inlineStr">
        <is>
          <t>티플북 11G+(도서문화상품권 매월 5000P)</t>
        </is>
      </c>
      <c r="C602" s="47" t="inlineStr">
        <is>
          <t>무제한</t>
        </is>
      </c>
      <c r="D602" s="47" t="inlineStr">
        <is>
          <t>무제한</t>
        </is>
      </c>
      <c r="E602" s="47" t="inlineStr">
        <is>
          <t>월 11GB + 매일 2GB + 3Mbps</t>
        </is>
      </c>
      <c r="F602" s="47" t="inlineStr">
        <is>
          <t>SKT</t>
        </is>
      </c>
      <c r="G602" s="47" t="inlineStr">
        <is>
          <t>LTE</t>
        </is>
      </c>
      <c r="H602" s="48" t="n">
        <v>12900</v>
      </c>
      <c r="I602" s="48" t="n">
        <v>7</v>
      </c>
      <c r="J602" s="48" t="n">
        <v>48400</v>
      </c>
      <c r="K602" s="47">
        <f t="array" ref="K602">_xlfn.XLOOKUP(1,(참조!$B$2:$B$15=E602)*(참조!$D$2:$D$15=C602)*(참조!$E$2:$E$15=D602),참조!$C$2:$C$15,"")</f>
        <v/>
      </c>
    </row>
    <row r="603" hidden="1" s="27">
      <c r="A603" s="47" t="inlineStr">
        <is>
          <t>티플러스</t>
        </is>
      </c>
      <c r="B603" s="47" t="inlineStr">
        <is>
          <t>5G 가성비플러스(30GB/350분)</t>
        </is>
      </c>
      <c r="C603" s="47" t="inlineStr">
        <is>
          <t>350분</t>
        </is>
      </c>
      <c r="D603" s="47" t="inlineStr">
        <is>
          <t>100건</t>
        </is>
      </c>
      <c r="E603" s="47" t="inlineStr">
        <is>
          <t>월 30GB</t>
        </is>
      </c>
      <c r="F603" s="47" t="inlineStr">
        <is>
          <t>KT</t>
        </is>
      </c>
      <c r="G603" s="47" t="inlineStr">
        <is>
          <t>5G</t>
        </is>
      </c>
      <c r="H603" s="48" t="n">
        <v>7900</v>
      </c>
      <c r="I603" s="48" t="n">
        <v>7</v>
      </c>
      <c r="J603" s="48" t="n">
        <v>39600</v>
      </c>
      <c r="K603" s="47">
        <f t="array" ref="K603">_xlfn.XLOOKUP(1,(참조!$B$2:$B$15=E603)*(참조!$D$2:$D$15=C603)*(참조!$E$2:$E$15=D603),참조!$C$2:$C$15,"")</f>
        <v/>
      </c>
    </row>
    <row r="604" hidden="1" s="27">
      <c r="A604" s="47" t="inlineStr">
        <is>
          <t>고고모바일</t>
        </is>
      </c>
      <c r="B604" s="47" t="inlineStr">
        <is>
          <t>무제한10GB+1M(밀리의서재 매월 무료)</t>
        </is>
      </c>
      <c r="C604" s="47" t="inlineStr">
        <is>
          <t>무제한</t>
        </is>
      </c>
      <c r="D604" s="47" t="inlineStr">
        <is>
          <t>무제한</t>
        </is>
      </c>
      <c r="E604" s="47" t="inlineStr">
        <is>
          <t>월 10GB + 1Mbps</t>
        </is>
      </c>
      <c r="F604" s="47" t="inlineStr">
        <is>
          <t>KT</t>
        </is>
      </c>
      <c r="G604" s="47" t="inlineStr">
        <is>
          <t>LTE</t>
        </is>
      </c>
      <c r="H604" s="48" t="n">
        <v>21890</v>
      </c>
      <c r="I604" s="48" t="n"/>
      <c r="J604" s="48" t="n"/>
      <c r="K604" s="47">
        <f t="array" ref="K604">_xlfn.XLOOKUP(1,(참조!$B$2:$B$15=E604)*(참조!$D$2:$D$15=C604)*(참조!$E$2:$E$15=D604),참조!$C$2:$C$15,"")</f>
        <v/>
      </c>
    </row>
    <row r="605" hidden="1" s="27">
      <c r="A605" s="47" t="inlineStr">
        <is>
          <t>더원모바일</t>
        </is>
      </c>
      <c r="B605" s="47" t="inlineStr">
        <is>
          <t>TOP 15GB 100분 (올리브영)</t>
        </is>
      </c>
      <c r="C605" s="47" t="inlineStr">
        <is>
          <t>100분</t>
        </is>
      </c>
      <c r="D605" s="47" t="inlineStr">
        <is>
          <t>100건</t>
        </is>
      </c>
      <c r="E605" s="47" t="inlineStr">
        <is>
          <t>월 15GB + 3Mbps</t>
        </is>
      </c>
      <c r="F605" s="47" t="inlineStr">
        <is>
          <t>KT</t>
        </is>
      </c>
      <c r="G605" s="47" t="inlineStr">
        <is>
          <t>LTE</t>
        </is>
      </c>
      <c r="H605" s="48" t="n">
        <v>7700</v>
      </c>
      <c r="I605" s="48" t="n">
        <v>7</v>
      </c>
      <c r="J605" s="48" t="n">
        <v>35200</v>
      </c>
      <c r="K605" s="47">
        <f t="array" ref="K605">_xlfn.XLOOKUP(1,(참조!$B$2:$B$15=E605)*(참조!$D$2:$D$15=C605)*(참조!$E$2:$E$15=D605),참조!$C$2:$C$15,"")</f>
        <v/>
      </c>
    </row>
    <row r="606" hidden="1" s="27">
      <c r="A606" s="47" t="inlineStr">
        <is>
          <t>이야기모바일</t>
        </is>
      </c>
      <c r="B606" s="47" t="inlineStr">
        <is>
          <t>내맘대로S(150+1GB)</t>
        </is>
      </c>
      <c r="C606" s="47" t="inlineStr">
        <is>
          <t>150분</t>
        </is>
      </c>
      <c r="D606" s="47" t="inlineStr">
        <is>
          <t>50건</t>
        </is>
      </c>
      <c r="E606" s="47" t="inlineStr">
        <is>
          <t>월 1GB</t>
        </is>
      </c>
      <c r="F606" s="47" t="inlineStr">
        <is>
          <t>SKT</t>
        </is>
      </c>
      <c r="G606" s="47" t="inlineStr">
        <is>
          <t>LTE</t>
        </is>
      </c>
      <c r="H606" s="48" t="n">
        <v>2500</v>
      </c>
      <c r="I606" s="48" t="n">
        <v>24</v>
      </c>
      <c r="J606" s="48" t="n">
        <v>3500</v>
      </c>
      <c r="K606" s="47">
        <f t="array" ref="K606">_xlfn.XLOOKUP(1,(참조!$B$2:$B$15=E606)*(참조!$D$2:$D$15=C606)*(참조!$E$2:$E$15=D606),참조!$C$2:$C$15,"")</f>
        <v/>
      </c>
    </row>
    <row r="607" hidden="1" s="27">
      <c r="A607" s="47" t="inlineStr">
        <is>
          <t>KT스카이라이프</t>
        </is>
      </c>
      <c r="B607" s="47" t="inlineStr">
        <is>
          <t>모두 충분 15GB+(지니뮤직)</t>
        </is>
      </c>
      <c r="C607" s="47" t="inlineStr">
        <is>
          <t>무제한</t>
        </is>
      </c>
      <c r="D607" s="47" t="inlineStr">
        <is>
          <t>무제한</t>
        </is>
      </c>
      <c r="E607" s="47" t="inlineStr">
        <is>
          <t>월 15GB + 1Mbps</t>
        </is>
      </c>
      <c r="F607" s="47" t="inlineStr">
        <is>
          <t>KT</t>
        </is>
      </c>
      <c r="G607" s="47" t="inlineStr">
        <is>
          <t>LTE</t>
        </is>
      </c>
      <c r="H607" s="48" t="n">
        <v>24200</v>
      </c>
      <c r="I607" s="48" t="n"/>
      <c r="J607" s="48" t="n"/>
      <c r="K607" s="47">
        <f t="array" ref="K607">_xlfn.XLOOKUP(1,(참조!$B$2:$B$15=E607)*(참조!$D$2:$D$15=C607)*(참조!$E$2:$E$15=D607),참조!$C$2:$C$15,"")</f>
        <v/>
      </c>
    </row>
    <row r="608" hidden="1" s="27">
      <c r="A608" s="47" t="inlineStr">
        <is>
          <t>더원모바일</t>
        </is>
      </c>
      <c r="B608" s="47" t="inlineStr">
        <is>
          <t>TOP 100GB 기본 (쿠팡캐시)</t>
        </is>
      </c>
      <c r="C608" s="47" t="inlineStr">
        <is>
          <t>무제한</t>
        </is>
      </c>
      <c r="D608" s="47" t="inlineStr">
        <is>
          <t>무제한</t>
        </is>
      </c>
      <c r="E608" s="47" t="inlineStr">
        <is>
          <t>월 100GB + 5Mbps</t>
        </is>
      </c>
      <c r="F608" s="47" t="inlineStr">
        <is>
          <t>KT</t>
        </is>
      </c>
      <c r="G608" s="47" t="inlineStr">
        <is>
          <t>LTE</t>
        </is>
      </c>
      <c r="H608" s="48" t="n">
        <v>15070</v>
      </c>
      <c r="I608" s="48" t="n">
        <v>7</v>
      </c>
      <c r="J608" s="48" t="n">
        <v>46200</v>
      </c>
      <c r="K608" s="47">
        <f t="array" ref="K608">_xlfn.XLOOKUP(1,(참조!$B$2:$B$15=E608)*(참조!$D$2:$D$15=C608)*(참조!$E$2:$E$15=D608),참조!$C$2:$C$15,"")</f>
        <v/>
      </c>
    </row>
    <row r="609">
      <c r="A609" s="47" t="inlineStr">
        <is>
          <t>이야기모바일</t>
        </is>
      </c>
      <c r="B609" s="47" t="inlineStr">
        <is>
          <t>이야기 라이트 100분6GB+</t>
        </is>
      </c>
      <c r="C609" s="47" t="inlineStr">
        <is>
          <t>100분</t>
        </is>
      </c>
      <c r="D609" s="47" t="inlineStr">
        <is>
          <t>100건</t>
        </is>
      </c>
      <c r="E609" s="47" t="inlineStr">
        <is>
          <t>월 6GB + 1Mbps</t>
        </is>
      </c>
      <c r="F609" s="47" t="inlineStr">
        <is>
          <t>LG U+</t>
        </is>
      </c>
      <c r="G609" s="47" t="inlineStr">
        <is>
          <t>LTE</t>
        </is>
      </c>
      <c r="H609" s="48" t="n">
        <v>10</v>
      </c>
      <c r="I609" s="48" t="n">
        <v>6</v>
      </c>
      <c r="J609" s="48" t="n">
        <v>24200</v>
      </c>
      <c r="K609" s="47">
        <f t="array" ref="K609">_xlfn.XLOOKUP(1,(참조!$B$2:$B$15=E609)*(참조!$D$2:$D$15=C609)*(참조!$E$2:$E$15=D609),참조!$C$2:$C$15,"")</f>
        <v/>
      </c>
    </row>
    <row r="610" hidden="1" s="27">
      <c r="A610" s="47" t="inlineStr">
        <is>
          <t>티플러스</t>
        </is>
      </c>
      <c r="B610" s="47" t="inlineStr">
        <is>
          <t>티플온 11G＋</t>
        </is>
      </c>
      <c r="C610" s="47" t="inlineStr">
        <is>
          <t>무제한</t>
        </is>
      </c>
      <c r="D610" s="47" t="inlineStr">
        <is>
          <t>무제한</t>
        </is>
      </c>
      <c r="E610" s="47" t="inlineStr">
        <is>
          <t>월 11GB + 매일 2GB + 3Mbps</t>
        </is>
      </c>
      <c r="F610" s="47" t="inlineStr">
        <is>
          <t>LG U+</t>
        </is>
      </c>
      <c r="G610" s="47" t="inlineStr">
        <is>
          <t>LTE</t>
        </is>
      </c>
      <c r="H610" s="48" t="n">
        <v>8900</v>
      </c>
      <c r="I610" s="48" t="n">
        <v>7</v>
      </c>
      <c r="J610" s="48" t="n">
        <v>48400</v>
      </c>
      <c r="K610" s="47">
        <f t="array" ref="K610">_xlfn.XLOOKUP(1,(참조!$B$2:$B$15=E610)*(참조!$D$2:$D$15=C610)*(참조!$E$2:$E$15=D610),참조!$C$2:$C$15,"")</f>
        <v/>
      </c>
    </row>
    <row r="611" hidden="1" s="27">
      <c r="A611" s="47" t="inlineStr">
        <is>
          <t>KG모바일</t>
        </is>
      </c>
      <c r="B611" s="47" t="inlineStr">
        <is>
          <t>[모요 전용] 통화, 데이터 마음대로 11GB+</t>
        </is>
      </c>
      <c r="C611" s="47" t="inlineStr">
        <is>
          <t>무제한</t>
        </is>
      </c>
      <c r="D611" s="47" t="inlineStr">
        <is>
          <t>무제한</t>
        </is>
      </c>
      <c r="E611" s="47" t="inlineStr">
        <is>
          <t>월 11GB + 매일 2GB + 3Mbps</t>
        </is>
      </c>
      <c r="F611" s="47" t="inlineStr">
        <is>
          <t>LG U+</t>
        </is>
      </c>
      <c r="G611" s="47" t="inlineStr">
        <is>
          <t>LTE</t>
        </is>
      </c>
      <c r="H611" s="48" t="n">
        <v>15000</v>
      </c>
      <c r="I611" s="48" t="n">
        <v>7</v>
      </c>
      <c r="J611" s="48" t="n">
        <v>34960</v>
      </c>
      <c r="K611" s="47">
        <f t="array" ref="K611">_xlfn.XLOOKUP(1,(참조!$B$2:$B$15=E611)*(참조!$D$2:$D$15=C611)*(참조!$E$2:$E$15=D611),참조!$C$2:$C$15,"")</f>
        <v/>
      </c>
    </row>
    <row r="612" hidden="1" s="27">
      <c r="A612" s="47" t="inlineStr">
        <is>
          <t>KG모바일</t>
        </is>
      </c>
      <c r="B612" s="47" t="inlineStr">
        <is>
          <t>[KG모바일 스페셜] 통화, 데이터 마음대로 Pro</t>
        </is>
      </c>
      <c r="C612" s="47" t="inlineStr">
        <is>
          <t>무제한</t>
        </is>
      </c>
      <c r="D612" s="47" t="inlineStr">
        <is>
          <t>무제한</t>
        </is>
      </c>
      <c r="E612" s="47" t="inlineStr">
        <is>
          <t>매일 5GB + 5Mbps</t>
        </is>
      </c>
      <c r="F612" s="47" t="inlineStr">
        <is>
          <t>LG U+</t>
        </is>
      </c>
      <c r="G612" s="47" t="inlineStr">
        <is>
          <t>LTE</t>
        </is>
      </c>
      <c r="H612" s="48" t="n">
        <v>9900</v>
      </c>
      <c r="I612" s="48" t="n">
        <v>7</v>
      </c>
      <c r="J612" s="48" t="n">
        <v>47300</v>
      </c>
      <c r="K612" s="47">
        <f t="array" ref="K612">_xlfn.XLOOKUP(1,(참조!$B$2:$B$15=E612)*(참조!$D$2:$D$15=C612)*(참조!$E$2:$E$15=D612),참조!$C$2:$C$15,"")</f>
        <v/>
      </c>
    </row>
    <row r="613" hidden="1" s="27">
      <c r="A613" s="47" t="inlineStr">
        <is>
          <t>위너스텔</t>
        </is>
      </c>
      <c r="B613" s="47" t="inlineStr">
        <is>
          <t>공유 120분</t>
        </is>
      </c>
      <c r="C613" s="47" t="inlineStr">
        <is>
          <t>120분</t>
        </is>
      </c>
      <c r="D613" s="47" t="inlineStr">
        <is>
          <t>120건</t>
        </is>
      </c>
      <c r="E613" s="47" t="inlineStr">
        <is>
          <t>데이터 제공안함</t>
        </is>
      </c>
      <c r="F613" s="47" t="inlineStr">
        <is>
          <t>KT</t>
        </is>
      </c>
      <c r="G613" s="47" t="inlineStr">
        <is>
          <t>LTE</t>
        </is>
      </c>
      <c r="H613" s="48" t="n">
        <v>3300</v>
      </c>
      <c r="I613" s="48" t="n"/>
      <c r="J613" s="48" t="n"/>
      <c r="K613" s="47">
        <f t="array" ref="K613">_xlfn.XLOOKUP(1,(참조!$B$2:$B$15=E613)*(참조!$D$2:$D$15=C613)*(참조!$E$2:$E$15=D613),참조!$C$2:$C$15,"")</f>
        <v/>
      </c>
    </row>
    <row r="614" hidden="1" s="27">
      <c r="A614" s="47" t="inlineStr">
        <is>
          <t>KG모바일</t>
        </is>
      </c>
      <c r="B614" s="47" t="inlineStr">
        <is>
          <t>[일반] 데이터 마음대로 (6GB+/200분)_12개월</t>
        </is>
      </c>
      <c r="C614" s="47" t="inlineStr">
        <is>
          <t>200분</t>
        </is>
      </c>
      <c r="D614" s="47" t="inlineStr">
        <is>
          <t>100건</t>
        </is>
      </c>
      <c r="E614" s="47" t="inlineStr">
        <is>
          <t>월 6GB + 1Mbps</t>
        </is>
      </c>
      <c r="F614" s="47" t="inlineStr">
        <is>
          <t>LG U+</t>
        </is>
      </c>
      <c r="G614" s="47" t="inlineStr">
        <is>
          <t>LTE</t>
        </is>
      </c>
      <c r="H614" s="48" t="n">
        <v>2000</v>
      </c>
      <c r="I614" s="48" t="n">
        <v>12</v>
      </c>
      <c r="J614" s="48" t="n">
        <v>18900</v>
      </c>
      <c r="K614" s="47">
        <f t="array" ref="K614">_xlfn.XLOOKUP(1,(참조!$B$2:$B$15=E614)*(참조!$D$2:$D$15=C614)*(참조!$E$2:$E$15=D614),참조!$C$2:$C$15,"")</f>
        <v/>
      </c>
    </row>
    <row r="615" hidden="1" s="27">
      <c r="A615" s="47" t="inlineStr">
        <is>
          <t>KG모바일</t>
        </is>
      </c>
      <c r="B615" s="47" t="inlineStr">
        <is>
          <t>[일반] 통화, 데이터 마음대로 11GB+</t>
        </is>
      </c>
      <c r="C615" s="47" t="inlineStr">
        <is>
          <t>무제한</t>
        </is>
      </c>
      <c r="D615" s="47" t="inlineStr">
        <is>
          <t>무제한</t>
        </is>
      </c>
      <c r="E615" s="47" t="inlineStr">
        <is>
          <t>월 11GB + 매일 2GB + 3Mbps</t>
        </is>
      </c>
      <c r="F615" s="47" t="inlineStr">
        <is>
          <t>LG U+</t>
        </is>
      </c>
      <c r="G615" s="47" t="inlineStr">
        <is>
          <t>LTE</t>
        </is>
      </c>
      <c r="H615" s="48" t="n">
        <v>28600</v>
      </c>
      <c r="I615" s="48" t="n">
        <v>12</v>
      </c>
      <c r="J615" s="48" t="n">
        <v>41800</v>
      </c>
      <c r="K615" s="47">
        <f t="array" ref="K615">_xlfn.XLOOKUP(1,(참조!$B$2:$B$15=E615)*(참조!$D$2:$D$15=C615)*(참조!$E$2:$E$15=D615),참조!$C$2:$C$15,"")</f>
        <v/>
      </c>
    </row>
    <row r="616" hidden="1" s="27">
      <c r="A616" s="47" t="inlineStr">
        <is>
          <t>KT스카이라이프</t>
        </is>
      </c>
      <c r="B616" s="47" t="inlineStr">
        <is>
          <t>5G 통화 충분 20GB</t>
        </is>
      </c>
      <c r="C616" s="47" t="inlineStr">
        <is>
          <t>무제한</t>
        </is>
      </c>
      <c r="D616" s="47" t="inlineStr">
        <is>
          <t>무제한</t>
        </is>
      </c>
      <c r="E616" s="47" t="inlineStr">
        <is>
          <t>월 20GB</t>
        </is>
      </c>
      <c r="F616" s="47" t="inlineStr">
        <is>
          <t>KT</t>
        </is>
      </c>
      <c r="G616" s="47" t="inlineStr">
        <is>
          <t>5G</t>
        </is>
      </c>
      <c r="H616" s="48" t="n">
        <v>25900</v>
      </c>
      <c r="I616" s="48" t="n"/>
      <c r="J616" s="48" t="n"/>
      <c r="K616" s="47">
        <f t="array" ref="K616">_xlfn.XLOOKUP(1,(참조!$B$2:$B$15=E616)*(참조!$D$2:$D$15=C616)*(참조!$E$2:$E$15=D616),참조!$C$2:$C$15,"")</f>
        <v/>
      </c>
    </row>
    <row r="617" hidden="1" s="27">
      <c r="A617" s="47" t="inlineStr">
        <is>
          <t>고고모바일</t>
        </is>
      </c>
      <c r="B617" s="47" t="inlineStr">
        <is>
          <t>LTE 200분/20GB_모요</t>
        </is>
      </c>
      <c r="C617" s="47" t="inlineStr">
        <is>
          <t>200분</t>
        </is>
      </c>
      <c r="D617" s="47" t="inlineStr">
        <is>
          <t>100건</t>
        </is>
      </c>
      <c r="E617" s="47" t="inlineStr">
        <is>
          <t>월 20GB</t>
        </is>
      </c>
      <c r="F617" s="47" t="inlineStr">
        <is>
          <t>SKT</t>
        </is>
      </c>
      <c r="G617" s="47" t="inlineStr">
        <is>
          <t>LTE</t>
        </is>
      </c>
      <c r="H617" s="48" t="n">
        <v>3850</v>
      </c>
      <c r="I617" s="48" t="n">
        <v>7</v>
      </c>
      <c r="J617" s="48" t="n">
        <v>25190</v>
      </c>
      <c r="K617" s="47">
        <f t="array" ref="K617">_xlfn.XLOOKUP(1,(참조!$B$2:$B$15=E617)*(참조!$D$2:$D$15=C617)*(참조!$E$2:$E$15=D617),참조!$C$2:$C$15,"")</f>
        <v/>
      </c>
    </row>
    <row r="618" hidden="1" s="27">
      <c r="A618" s="47" t="inlineStr">
        <is>
          <t>핀다이렉트</t>
        </is>
      </c>
      <c r="B618" s="47" t="inlineStr">
        <is>
          <t>[모요only] [K] 핀다이렉트Z 100GB+(네이버페이) _PIN</t>
        </is>
      </c>
      <c r="C618" s="47" t="inlineStr">
        <is>
          <t>무제한</t>
        </is>
      </c>
      <c r="D618" s="47" t="inlineStr">
        <is>
          <t>무제한</t>
        </is>
      </c>
      <c r="E618" s="47" t="inlineStr">
        <is>
          <t>월 100GB + 5Mbps</t>
        </is>
      </c>
      <c r="F618" s="47" t="inlineStr">
        <is>
          <t>KT</t>
        </is>
      </c>
      <c r="G618" s="47" t="inlineStr">
        <is>
          <t>LTE</t>
        </is>
      </c>
      <c r="H618" s="48" t="n">
        <v>16300</v>
      </c>
      <c r="I618" s="48" t="n">
        <v>7</v>
      </c>
      <c r="J618" s="48" t="n">
        <v>47000</v>
      </c>
      <c r="K618" s="47">
        <f t="array" ref="K618">_xlfn.XLOOKUP(1,(참조!$B$2:$B$15=E618)*(참조!$D$2:$D$15=C618)*(참조!$E$2:$E$15=D618),참조!$C$2:$C$15,"")</f>
        <v/>
      </c>
    </row>
    <row r="619" hidden="1" s="27">
      <c r="A619" s="47" t="inlineStr">
        <is>
          <t>KT엠모바일</t>
        </is>
      </c>
      <c r="B619" s="47" t="inlineStr">
        <is>
          <t>모두다 맘껏 100GB+(밀리의 서재 FREE)</t>
        </is>
      </c>
      <c r="C619" s="47" t="inlineStr">
        <is>
          <t>무제한</t>
        </is>
      </c>
      <c r="D619" s="47" t="inlineStr">
        <is>
          <t>무제한</t>
        </is>
      </c>
      <c r="E619" s="47" t="inlineStr">
        <is>
          <t>월 100GB + 5Mbps</t>
        </is>
      </c>
      <c r="F619" s="47" t="inlineStr">
        <is>
          <t>KT</t>
        </is>
      </c>
      <c r="G619" s="47" t="inlineStr">
        <is>
          <t>LTE</t>
        </is>
      </c>
      <c r="H619" s="48" t="n">
        <v>38300</v>
      </c>
      <c r="I619" s="48" t="n"/>
      <c r="J619" s="48" t="n"/>
      <c r="K619" s="47">
        <f t="array" ref="K619">_xlfn.XLOOKUP(1,(참조!$B$2:$B$15=E619)*(참조!$D$2:$D$15=C619)*(참조!$E$2:$E$15=D619),참조!$C$2:$C$15,"")</f>
        <v/>
      </c>
    </row>
    <row r="620" hidden="1" s="27">
      <c r="A620" s="47" t="inlineStr">
        <is>
          <t>슈가모바일</t>
        </is>
      </c>
      <c r="B620" s="47" t="inlineStr">
        <is>
          <t>Sugar 10GB+1Mbps(R)</t>
        </is>
      </c>
      <c r="C620" s="47" t="inlineStr">
        <is>
          <t>1,000분</t>
        </is>
      </c>
      <c r="D620" s="47" t="inlineStr">
        <is>
          <t>200건</t>
        </is>
      </c>
      <c r="E620" s="47" t="inlineStr">
        <is>
          <t>월 10GB + 1Mbps</t>
        </is>
      </c>
      <c r="F620" s="47" t="inlineStr">
        <is>
          <t>LG U+</t>
        </is>
      </c>
      <c r="G620" s="47" t="inlineStr">
        <is>
          <t>LTE</t>
        </is>
      </c>
      <c r="H620" s="48" t="n">
        <v>8800</v>
      </c>
      <c r="I620" s="48" t="n"/>
      <c r="J620" s="48" t="n"/>
      <c r="K620" s="47">
        <f t="array" ref="K620">_xlfn.XLOOKUP(1,(참조!$B$2:$B$15=E620)*(참조!$D$2:$D$15=C620)*(참조!$E$2:$E$15=D620),참조!$C$2:$C$15,"")</f>
        <v/>
      </c>
    </row>
    <row r="621" hidden="1" s="27">
      <c r="A621" s="47" t="inlineStr">
        <is>
          <t>이야기모바일</t>
        </is>
      </c>
      <c r="B621" s="47" t="inlineStr">
        <is>
          <t>함께이야기해S(100분+20GB)</t>
        </is>
      </c>
      <c r="C621" s="47" t="inlineStr">
        <is>
          <t>100분</t>
        </is>
      </c>
      <c r="D621" s="47" t="inlineStr">
        <is>
          <t>200건</t>
        </is>
      </c>
      <c r="E621" s="47" t="inlineStr">
        <is>
          <t>월 20GB</t>
        </is>
      </c>
      <c r="F621" s="47" t="inlineStr">
        <is>
          <t>SKT</t>
        </is>
      </c>
      <c r="G621" s="47" t="inlineStr">
        <is>
          <t>LTE</t>
        </is>
      </c>
      <c r="H621" s="48" t="n">
        <v>15400</v>
      </c>
      <c r="I621" s="48" t="n">
        <v>12</v>
      </c>
      <c r="J621" s="48" t="n">
        <v>23100</v>
      </c>
      <c r="K621" s="47">
        <f t="array" ref="K621">_xlfn.XLOOKUP(1,(참조!$B$2:$B$15=E621)*(참조!$D$2:$D$15=C621)*(참조!$E$2:$E$15=D621),참조!$C$2:$C$15,"")</f>
        <v/>
      </c>
    </row>
    <row r="622" hidden="1" s="27">
      <c r="A622" s="47" t="inlineStr">
        <is>
          <t>슈가모바일</t>
        </is>
      </c>
      <c r="B622" s="47" t="inlineStr">
        <is>
          <t>슈가X윌라 100GB+</t>
        </is>
      </c>
      <c r="C622" s="47" t="inlineStr">
        <is>
          <t>무제한</t>
        </is>
      </c>
      <c r="D622" s="47" t="inlineStr">
        <is>
          <t>무제한</t>
        </is>
      </c>
      <c r="E622" s="47" t="inlineStr">
        <is>
          <t>월 100GB + 5Mbps</t>
        </is>
      </c>
      <c r="F622" s="47" t="inlineStr">
        <is>
          <t>LG U+</t>
        </is>
      </c>
      <c r="G622" s="47" t="inlineStr">
        <is>
          <t>LTE</t>
        </is>
      </c>
      <c r="H622" s="48" t="n">
        <v>30900</v>
      </c>
      <c r="I622" s="48" t="n">
        <v>24</v>
      </c>
      <c r="J622" s="48" t="n">
        <v>50000</v>
      </c>
      <c r="K622" s="47">
        <f t="array" ref="K622">_xlfn.XLOOKUP(1,(참조!$B$2:$B$15=E622)*(참조!$D$2:$D$15=C622)*(참조!$E$2:$E$15=D622),참조!$C$2:$C$15,"")</f>
        <v/>
      </c>
    </row>
    <row r="623" hidden="1" s="27">
      <c r="A623" s="47" t="inlineStr">
        <is>
          <t>U+유모바일</t>
        </is>
      </c>
      <c r="B623" s="47" t="inlineStr">
        <is>
          <t>[평생할인] 5G 125GB+/통화기본</t>
        </is>
      </c>
      <c r="C623" s="47" t="inlineStr">
        <is>
          <t>무제한</t>
        </is>
      </c>
      <c r="D623" s="47" t="inlineStr">
        <is>
          <t>무제한</t>
        </is>
      </c>
      <c r="E623" s="47" t="inlineStr">
        <is>
          <t>월 125GB + 5Mbps</t>
        </is>
      </c>
      <c r="F623" s="47" t="inlineStr">
        <is>
          <t>LG U+</t>
        </is>
      </c>
      <c r="G623" s="47" t="inlineStr">
        <is>
          <t>5G</t>
        </is>
      </c>
      <c r="H623" s="48" t="n">
        <v>42100</v>
      </c>
      <c r="I623" s="48" t="n"/>
      <c r="J623" s="48" t="n"/>
      <c r="K623" s="47">
        <f t="array" ref="K623">_xlfn.XLOOKUP(1,(참조!$B$2:$B$15=E623)*(참조!$D$2:$D$15=C623)*(참조!$E$2:$E$15=D623),참조!$C$2:$C$15,"")</f>
        <v/>
      </c>
    </row>
    <row r="624" hidden="1" s="27">
      <c r="A624" s="47" t="inlineStr">
        <is>
          <t>U+유모바일</t>
        </is>
      </c>
      <c r="B624" s="47" t="inlineStr">
        <is>
          <t>[평생할인] 5GB+/200분</t>
        </is>
      </c>
      <c r="C624" s="47" t="inlineStr">
        <is>
          <t>200분</t>
        </is>
      </c>
      <c r="D624" s="47" t="inlineStr">
        <is>
          <t>100건</t>
        </is>
      </c>
      <c r="E624" s="47" t="inlineStr">
        <is>
          <t>월 5GB + 1Mbps</t>
        </is>
      </c>
      <c r="F624" s="47" t="inlineStr">
        <is>
          <t>LG U+</t>
        </is>
      </c>
      <c r="G624" s="47" t="inlineStr">
        <is>
          <t>LTE</t>
        </is>
      </c>
      <c r="H624" s="48" t="n">
        <v>12500</v>
      </c>
      <c r="I624" s="48" t="n"/>
      <c r="J624" s="48" t="n"/>
      <c r="K624" s="47">
        <f t="array" ref="K624">_xlfn.XLOOKUP(1,(참조!$B$2:$B$15=E624)*(참조!$D$2:$D$15=C624)*(참조!$E$2:$E$15=D624),참조!$C$2:$C$15,"")</f>
        <v/>
      </c>
    </row>
    <row r="625" hidden="1" s="27">
      <c r="A625" s="47" t="inlineStr">
        <is>
          <t>KT스카이라이프</t>
        </is>
      </c>
      <c r="B625" s="47" t="inlineStr">
        <is>
          <t>모두 충분 11GB+(다이소_5000)</t>
        </is>
      </c>
      <c r="C625" s="47" t="inlineStr">
        <is>
          <t>무제한</t>
        </is>
      </c>
      <c r="D625" s="47" t="inlineStr">
        <is>
          <t>무제한</t>
        </is>
      </c>
      <c r="E625" s="47" t="inlineStr">
        <is>
          <t>월 11GB + 매일 2GB + 3Mbps</t>
        </is>
      </c>
      <c r="F625" s="47" t="inlineStr">
        <is>
          <t>KT</t>
        </is>
      </c>
      <c r="G625" s="47" t="inlineStr">
        <is>
          <t>LTE</t>
        </is>
      </c>
      <c r="H625" s="48" t="n">
        <v>36600</v>
      </c>
      <c r="I625" s="48" t="n"/>
      <c r="J625" s="48" t="n"/>
      <c r="K625" s="47">
        <f t="array" ref="K625">_xlfn.XLOOKUP(1,(참조!$B$2:$B$15=E625)*(참조!$D$2:$D$15=C625)*(참조!$E$2:$E$15=D625),참조!$C$2:$C$15,"")</f>
        <v/>
      </c>
    </row>
    <row r="626" hidden="1" s="27">
      <c r="A626" s="47" t="inlineStr">
        <is>
          <t>U+유모바일</t>
        </is>
      </c>
      <c r="B626" s="47" t="inlineStr">
        <is>
          <t>교보문고 북 플러스알파 10GB+</t>
        </is>
      </c>
      <c r="C626" s="47" t="inlineStr">
        <is>
          <t>무제한</t>
        </is>
      </c>
      <c r="D626" s="47" t="inlineStr">
        <is>
          <t>무제한</t>
        </is>
      </c>
      <c r="E626" s="47" t="inlineStr">
        <is>
          <t>월 10GB + 1Mbps</t>
        </is>
      </c>
      <c r="F626" s="47" t="inlineStr">
        <is>
          <t>LG U+</t>
        </is>
      </c>
      <c r="G626" s="47" t="inlineStr">
        <is>
          <t>LTE</t>
        </is>
      </c>
      <c r="H626" s="48" t="n">
        <v>20400</v>
      </c>
      <c r="I626" s="48" t="n"/>
      <c r="J626" s="48" t="n"/>
      <c r="K626" s="47">
        <f t="array" ref="K626">_xlfn.XLOOKUP(1,(참조!$B$2:$B$15=E626)*(참조!$D$2:$D$15=C626)*(참조!$E$2:$E$15=D626),참조!$C$2:$C$15,"")</f>
        <v/>
      </c>
    </row>
    <row r="627" hidden="1" s="27">
      <c r="A627" s="47" t="inlineStr">
        <is>
          <t>KT스카이라이프</t>
        </is>
      </c>
      <c r="B627" s="47" t="inlineStr">
        <is>
          <t>모두 충분 11.0GB+(기프티쇼)</t>
        </is>
      </c>
      <c r="C627" s="47" t="inlineStr">
        <is>
          <t>무제한</t>
        </is>
      </c>
      <c r="D627" s="47" t="inlineStr">
        <is>
          <t>무제한</t>
        </is>
      </c>
      <c r="E627" s="47" t="inlineStr">
        <is>
          <t>월 11GB + 매일 2GB + 3Mbps</t>
        </is>
      </c>
      <c r="F627" s="47" t="inlineStr">
        <is>
          <t>KT</t>
        </is>
      </c>
      <c r="G627" s="47" t="inlineStr">
        <is>
          <t>LTE</t>
        </is>
      </c>
      <c r="H627" s="48" t="n">
        <v>36600</v>
      </c>
      <c r="I627" s="48" t="n"/>
      <c r="J627" s="48" t="n"/>
      <c r="K627" s="47">
        <f t="array" ref="K627">_xlfn.XLOOKUP(1,(참조!$B$2:$B$15=E627)*(참조!$D$2:$D$15=C627)*(참조!$E$2:$E$15=D627),참조!$C$2:$C$15,"")</f>
        <v/>
      </c>
    </row>
    <row r="628" hidden="1" s="27">
      <c r="A628" s="47" t="inlineStr">
        <is>
          <t>KT스카이라이프</t>
        </is>
      </c>
      <c r="B628" s="47" t="inlineStr">
        <is>
          <t>통화 충분 4.5GB</t>
        </is>
      </c>
      <c r="C628" s="47" t="inlineStr">
        <is>
          <t>무제한</t>
        </is>
      </c>
      <c r="D628" s="47" t="inlineStr">
        <is>
          <t>무제한</t>
        </is>
      </c>
      <c r="E628" s="47" t="inlineStr">
        <is>
          <t>월 4.5GB</t>
        </is>
      </c>
      <c r="F628" s="47" t="inlineStr">
        <is>
          <t>KT</t>
        </is>
      </c>
      <c r="G628" s="47" t="inlineStr">
        <is>
          <t>LTE</t>
        </is>
      </c>
      <c r="H628" s="48" t="n">
        <v>8850</v>
      </c>
      <c r="I628" s="48" t="n"/>
      <c r="J628" s="48" t="n"/>
      <c r="K628" s="47">
        <f t="array" ref="K628">_xlfn.XLOOKUP(1,(참조!$B$2:$B$15=E628)*(참조!$D$2:$D$15=C628)*(참조!$E$2:$E$15=D628),참조!$C$2:$C$15,"")</f>
        <v/>
      </c>
    </row>
    <row r="629" hidden="1" s="27">
      <c r="A629" s="47" t="inlineStr">
        <is>
          <t>고고모바일</t>
        </is>
      </c>
      <c r="B629" s="47" t="inlineStr">
        <is>
          <t>5G무제한 110GB+5M(밀리의서재 매월 무료)</t>
        </is>
      </c>
      <c r="C629" s="47" t="inlineStr">
        <is>
          <t>무제한</t>
        </is>
      </c>
      <c r="D629" s="47" t="inlineStr">
        <is>
          <t>무제한</t>
        </is>
      </c>
      <c r="E629" s="47" t="inlineStr">
        <is>
          <t>월 110GB + 5Mbps</t>
        </is>
      </c>
      <c r="F629" s="47" t="inlineStr">
        <is>
          <t>KT</t>
        </is>
      </c>
      <c r="G629" s="47" t="inlineStr">
        <is>
          <t>5G</t>
        </is>
      </c>
      <c r="H629" s="48" t="n">
        <v>48730</v>
      </c>
      <c r="I629" s="48" t="n"/>
      <c r="J629" s="48" t="n"/>
      <c r="K629" s="47">
        <f t="array" ref="K629">_xlfn.XLOOKUP(1,(참조!$B$2:$B$15=E629)*(참조!$D$2:$D$15=C629)*(참조!$E$2:$E$15=D629),참조!$C$2:$C$15,"")</f>
        <v/>
      </c>
    </row>
    <row r="630" hidden="1" s="27">
      <c r="A630" s="47" t="inlineStr">
        <is>
          <t>이야기모바일</t>
        </is>
      </c>
      <c r="B630" s="47" t="inlineStr">
        <is>
          <t>이야기S 라이프케어 71GB+</t>
        </is>
      </c>
      <c r="C630" s="47" t="inlineStr">
        <is>
          <t>무제한</t>
        </is>
      </c>
      <c r="D630" s="47" t="inlineStr">
        <is>
          <t>무제한</t>
        </is>
      </c>
      <c r="E630" s="47" t="inlineStr">
        <is>
          <t>월 11GB + 매일 2GB + 3Mbps</t>
        </is>
      </c>
      <c r="F630" s="47" t="inlineStr">
        <is>
          <t>SKT</t>
        </is>
      </c>
      <c r="G630" s="47" t="inlineStr">
        <is>
          <t>LTE</t>
        </is>
      </c>
      <c r="H630" s="48" t="n">
        <v>14500</v>
      </c>
      <c r="I630" s="48" t="n">
        <v>7</v>
      </c>
      <c r="J630" s="48" t="n">
        <v>39600</v>
      </c>
      <c r="K630" s="47">
        <f t="array" ref="K630">_xlfn.XLOOKUP(1,(참조!$B$2:$B$15=E630)*(참조!$D$2:$D$15=C630)*(참조!$E$2:$E$15=D630),참조!$C$2:$C$15,"")</f>
        <v/>
      </c>
    </row>
    <row r="631" hidden="1" s="27">
      <c r="A631" s="47" t="inlineStr">
        <is>
          <t>KT스카이라이프</t>
        </is>
      </c>
      <c r="B631" s="47" t="inlineStr">
        <is>
          <t>모두 충분 15GB+(올리브영_5000)</t>
        </is>
      </c>
      <c r="C631" s="47" t="inlineStr">
        <is>
          <t>무제한</t>
        </is>
      </c>
      <c r="D631" s="47" t="inlineStr">
        <is>
          <t>무제한</t>
        </is>
      </c>
      <c r="E631" s="47" t="inlineStr">
        <is>
          <t>월 15GB + 1Mbps</t>
        </is>
      </c>
      <c r="F631" s="47" t="inlineStr">
        <is>
          <t>KT</t>
        </is>
      </c>
      <c r="G631" s="47" t="inlineStr">
        <is>
          <t>LTE</t>
        </is>
      </c>
      <c r="H631" s="48" t="n">
        <v>23700</v>
      </c>
      <c r="I631" s="48" t="n"/>
      <c r="J631" s="48" t="n"/>
      <c r="K631" s="47">
        <f t="array" ref="K631">_xlfn.XLOOKUP(1,(참조!$B$2:$B$15=E631)*(참조!$D$2:$D$15=C631)*(참조!$E$2:$E$15=D631),참조!$C$2:$C$15,"")</f>
        <v/>
      </c>
    </row>
    <row r="632" hidden="1" s="27">
      <c r="A632" s="47" t="inlineStr">
        <is>
          <t>U+유모바일</t>
        </is>
      </c>
      <c r="B632" s="47" t="inlineStr">
        <is>
          <t>[올리브영 12만원] 6GB/통화기본</t>
        </is>
      </c>
      <c r="C632" s="47" t="inlineStr">
        <is>
          <t>무제한</t>
        </is>
      </c>
      <c r="D632" s="47" t="inlineStr">
        <is>
          <t>무제한</t>
        </is>
      </c>
      <c r="E632" s="47" t="inlineStr">
        <is>
          <t>월 6GB</t>
        </is>
      </c>
      <c r="F632" s="47" t="inlineStr">
        <is>
          <t>LG U+</t>
        </is>
      </c>
      <c r="G632" s="47" t="inlineStr">
        <is>
          <t>LTE</t>
        </is>
      </c>
      <c r="H632" s="48" t="n">
        <v>10500</v>
      </c>
      <c r="I632" s="48" t="n"/>
      <c r="J632" s="48" t="n"/>
      <c r="K632" s="47">
        <f t="array" ref="K632">_xlfn.XLOOKUP(1,(참조!$B$2:$B$15=E632)*(참조!$D$2:$D$15=C632)*(참조!$E$2:$E$15=D632),참조!$C$2:$C$15,"")</f>
        <v/>
      </c>
    </row>
    <row r="633" hidden="1" s="27">
      <c r="A633" s="47" t="inlineStr">
        <is>
          <t>KT스카이라이프</t>
        </is>
      </c>
      <c r="B633" s="47" t="inlineStr">
        <is>
          <t>모두 충분 11GB+(Pay_5000)</t>
        </is>
      </c>
      <c r="C633" s="47" t="inlineStr">
        <is>
          <t>무제한</t>
        </is>
      </c>
      <c r="D633" s="47" t="inlineStr">
        <is>
          <t>무제한</t>
        </is>
      </c>
      <c r="E633" s="47" t="inlineStr">
        <is>
          <t>월 11GB + 매일 2GB + 3Mbps</t>
        </is>
      </c>
      <c r="F633" s="47" t="inlineStr">
        <is>
          <t>KT</t>
        </is>
      </c>
      <c r="G633" s="47" t="inlineStr">
        <is>
          <t>LTE</t>
        </is>
      </c>
      <c r="H633" s="48" t="n">
        <v>36600</v>
      </c>
      <c r="I633" s="48" t="n"/>
      <c r="J633" s="48" t="n"/>
      <c r="K633" s="47">
        <f t="array" ref="K633">_xlfn.XLOOKUP(1,(참조!$B$2:$B$15=E633)*(참조!$D$2:$D$15=C633)*(참조!$E$2:$E$15=D633),참조!$C$2:$C$15,"")</f>
        <v/>
      </c>
    </row>
    <row r="634">
      <c r="A634" s="47" t="inlineStr">
        <is>
          <t>KT스카이라이프</t>
        </is>
      </c>
      <c r="B634" s="47" t="inlineStr">
        <is>
          <t>모두 충분 7GB+(Pay_3000)</t>
        </is>
      </c>
      <c r="C634" s="47" t="inlineStr">
        <is>
          <t>무제한</t>
        </is>
      </c>
      <c r="D634" s="47" t="inlineStr">
        <is>
          <t>무제한</t>
        </is>
      </c>
      <c r="E634" s="47" t="inlineStr">
        <is>
          <t>월 7GB + 1Mbps</t>
        </is>
      </c>
      <c r="F634" s="47" t="inlineStr">
        <is>
          <t>KT</t>
        </is>
      </c>
      <c r="G634" s="47" t="inlineStr">
        <is>
          <t>LTE</t>
        </is>
      </c>
      <c r="H634" s="48" t="n">
        <v>18100</v>
      </c>
      <c r="I634" s="48" t="n"/>
      <c r="J634" s="48" t="n"/>
      <c r="K634" s="47">
        <f t="array" ref="K634">_xlfn.XLOOKUP(1,(참조!$B$2:$B$15=E634)*(참조!$D$2:$D$15=C634)*(참조!$E$2:$E$15=D634),참조!$C$2:$C$15,"")</f>
        <v/>
      </c>
    </row>
    <row r="635" hidden="1" s="27">
      <c r="A635" s="47" t="inlineStr">
        <is>
          <t>KT스카이라이프</t>
        </is>
      </c>
      <c r="B635" s="47" t="inlineStr">
        <is>
          <t>모두 충분 11GB+(배달의 민족)</t>
        </is>
      </c>
      <c r="C635" s="47" t="inlineStr">
        <is>
          <t>무제한</t>
        </is>
      </c>
      <c r="D635" s="47" t="inlineStr">
        <is>
          <t>무제한</t>
        </is>
      </c>
      <c r="E635" s="47" t="inlineStr">
        <is>
          <t>월 11GB + 매일 2GB + 3Mbps</t>
        </is>
      </c>
      <c r="F635" s="47" t="inlineStr">
        <is>
          <t>KT</t>
        </is>
      </c>
      <c r="G635" s="47" t="inlineStr">
        <is>
          <t>LTE</t>
        </is>
      </c>
      <c r="H635" s="48" t="n">
        <v>36600</v>
      </c>
      <c r="I635" s="48" t="n"/>
      <c r="J635" s="48" t="n"/>
      <c r="K635" s="47">
        <f t="array" ref="K635">_xlfn.XLOOKUP(1,(참조!$B$2:$B$15=E635)*(참조!$D$2:$D$15=C635)*(참조!$E$2:$E$15=D635),참조!$C$2:$C$15,"")</f>
        <v/>
      </c>
    </row>
    <row r="636" hidden="1" s="27">
      <c r="A636" s="47" t="inlineStr">
        <is>
          <t>더원모바일</t>
        </is>
      </c>
      <c r="B636" s="47" t="inlineStr">
        <is>
          <t>TOP 11GB 기본 (쿠팡캐시)</t>
        </is>
      </c>
      <c r="C636" s="47" t="inlineStr">
        <is>
          <t>무제한</t>
        </is>
      </c>
      <c r="D636" s="47" t="inlineStr">
        <is>
          <t>무제한</t>
        </is>
      </c>
      <c r="E636" s="47" t="inlineStr">
        <is>
          <t>월 11GB + 매일 2GB + 3Mbps</t>
        </is>
      </c>
      <c r="F636" s="47" t="inlineStr">
        <is>
          <t>KT</t>
        </is>
      </c>
      <c r="G636" s="47" t="inlineStr">
        <is>
          <t>LTE</t>
        </is>
      </c>
      <c r="H636" s="48" t="n">
        <v>9900</v>
      </c>
      <c r="I636" s="48" t="n">
        <v>7</v>
      </c>
      <c r="J636" s="48" t="n">
        <v>40700</v>
      </c>
      <c r="K636" s="47">
        <f t="array" ref="K636">_xlfn.XLOOKUP(1,(참조!$B$2:$B$15=E636)*(참조!$D$2:$D$15=C636)*(참조!$E$2:$E$15=D636),참조!$C$2:$C$15,"")</f>
        <v/>
      </c>
    </row>
    <row r="637" hidden="1" s="27">
      <c r="A637" s="47" t="inlineStr">
        <is>
          <t>더원모바일</t>
        </is>
      </c>
      <c r="B637" s="47" t="inlineStr">
        <is>
          <t>ONE 5G 15GB 300분</t>
        </is>
      </c>
      <c r="C637" s="47" t="inlineStr">
        <is>
          <t>300분</t>
        </is>
      </c>
      <c r="D637" s="47" t="inlineStr">
        <is>
          <t>200건</t>
        </is>
      </c>
      <c r="E637" s="47" t="inlineStr">
        <is>
          <t>월 15GB</t>
        </is>
      </c>
      <c r="F637" s="47" t="inlineStr">
        <is>
          <t>KT</t>
        </is>
      </c>
      <c r="G637" s="47" t="inlineStr">
        <is>
          <t>5G</t>
        </is>
      </c>
      <c r="H637" s="48" t="n">
        <v>2750</v>
      </c>
      <c r="I637" s="48" t="n">
        <v>6</v>
      </c>
      <c r="J637" s="48" t="n">
        <v>22000</v>
      </c>
      <c r="K637" s="47">
        <f t="array" ref="K637">_xlfn.XLOOKUP(1,(참조!$B$2:$B$15=E637)*(참조!$D$2:$D$15=C637)*(참조!$E$2:$E$15=D637),참조!$C$2:$C$15,"")</f>
        <v/>
      </c>
    </row>
    <row r="638" hidden="1" s="27">
      <c r="A638" s="47" t="inlineStr">
        <is>
          <t>KG모바일</t>
        </is>
      </c>
      <c r="B638" s="47" t="inlineStr">
        <is>
          <t>[일반] 유심 5G 95GB+</t>
        </is>
      </c>
      <c r="C638" s="47" t="inlineStr">
        <is>
          <t>무제한</t>
        </is>
      </c>
      <c r="D638" s="47" t="inlineStr">
        <is>
          <t>무제한</t>
        </is>
      </c>
      <c r="E638" s="47" t="inlineStr">
        <is>
          <t>월 95GB + 3Mbps</t>
        </is>
      </c>
      <c r="F638" s="47" t="inlineStr">
        <is>
          <t>LG U+</t>
        </is>
      </c>
      <c r="G638" s="47" t="inlineStr">
        <is>
          <t>5G</t>
        </is>
      </c>
      <c r="H638" s="48" t="n">
        <v>29000</v>
      </c>
      <c r="I638" s="48" t="n">
        <v>12</v>
      </c>
      <c r="J638" s="48" t="n">
        <v>49500</v>
      </c>
      <c r="K638" s="47">
        <f t="array" ref="K638">_xlfn.XLOOKUP(1,(참조!$B$2:$B$15=E638)*(참조!$D$2:$D$15=C638)*(참조!$E$2:$E$15=D638),참조!$C$2:$C$15,"")</f>
        <v/>
      </c>
    </row>
    <row r="639" hidden="1" s="27">
      <c r="A639" s="47" t="inlineStr">
        <is>
          <t>핀다이렉트</t>
        </is>
      </c>
      <c r="B639" s="47" t="inlineStr">
        <is>
          <t>[S] 핀다이렉트Z Light</t>
        </is>
      </c>
      <c r="C639" s="47" t="inlineStr">
        <is>
          <t>100분</t>
        </is>
      </c>
      <c r="D639" s="47" t="inlineStr">
        <is>
          <t>100건</t>
        </is>
      </c>
      <c r="E639" s="47" t="inlineStr">
        <is>
          <t>월 15GB + 3Mbps</t>
        </is>
      </c>
      <c r="F639" s="47" t="inlineStr">
        <is>
          <t>SKT</t>
        </is>
      </c>
      <c r="G639" s="47" t="inlineStr">
        <is>
          <t>LTE</t>
        </is>
      </c>
      <c r="H639" s="48" t="n">
        <v>12000</v>
      </c>
      <c r="I639" s="48" t="n">
        <v>7</v>
      </c>
      <c r="J639" s="48" t="n">
        <v>28600</v>
      </c>
      <c r="K639" s="47">
        <f t="array" ref="K639">_xlfn.XLOOKUP(1,(참조!$B$2:$B$15=E639)*(참조!$D$2:$D$15=C639)*(참조!$E$2:$E$15=D639),참조!$C$2:$C$15,"")</f>
        <v/>
      </c>
    </row>
    <row r="640" hidden="1" s="27">
      <c r="A640" s="47" t="inlineStr">
        <is>
          <t>KG모바일</t>
        </is>
      </c>
      <c r="B640" s="47" t="inlineStr">
        <is>
          <t>[모빌카드 스페셜] 통화, 데이터 마음대로 11GB+</t>
        </is>
      </c>
      <c r="C640" s="47" t="inlineStr">
        <is>
          <t>무제한</t>
        </is>
      </c>
      <c r="D640" s="47" t="inlineStr">
        <is>
          <t>무제한</t>
        </is>
      </c>
      <c r="E640" s="47" t="inlineStr">
        <is>
          <t>월 11GB + 매일 2GB + 3Mbps</t>
        </is>
      </c>
      <c r="F640" s="47" t="inlineStr">
        <is>
          <t>LG U+</t>
        </is>
      </c>
      <c r="G640" s="47" t="inlineStr">
        <is>
          <t>LTE</t>
        </is>
      </c>
      <c r="H640" s="48" t="n">
        <v>15000</v>
      </c>
      <c r="I640" s="48" t="n">
        <v>7</v>
      </c>
      <c r="J640" s="48" t="n">
        <v>41800</v>
      </c>
      <c r="K640" s="47">
        <f t="array" ref="K640">_xlfn.XLOOKUP(1,(참조!$B$2:$B$15=E640)*(참조!$D$2:$D$15=C640)*(참조!$E$2:$E$15=D640),참조!$C$2:$C$15,"")</f>
        <v/>
      </c>
    </row>
    <row r="641" hidden="1" s="27">
      <c r="A641" s="47" t="inlineStr">
        <is>
          <t>이야기모바일</t>
        </is>
      </c>
      <c r="B641" s="47" t="inlineStr">
        <is>
          <t>이야기 라이트 15GB+(24개월)</t>
        </is>
      </c>
      <c r="C641" s="47" t="inlineStr">
        <is>
          <t>무제한</t>
        </is>
      </c>
      <c r="D641" s="47" t="inlineStr">
        <is>
          <t>무제한</t>
        </is>
      </c>
      <c r="E641" s="47" t="inlineStr">
        <is>
          <t>월 15GB + 1Mbps</t>
        </is>
      </c>
      <c r="F641" s="47" t="inlineStr">
        <is>
          <t>LG U+</t>
        </is>
      </c>
      <c r="G641" s="47" t="inlineStr">
        <is>
          <t>LTE</t>
        </is>
      </c>
      <c r="H641" s="48" t="n">
        <v>20000</v>
      </c>
      <c r="I641" s="48" t="n">
        <v>24</v>
      </c>
      <c r="J641" s="48" t="n">
        <v>29700</v>
      </c>
      <c r="K641" s="47">
        <f t="array" ref="K641">_xlfn.XLOOKUP(1,(참조!$B$2:$B$15=E641)*(참조!$D$2:$D$15=C641)*(참조!$E$2:$E$15=D641),참조!$C$2:$C$15,"")</f>
        <v/>
      </c>
    </row>
    <row r="642" hidden="1" s="27">
      <c r="A642" s="47" t="inlineStr">
        <is>
          <t>U+유모바일</t>
        </is>
      </c>
      <c r="B642" s="47" t="inlineStr">
        <is>
          <t>[티머니 12만원] 1GB+/통화기본</t>
        </is>
      </c>
      <c r="C642" s="47" t="inlineStr">
        <is>
          <t>무제한</t>
        </is>
      </c>
      <c r="D642" s="47" t="inlineStr">
        <is>
          <t>무제한</t>
        </is>
      </c>
      <c r="E642" s="47" t="inlineStr">
        <is>
          <t>월 1GB + 1Mbps</t>
        </is>
      </c>
      <c r="F642" s="47" t="inlineStr">
        <is>
          <t>LG U+</t>
        </is>
      </c>
      <c r="G642" s="47" t="inlineStr">
        <is>
          <t>LTE</t>
        </is>
      </c>
      <c r="H642" s="48" t="n">
        <v>10900</v>
      </c>
      <c r="I642" s="48" t="n"/>
      <c r="J642" s="48" t="n"/>
      <c r="K642" s="47">
        <f t="array" ref="K642">_xlfn.XLOOKUP(1,(참조!$B$2:$B$15=E642)*(참조!$D$2:$D$15=C642)*(참조!$E$2:$E$15=D642),참조!$C$2:$C$15,"")</f>
        <v/>
      </c>
    </row>
    <row r="643" hidden="1" s="27">
      <c r="A643" s="47" t="inlineStr">
        <is>
          <t>마블링</t>
        </is>
      </c>
      <c r="B643" s="47" t="inlineStr">
        <is>
          <t>[모요only] 마블링 무제한 7GB+</t>
        </is>
      </c>
      <c r="C643" s="47" t="inlineStr">
        <is>
          <t>무제한</t>
        </is>
      </c>
      <c r="D643" s="47" t="inlineStr">
        <is>
          <t>무제한</t>
        </is>
      </c>
      <c r="E643" s="47" t="inlineStr">
        <is>
          <t>월 7GB + 1Mbps</t>
        </is>
      </c>
      <c r="F643" s="47" t="inlineStr">
        <is>
          <t>LG U+</t>
        </is>
      </c>
      <c r="G643" s="47" t="inlineStr">
        <is>
          <t>LTE</t>
        </is>
      </c>
      <c r="H643" s="48" t="n">
        <v>9888</v>
      </c>
      <c r="I643" s="48" t="n">
        <v>12</v>
      </c>
      <c r="J643" s="48" t="n">
        <v>19790</v>
      </c>
      <c r="K643" s="47">
        <f t="array" ref="K643">_xlfn.XLOOKUP(1,(참조!$B$2:$B$15=E643)*(참조!$D$2:$D$15=C643)*(참조!$E$2:$E$15=D643),참조!$C$2:$C$15,"")</f>
        <v/>
      </c>
    </row>
    <row r="644" hidden="1" s="27">
      <c r="A644" s="47" t="inlineStr">
        <is>
          <t>U+유모바일</t>
        </is>
      </c>
      <c r="B644" s="47" t="inlineStr">
        <is>
          <t>[평생할인] 4.5GB+/통화기본</t>
        </is>
      </c>
      <c r="C644" s="47" t="inlineStr">
        <is>
          <t>무제한</t>
        </is>
      </c>
      <c r="D644" s="47" t="inlineStr">
        <is>
          <t>무제한</t>
        </is>
      </c>
      <c r="E644" s="47" t="inlineStr">
        <is>
          <t>월 4.5GB + 1Mbps</t>
        </is>
      </c>
      <c r="F644" s="47" t="inlineStr">
        <is>
          <t>LG U+</t>
        </is>
      </c>
      <c r="G644" s="47" t="inlineStr">
        <is>
          <t>LTE</t>
        </is>
      </c>
      <c r="H644" s="48" t="n">
        <v>13900</v>
      </c>
      <c r="I644" s="48" t="n"/>
      <c r="J644" s="48" t="n"/>
      <c r="K644" s="47">
        <f t="array" ref="K644">_xlfn.XLOOKUP(1,(참조!$B$2:$B$15=E644)*(참조!$D$2:$D$15=C644)*(참조!$E$2:$E$15=D644),참조!$C$2:$C$15,"")</f>
        <v/>
      </c>
    </row>
    <row r="645" hidden="1" s="27">
      <c r="A645" s="47" t="inlineStr">
        <is>
          <t>인스모바일</t>
        </is>
      </c>
      <c r="B645" s="47" t="inlineStr">
        <is>
          <t>실속 200분+3GB(USIM)</t>
        </is>
      </c>
      <c r="C645" s="47" t="inlineStr">
        <is>
          <t>200분</t>
        </is>
      </c>
      <c r="D645" s="47" t="inlineStr">
        <is>
          <t>50건</t>
        </is>
      </c>
      <c r="E645" s="47" t="inlineStr">
        <is>
          <t>월 3GB</t>
        </is>
      </c>
      <c r="F645" s="47" t="inlineStr">
        <is>
          <t>LG U+</t>
        </is>
      </c>
      <c r="G645" s="47" t="inlineStr">
        <is>
          <t>LTE</t>
        </is>
      </c>
      <c r="H645" s="48" t="n">
        <v>10</v>
      </c>
      <c r="I645" s="48" t="n">
        <v>6</v>
      </c>
      <c r="J645" s="48" t="n">
        <v>16500</v>
      </c>
      <c r="K645" s="47">
        <f t="array" ref="K645">_xlfn.XLOOKUP(1,(참조!$B$2:$B$15=E645)*(참조!$D$2:$D$15=C645)*(참조!$E$2:$E$15=D645),참조!$C$2:$C$15,"")</f>
        <v/>
      </c>
    </row>
    <row r="646" hidden="1" s="27">
      <c r="A646" s="47" t="inlineStr">
        <is>
          <t>KT스카이라이프</t>
        </is>
      </c>
      <c r="B646" s="47" t="inlineStr">
        <is>
          <t>데이터 충분 15GB+/300분</t>
        </is>
      </c>
      <c r="C646" s="47" t="inlineStr">
        <is>
          <t>300분</t>
        </is>
      </c>
      <c r="D646" s="47" t="inlineStr">
        <is>
          <t>300건</t>
        </is>
      </c>
      <c r="E646" s="47" t="inlineStr">
        <is>
          <t>월 15GB + 3Mbps</t>
        </is>
      </c>
      <c r="F646" s="47" t="inlineStr">
        <is>
          <t>KT</t>
        </is>
      </c>
      <c r="G646" s="47" t="inlineStr">
        <is>
          <t>LTE</t>
        </is>
      </c>
      <c r="H646" s="48" t="n">
        <v>27500</v>
      </c>
      <c r="I646" s="48" t="n"/>
      <c r="J646" s="48" t="n"/>
      <c r="K646" s="47">
        <f t="array" ref="K646">_xlfn.XLOOKUP(1,(참조!$B$2:$B$15=E646)*(참조!$D$2:$D$15=C646)*(참조!$E$2:$E$15=D646),참조!$C$2:$C$15,"")</f>
        <v/>
      </c>
    </row>
    <row r="647" hidden="1" s="27">
      <c r="A647" s="47" t="inlineStr">
        <is>
          <t>더원모바일</t>
        </is>
      </c>
      <c r="B647" s="47" t="inlineStr">
        <is>
          <t>TOP 7GB 기본 (웨이브 광고형)</t>
        </is>
      </c>
      <c r="C647" s="47" t="inlineStr">
        <is>
          <t>무제한</t>
        </is>
      </c>
      <c r="D647" s="47" t="inlineStr">
        <is>
          <t>무제한</t>
        </is>
      </c>
      <c r="E647" s="47" t="inlineStr">
        <is>
          <t>월 7GB + 1Mbps</t>
        </is>
      </c>
      <c r="F647" s="47" t="inlineStr">
        <is>
          <t>KT</t>
        </is>
      </c>
      <c r="G647" s="47" t="inlineStr">
        <is>
          <t>LTE</t>
        </is>
      </c>
      <c r="H647" s="48" t="n">
        <v>8910</v>
      </c>
      <c r="I647" s="48" t="n">
        <v>12</v>
      </c>
      <c r="J647" s="48" t="n">
        <v>26400</v>
      </c>
      <c r="K647" s="47">
        <f t="array" ref="K647">_xlfn.XLOOKUP(1,(참조!$B$2:$B$15=E647)*(참조!$D$2:$D$15=C647)*(참조!$E$2:$E$15=D647),참조!$C$2:$C$15,"")</f>
        <v/>
      </c>
    </row>
    <row r="648" hidden="1" s="27">
      <c r="A648" s="47" t="inlineStr">
        <is>
          <t>티플러스</t>
        </is>
      </c>
      <c r="B648" s="47" t="inlineStr">
        <is>
          <t>티플포유(1G/100분)</t>
        </is>
      </c>
      <c r="C648" s="47" t="inlineStr">
        <is>
          <t>100분</t>
        </is>
      </c>
      <c r="D648" s="47" t="inlineStr">
        <is>
          <t>100건</t>
        </is>
      </c>
      <c r="E648" s="47" t="inlineStr">
        <is>
          <t>월 1GB</t>
        </is>
      </c>
      <c r="F648" s="47" t="inlineStr">
        <is>
          <t>LG U+</t>
        </is>
      </c>
      <c r="G648" s="47" t="inlineStr">
        <is>
          <t>LTE</t>
        </is>
      </c>
      <c r="H648" s="48" t="n">
        <v>3300</v>
      </c>
      <c r="I648" s="48" t="n"/>
      <c r="J648" s="48" t="n"/>
      <c r="K648" s="47">
        <f t="array" ref="K648">_xlfn.XLOOKUP(1,(참조!$B$2:$B$15=E648)*(참조!$D$2:$D$15=C648)*(참조!$E$2:$E$15=D648),참조!$C$2:$C$15,"")</f>
        <v/>
      </c>
    </row>
    <row r="649" hidden="1" s="27">
      <c r="A649" s="47" t="inlineStr">
        <is>
          <t>이야기모바일</t>
        </is>
      </c>
      <c r="B649" s="47" t="inlineStr">
        <is>
          <t>이야기피싱케어 100GB+</t>
        </is>
      </c>
      <c r="C649" s="47" t="inlineStr">
        <is>
          <t>무제한</t>
        </is>
      </c>
      <c r="D649" s="47" t="inlineStr">
        <is>
          <t>무제한</t>
        </is>
      </c>
      <c r="E649" s="47" t="inlineStr">
        <is>
          <t>월 100GB + 5Mbps</t>
        </is>
      </c>
      <c r="F649" s="47" t="inlineStr">
        <is>
          <t>LG U+</t>
        </is>
      </c>
      <c r="G649" s="47" t="inlineStr">
        <is>
          <t>LTE</t>
        </is>
      </c>
      <c r="H649" s="48" t="n">
        <v>30800</v>
      </c>
      <c r="I649" s="48" t="n">
        <v>24</v>
      </c>
      <c r="J649" s="48" t="n">
        <v>46200</v>
      </c>
      <c r="K649" s="47">
        <f t="array" ref="K649">_xlfn.XLOOKUP(1,(참조!$B$2:$B$15=E649)*(참조!$D$2:$D$15=C649)*(참조!$E$2:$E$15=D649),참조!$C$2:$C$15,"")</f>
        <v/>
      </c>
    </row>
    <row r="650" hidden="1" s="27">
      <c r="A650" s="47" t="inlineStr">
        <is>
          <t>이야기모바일</t>
        </is>
      </c>
      <c r="B650" s="47" t="inlineStr">
        <is>
          <t>이야기 헬스케어 100GB+</t>
        </is>
      </c>
      <c r="C650" s="47" t="inlineStr">
        <is>
          <t>무제한</t>
        </is>
      </c>
      <c r="D650" s="47" t="inlineStr">
        <is>
          <t>무제한</t>
        </is>
      </c>
      <c r="E650" s="47" t="inlineStr">
        <is>
          <t>월 100GB + 5Mbps</t>
        </is>
      </c>
      <c r="F650" s="47" t="inlineStr">
        <is>
          <t>LG U+</t>
        </is>
      </c>
      <c r="G650" s="47" t="inlineStr">
        <is>
          <t>LTE</t>
        </is>
      </c>
      <c r="H650" s="48" t="n">
        <v>30800</v>
      </c>
      <c r="I650" s="48" t="n">
        <v>24</v>
      </c>
      <c r="J650" s="48" t="n">
        <v>46200</v>
      </c>
      <c r="K650" s="47">
        <f t="array" ref="K650">_xlfn.XLOOKUP(1,(참조!$B$2:$B$15=E650)*(참조!$D$2:$D$15=C650)*(참조!$E$2:$E$15=D650),참조!$C$2:$C$15,"")</f>
        <v/>
      </c>
    </row>
    <row r="651" hidden="1" s="27">
      <c r="A651" s="47" t="inlineStr">
        <is>
          <t>이야기모바일</t>
        </is>
      </c>
      <c r="B651" s="47" t="inlineStr">
        <is>
          <t>이야기 스탠다드S 11GB+</t>
        </is>
      </c>
      <c r="C651" s="47" t="inlineStr">
        <is>
          <t>무제한</t>
        </is>
      </c>
      <c r="D651" s="47" t="inlineStr">
        <is>
          <t>무제한</t>
        </is>
      </c>
      <c r="E651" s="47" t="inlineStr">
        <is>
          <t>월 11GB + 매일 2GB + 3Mbps</t>
        </is>
      </c>
      <c r="F651" s="47" t="inlineStr">
        <is>
          <t>SKT</t>
        </is>
      </c>
      <c r="G651" s="47" t="inlineStr">
        <is>
          <t>LTE</t>
        </is>
      </c>
      <c r="H651" s="48" t="n">
        <v>14500</v>
      </c>
      <c r="I651" s="48" t="n">
        <v>7</v>
      </c>
      <c r="J651" s="48" t="n">
        <v>39600</v>
      </c>
      <c r="K651" s="47">
        <f t="array" ref="K651">_xlfn.XLOOKUP(1,(참조!$B$2:$B$15=E651)*(참조!$D$2:$D$15=C651)*(참조!$E$2:$E$15=D651),참조!$C$2:$C$15,"")</f>
        <v/>
      </c>
    </row>
    <row r="652" hidden="1" s="27">
      <c r="A652" s="47" t="inlineStr">
        <is>
          <t>이야기모바일</t>
        </is>
      </c>
      <c r="B652" s="47" t="inlineStr">
        <is>
          <t>이야기 라이프케어 100GB+</t>
        </is>
      </c>
      <c r="C652" s="47" t="inlineStr">
        <is>
          <t>무제한</t>
        </is>
      </c>
      <c r="D652" s="47" t="inlineStr">
        <is>
          <t>무제한</t>
        </is>
      </c>
      <c r="E652" s="47" t="inlineStr">
        <is>
          <t>월 100GB + 5Mbps</t>
        </is>
      </c>
      <c r="F652" s="47" t="inlineStr">
        <is>
          <t>LG U+</t>
        </is>
      </c>
      <c r="G652" s="47" t="inlineStr">
        <is>
          <t>LTE</t>
        </is>
      </c>
      <c r="H652" s="48" t="n">
        <v>30800</v>
      </c>
      <c r="I652" s="48" t="n">
        <v>24</v>
      </c>
      <c r="J652" s="48" t="n">
        <v>48400</v>
      </c>
      <c r="K652" s="47">
        <f t="array" ref="K652">_xlfn.XLOOKUP(1,(참조!$B$2:$B$15=E652)*(참조!$D$2:$D$15=C652)*(참조!$E$2:$E$15=D652),참조!$C$2:$C$15,"")</f>
        <v/>
      </c>
    </row>
    <row r="653" hidden="1" s="27">
      <c r="A653" s="47" t="inlineStr">
        <is>
          <t>더원모바일</t>
        </is>
      </c>
      <c r="B653" s="47" t="inlineStr">
        <is>
          <t>TOP 15GB 100분 (다이소)</t>
        </is>
      </c>
      <c r="C653" s="47" t="inlineStr">
        <is>
          <t>100분</t>
        </is>
      </c>
      <c r="D653" s="47" t="inlineStr">
        <is>
          <t>100건</t>
        </is>
      </c>
      <c r="E653" s="47" t="inlineStr">
        <is>
          <t>월 15GB + 3Mbps</t>
        </is>
      </c>
      <c r="F653" s="47" t="inlineStr">
        <is>
          <t>KT</t>
        </is>
      </c>
      <c r="G653" s="47" t="inlineStr">
        <is>
          <t>LTE</t>
        </is>
      </c>
      <c r="H653" s="48" t="n">
        <v>7700</v>
      </c>
      <c r="I653" s="48" t="n">
        <v>7</v>
      </c>
      <c r="J653" s="48" t="n">
        <v>35200</v>
      </c>
      <c r="K653" s="47">
        <f t="array" ref="K653">_xlfn.XLOOKUP(1,(참조!$B$2:$B$15=E653)*(참조!$D$2:$D$15=C653)*(참조!$E$2:$E$15=D653),참조!$C$2:$C$15,"")</f>
        <v/>
      </c>
    </row>
    <row r="654" hidden="1" s="27">
      <c r="A654" s="47" t="inlineStr">
        <is>
          <t>이야기모바일</t>
        </is>
      </c>
      <c r="B654" s="47" t="inlineStr">
        <is>
          <t>이야기 쇼핑케어 100GB+</t>
        </is>
      </c>
      <c r="C654" s="47" t="inlineStr">
        <is>
          <t>무제한</t>
        </is>
      </c>
      <c r="D654" s="47" t="inlineStr">
        <is>
          <t>무제한</t>
        </is>
      </c>
      <c r="E654" s="47" t="inlineStr">
        <is>
          <t>월 100GB + 5Mbps</t>
        </is>
      </c>
      <c r="F654" s="47" t="inlineStr">
        <is>
          <t>LG U+</t>
        </is>
      </c>
      <c r="G654" s="47" t="inlineStr">
        <is>
          <t>LTE</t>
        </is>
      </c>
      <c r="H654" s="48" t="n">
        <v>30800</v>
      </c>
      <c r="I654" s="48" t="n">
        <v>24</v>
      </c>
      <c r="J654" s="48" t="n">
        <v>48400</v>
      </c>
      <c r="K654" s="47">
        <f t="array" ref="K654">_xlfn.XLOOKUP(1,(참조!$B$2:$B$15=E654)*(참조!$D$2:$D$15=C654)*(참조!$E$2:$E$15=D654),참조!$C$2:$C$15,"")</f>
        <v/>
      </c>
    </row>
    <row r="655" hidden="1" s="27">
      <c r="A655" s="47" t="inlineStr">
        <is>
          <t>KT스카이라이프</t>
        </is>
      </c>
      <c r="B655" s="47" t="inlineStr">
        <is>
          <t>모두 충분 7GB+(모아진)</t>
        </is>
      </c>
      <c r="C655" s="47" t="inlineStr">
        <is>
          <t>무제한</t>
        </is>
      </c>
      <c r="D655" s="47" t="inlineStr">
        <is>
          <t>무제한</t>
        </is>
      </c>
      <c r="E655" s="47" t="inlineStr">
        <is>
          <t>월 7GB + 1Mbps</t>
        </is>
      </c>
      <c r="F655" s="47" t="inlineStr">
        <is>
          <t>KT</t>
        </is>
      </c>
      <c r="G655" s="47" t="inlineStr">
        <is>
          <t>LTE</t>
        </is>
      </c>
      <c r="H655" s="48" t="n">
        <v>16700</v>
      </c>
      <c r="I655" s="48" t="n"/>
      <c r="J655" s="48" t="n"/>
      <c r="K655" s="47">
        <f t="array" ref="K655">_xlfn.XLOOKUP(1,(참조!$B$2:$B$15=E655)*(참조!$D$2:$D$15=C655)*(참조!$E$2:$E$15=D655),참조!$C$2:$C$15,"")</f>
        <v/>
      </c>
    </row>
    <row r="656" hidden="1" s="27">
      <c r="A656" s="47" t="inlineStr">
        <is>
          <t>이야기모바일</t>
        </is>
      </c>
      <c r="B656" s="47" t="inlineStr">
        <is>
          <t>이야기폰케어 100GB+</t>
        </is>
      </c>
      <c r="C656" s="47" t="inlineStr">
        <is>
          <t>무제한</t>
        </is>
      </c>
      <c r="D656" s="47" t="inlineStr">
        <is>
          <t>무제한</t>
        </is>
      </c>
      <c r="E656" s="47" t="inlineStr">
        <is>
          <t>월 100GB + 5Mbps</t>
        </is>
      </c>
      <c r="F656" s="47" t="inlineStr">
        <is>
          <t>LG U+</t>
        </is>
      </c>
      <c r="G656" s="47" t="inlineStr">
        <is>
          <t>LTE</t>
        </is>
      </c>
      <c r="H656" s="48" t="n">
        <v>30800</v>
      </c>
      <c r="I656" s="48" t="n">
        <v>24</v>
      </c>
      <c r="J656" s="48" t="n">
        <v>46200</v>
      </c>
      <c r="K656" s="47">
        <f t="array" ref="K656">_xlfn.XLOOKUP(1,(참조!$B$2:$B$15=E656)*(참조!$D$2:$D$15=C656)*(참조!$E$2:$E$15=D656),참조!$C$2:$C$15,"")</f>
        <v/>
      </c>
    </row>
    <row r="657" hidden="1" s="27">
      <c r="A657" s="47" t="inlineStr">
        <is>
          <t>KG모바일</t>
        </is>
      </c>
      <c r="B657" s="47" t="inlineStr">
        <is>
          <t>[일반] 유심 5G 125GB+</t>
        </is>
      </c>
      <c r="C657" s="47" t="inlineStr">
        <is>
          <t>무제한</t>
        </is>
      </c>
      <c r="D657" s="47" t="inlineStr">
        <is>
          <t>무제한</t>
        </is>
      </c>
      <c r="E657" s="47" t="inlineStr">
        <is>
          <t>월 125GB + 5Mbps</t>
        </is>
      </c>
      <c r="F657" s="47" t="inlineStr">
        <is>
          <t>LG U+</t>
        </is>
      </c>
      <c r="G657" s="47" t="inlineStr">
        <is>
          <t>5G</t>
        </is>
      </c>
      <c r="H657" s="48" t="n">
        <v>30000</v>
      </c>
      <c r="I657" s="48" t="n">
        <v>12</v>
      </c>
      <c r="J657" s="48" t="n">
        <v>51150</v>
      </c>
      <c r="K657" s="47">
        <f t="array" ref="K657">_xlfn.XLOOKUP(1,(참조!$B$2:$B$15=E657)*(참조!$D$2:$D$15=C657)*(참조!$E$2:$E$15=D657),참조!$C$2:$C$15,"")</f>
        <v/>
      </c>
    </row>
    <row r="658" hidden="1" s="27">
      <c r="A658" s="47" t="inlineStr">
        <is>
          <t>더원모바일</t>
        </is>
      </c>
      <c r="B658" s="47" t="inlineStr">
        <is>
          <t>ONE 15GB 300분</t>
        </is>
      </c>
      <c r="C658" s="47" t="inlineStr">
        <is>
          <t>300분</t>
        </is>
      </c>
      <c r="D658" s="47" t="inlineStr">
        <is>
          <t>200건</t>
        </is>
      </c>
      <c r="E658" s="47" t="inlineStr">
        <is>
          <t>월 15GB</t>
        </is>
      </c>
      <c r="F658" s="47" t="inlineStr">
        <is>
          <t>KT</t>
        </is>
      </c>
      <c r="G658" s="47" t="inlineStr">
        <is>
          <t>LTE</t>
        </is>
      </c>
      <c r="H658" s="48" t="n">
        <v>2750</v>
      </c>
      <c r="I658" s="48" t="n">
        <v>6</v>
      </c>
      <c r="J658" s="48" t="n">
        <v>22000</v>
      </c>
      <c r="K658" s="47">
        <f t="array" ref="K658">_xlfn.XLOOKUP(1,(참조!$B$2:$B$15=E658)*(참조!$D$2:$D$15=C658)*(참조!$E$2:$E$15=D658),참조!$C$2:$C$15,"")</f>
        <v/>
      </c>
    </row>
    <row r="659" hidden="1" s="27">
      <c r="A659" s="47" t="inlineStr">
        <is>
          <t>이야기모바일</t>
        </is>
      </c>
      <c r="B659" s="47" t="inlineStr">
        <is>
          <t>5G 함께이야기해S (200분+10GB)</t>
        </is>
      </c>
      <c r="C659" s="47" t="inlineStr">
        <is>
          <t>200분</t>
        </is>
      </c>
      <c r="D659" s="47" t="inlineStr">
        <is>
          <t>100건</t>
        </is>
      </c>
      <c r="E659" s="47" t="inlineStr">
        <is>
          <t>월 10GB</t>
        </is>
      </c>
      <c r="F659" s="47" t="inlineStr">
        <is>
          <t>SKT</t>
        </is>
      </c>
      <c r="G659" s="47" t="inlineStr">
        <is>
          <t>5G</t>
        </is>
      </c>
      <c r="H659" s="48" t="n">
        <v>11000</v>
      </c>
      <c r="I659" s="48" t="n"/>
      <c r="J659" s="48" t="n"/>
      <c r="K659" s="47">
        <f t="array" ref="K659">_xlfn.XLOOKUP(1,(참조!$B$2:$B$15=E659)*(참조!$D$2:$D$15=C659)*(참조!$E$2:$E$15=D659),참조!$C$2:$C$15,"")</f>
        <v/>
      </c>
    </row>
    <row r="660" hidden="1" s="27">
      <c r="A660" s="47" t="inlineStr">
        <is>
          <t>KT엠모바일</t>
        </is>
      </c>
      <c r="B660" s="47" t="inlineStr">
        <is>
          <t>모두다 맘껏 100GB+(PAY쿠폰 5000P)</t>
        </is>
      </c>
      <c r="C660" s="47" t="inlineStr">
        <is>
          <t>무제한</t>
        </is>
      </c>
      <c r="D660" s="47" t="inlineStr">
        <is>
          <t>무제한</t>
        </is>
      </c>
      <c r="E660" s="47" t="inlineStr">
        <is>
          <t>월 100GB + 5Mbps</t>
        </is>
      </c>
      <c r="F660" s="47" t="inlineStr">
        <is>
          <t>KT</t>
        </is>
      </c>
      <c r="G660" s="47" t="inlineStr">
        <is>
          <t>LTE</t>
        </is>
      </c>
      <c r="H660" s="48" t="n">
        <v>36700</v>
      </c>
      <c r="I660" s="48" t="n"/>
      <c r="J660" s="48" t="n"/>
      <c r="K660" s="47">
        <f t="array" ref="K660">_xlfn.XLOOKUP(1,(참조!$B$2:$B$15=E660)*(참조!$D$2:$D$15=C660)*(참조!$E$2:$E$15=D660),참조!$C$2:$C$15,"")</f>
        <v/>
      </c>
    </row>
    <row r="661" hidden="1" s="27">
      <c r="A661" s="47" t="inlineStr">
        <is>
          <t>U+유모바일</t>
        </is>
      </c>
      <c r="B661" s="47" t="inlineStr">
        <is>
          <t>[평생할인] 5G 50GB+/통화기본</t>
        </is>
      </c>
      <c r="C661" s="47" t="inlineStr">
        <is>
          <t>무제한</t>
        </is>
      </c>
      <c r="D661" s="47" t="inlineStr">
        <is>
          <t>무제한</t>
        </is>
      </c>
      <c r="E661" s="47" t="inlineStr">
        <is>
          <t>월 50GB + 1Mbps</t>
        </is>
      </c>
      <c r="F661" s="47" t="inlineStr">
        <is>
          <t>LG U+</t>
        </is>
      </c>
      <c r="G661" s="47" t="inlineStr">
        <is>
          <t>5G</t>
        </is>
      </c>
      <c r="H661" s="48" t="n">
        <v>37850</v>
      </c>
      <c r="I661" s="48" t="n"/>
      <c r="J661" s="48" t="n"/>
      <c r="K661" s="47">
        <f t="array" ref="K661">_xlfn.XLOOKUP(1,(참조!$B$2:$B$15=E661)*(참조!$D$2:$D$15=C661)*(참조!$E$2:$E$15=D661),참조!$C$2:$C$15,"")</f>
        <v/>
      </c>
    </row>
    <row r="662" hidden="1" s="27">
      <c r="A662" s="47" t="inlineStr">
        <is>
          <t>시월모바일</t>
        </is>
      </c>
      <c r="B662" s="47" t="inlineStr">
        <is>
          <t>두해 통화기본10GB+</t>
        </is>
      </c>
      <c r="C662" s="47" t="inlineStr">
        <is>
          <t>무제한</t>
        </is>
      </c>
      <c r="D662" s="47" t="inlineStr">
        <is>
          <t>무제한</t>
        </is>
      </c>
      <c r="E662" s="47" t="inlineStr">
        <is>
          <t>월 10GB + 1Mbps</t>
        </is>
      </c>
      <c r="F662" s="47" t="inlineStr">
        <is>
          <t>LG U+</t>
        </is>
      </c>
      <c r="G662" s="47" t="inlineStr">
        <is>
          <t>LTE</t>
        </is>
      </c>
      <c r="H662" s="48" t="n">
        <v>12170</v>
      </c>
      <c r="I662" s="48" t="n">
        <v>24</v>
      </c>
      <c r="J662" s="48" t="n">
        <v>25370</v>
      </c>
      <c r="K662" s="47">
        <f t="array" ref="K662">_xlfn.XLOOKUP(1,(참조!$B$2:$B$15=E662)*(참조!$D$2:$D$15=C662)*(참조!$E$2:$E$15=D662),참조!$C$2:$C$15,"")</f>
        <v/>
      </c>
    </row>
    <row r="663" hidden="1" s="27">
      <c r="A663" s="47" t="inlineStr">
        <is>
          <t>인스모바일</t>
        </is>
      </c>
      <c r="B663" s="47" t="inlineStr">
        <is>
          <t>[12개월]인스 유심 스트롱 매일 5GB+</t>
        </is>
      </c>
      <c r="C663" s="47" t="inlineStr">
        <is>
          <t>무제한</t>
        </is>
      </c>
      <c r="D663" s="47" t="inlineStr">
        <is>
          <t>무제한</t>
        </is>
      </c>
      <c r="E663" s="47" t="inlineStr">
        <is>
          <t>매일 5GB + 5Mbps</t>
        </is>
      </c>
      <c r="F663" s="47" t="inlineStr">
        <is>
          <t>LG U+</t>
        </is>
      </c>
      <c r="G663" s="47" t="inlineStr">
        <is>
          <t>LTE</t>
        </is>
      </c>
      <c r="H663" s="48" t="n">
        <v>29950</v>
      </c>
      <c r="I663" s="48" t="n">
        <v>12</v>
      </c>
      <c r="J663" s="48" t="n">
        <v>44800</v>
      </c>
      <c r="K663" s="47">
        <f t="array" ref="K663">_xlfn.XLOOKUP(1,(참조!$B$2:$B$15=E663)*(참조!$D$2:$D$15=C663)*(참조!$E$2:$E$15=D663),참조!$C$2:$C$15,"")</f>
        <v/>
      </c>
    </row>
    <row r="664" hidden="1" s="27">
      <c r="A664" s="47" t="inlineStr">
        <is>
          <t>스마텔</t>
        </is>
      </c>
      <c r="B664" s="47" t="inlineStr">
        <is>
          <t>스마일플러스 (200분+5GB)</t>
        </is>
      </c>
      <c r="C664" s="47" t="inlineStr">
        <is>
          <t>200분</t>
        </is>
      </c>
      <c r="D664" s="47" t="inlineStr">
        <is>
          <t>100건</t>
        </is>
      </c>
      <c r="E664" s="47" t="inlineStr">
        <is>
          <t>월 5GB</t>
        </is>
      </c>
      <c r="F664" s="47" t="inlineStr">
        <is>
          <t>SKT</t>
        </is>
      </c>
      <c r="G664" s="47" t="inlineStr">
        <is>
          <t>LTE</t>
        </is>
      </c>
      <c r="H664" s="48" t="n">
        <v>990</v>
      </c>
      <c r="I664" s="48" t="n">
        <v>12</v>
      </c>
      <c r="J664" s="48" t="n">
        <v>9900</v>
      </c>
      <c r="K664" s="47">
        <f t="array" ref="K664">_xlfn.XLOOKUP(1,(참조!$B$2:$B$15=E664)*(참조!$D$2:$D$15=C664)*(참조!$E$2:$E$15=D664),참조!$C$2:$C$15,"")</f>
        <v/>
      </c>
    </row>
    <row r="665" hidden="1" s="27">
      <c r="A665" s="47" t="inlineStr">
        <is>
          <t>이야기모바일</t>
        </is>
      </c>
      <c r="B665" s="47" t="inlineStr">
        <is>
          <t>이야기S 쇼핑케어 71GB+</t>
        </is>
      </c>
      <c r="C665" s="47" t="inlineStr">
        <is>
          <t>무제한</t>
        </is>
      </c>
      <c r="D665" s="47" t="inlineStr">
        <is>
          <t>무제한</t>
        </is>
      </c>
      <c r="E665" s="47" t="inlineStr">
        <is>
          <t>월 11GB + 매일 2GB + 3Mbps</t>
        </is>
      </c>
      <c r="F665" s="47" t="inlineStr">
        <is>
          <t>SKT</t>
        </is>
      </c>
      <c r="G665" s="47" t="inlineStr">
        <is>
          <t>LTE</t>
        </is>
      </c>
      <c r="H665" s="48" t="n">
        <v>14500</v>
      </c>
      <c r="I665" s="48" t="n">
        <v>7</v>
      </c>
      <c r="J665" s="48" t="n">
        <v>39600</v>
      </c>
      <c r="K665" s="47">
        <f t="array" ref="K665">_xlfn.XLOOKUP(1,(참조!$B$2:$B$15=E665)*(참조!$D$2:$D$15=C665)*(참조!$E$2:$E$15=D665),참조!$C$2:$C$15,"")</f>
        <v/>
      </c>
    </row>
    <row r="666" hidden="1" s="27">
      <c r="A666" s="47" t="inlineStr">
        <is>
          <t>고고모바일</t>
        </is>
      </c>
      <c r="B666" s="47" t="inlineStr">
        <is>
          <t>[모요only] 데이터 무제한 300분/15GB+3Mbps</t>
        </is>
      </c>
      <c r="C666" s="47" t="inlineStr">
        <is>
          <t>300분</t>
        </is>
      </c>
      <c r="D666" s="47" t="inlineStr">
        <is>
          <t>300건</t>
        </is>
      </c>
      <c r="E666" s="47" t="inlineStr">
        <is>
          <t>월 15GB + 3Mbps</t>
        </is>
      </c>
      <c r="F666" s="47" t="inlineStr">
        <is>
          <t>KT</t>
        </is>
      </c>
      <c r="G666" s="47" t="inlineStr">
        <is>
          <t>LTE</t>
        </is>
      </c>
      <c r="H666" s="48" t="n">
        <v>13000</v>
      </c>
      <c r="I666" s="48" t="n">
        <v>7</v>
      </c>
      <c r="J666" s="48" t="n">
        <v>33000</v>
      </c>
      <c r="K666" s="47">
        <f t="array" ref="K666">_xlfn.XLOOKUP(1,(참조!$B$2:$B$15=E666)*(참조!$D$2:$D$15=C666)*(참조!$E$2:$E$15=D666),참조!$C$2:$C$15,"")</f>
        <v/>
      </c>
    </row>
    <row r="667" hidden="1" s="27">
      <c r="A667" s="47" t="inlineStr">
        <is>
          <t>이야기모바일</t>
        </is>
      </c>
      <c r="B667" s="47" t="inlineStr">
        <is>
          <t>이야기S 피싱케어 71GB+</t>
        </is>
      </c>
      <c r="C667" s="47" t="inlineStr">
        <is>
          <t>무제한</t>
        </is>
      </c>
      <c r="D667" s="47" t="inlineStr">
        <is>
          <t>무제한</t>
        </is>
      </c>
      <c r="E667" s="47" t="inlineStr">
        <is>
          <t>월 11GB + 매일 2GB + 3Mbps</t>
        </is>
      </c>
      <c r="F667" s="47" t="inlineStr">
        <is>
          <t>SKT</t>
        </is>
      </c>
      <c r="G667" s="47" t="inlineStr">
        <is>
          <t>LTE</t>
        </is>
      </c>
      <c r="H667" s="48" t="n">
        <v>14500</v>
      </c>
      <c r="I667" s="48" t="n">
        <v>7</v>
      </c>
      <c r="J667" s="48" t="n">
        <v>39600</v>
      </c>
      <c r="K667" s="47">
        <f t="array" ref="K667">_xlfn.XLOOKUP(1,(참조!$B$2:$B$15=E667)*(참조!$D$2:$D$15=C667)*(참조!$E$2:$E$15=D667),참조!$C$2:$C$15,"")</f>
        <v/>
      </c>
    </row>
    <row r="668" hidden="1" s="27">
      <c r="A668" s="47" t="inlineStr">
        <is>
          <t>티플러스</t>
        </is>
      </c>
      <c r="B668" s="47" t="inlineStr">
        <is>
          <t>티플 8GB(8GB/300분)_평생요금</t>
        </is>
      </c>
      <c r="C668" s="47" t="inlineStr">
        <is>
          <t>300분</t>
        </is>
      </c>
      <c r="D668" s="47" t="inlineStr">
        <is>
          <t>100건</t>
        </is>
      </c>
      <c r="E668" s="47" t="inlineStr">
        <is>
          <t>월 8GB</t>
        </is>
      </c>
      <c r="F668" s="47" t="inlineStr">
        <is>
          <t>SKT</t>
        </is>
      </c>
      <c r="G668" s="47" t="inlineStr">
        <is>
          <t>LTE</t>
        </is>
      </c>
      <c r="H668" s="48" t="n">
        <v>4500</v>
      </c>
      <c r="I668" s="48" t="n"/>
      <c r="J668" s="48" t="n"/>
      <c r="K668" s="47">
        <f t="array" ref="K668">_xlfn.XLOOKUP(1,(참조!$B$2:$B$15=E668)*(참조!$D$2:$D$15=C668)*(참조!$E$2:$E$15=D668),참조!$C$2:$C$15,"")</f>
        <v/>
      </c>
    </row>
    <row r="669" hidden="1" s="27">
      <c r="A669" s="47" t="inlineStr">
        <is>
          <t>더원모바일</t>
        </is>
      </c>
      <c r="B669" s="47" t="inlineStr">
        <is>
          <t>TOP 7GB 기본 (네이버페이)</t>
        </is>
      </c>
      <c r="C669" s="47" t="inlineStr">
        <is>
          <t>무제한</t>
        </is>
      </c>
      <c r="D669" s="47" t="inlineStr">
        <is>
          <t>무제한</t>
        </is>
      </c>
      <c r="E669" s="47" t="inlineStr">
        <is>
          <t>월 7GB + 1Mbps</t>
        </is>
      </c>
      <c r="F669" s="47" t="inlineStr">
        <is>
          <t>KT</t>
        </is>
      </c>
      <c r="G669" s="47" t="inlineStr">
        <is>
          <t>LTE</t>
        </is>
      </c>
      <c r="H669" s="48" t="n">
        <v>8910</v>
      </c>
      <c r="I669" s="48" t="n">
        <v>12</v>
      </c>
      <c r="J669" s="48" t="n">
        <v>26400</v>
      </c>
      <c r="K669" s="47">
        <f t="array" ref="K669">_xlfn.XLOOKUP(1,(참조!$B$2:$B$15=E669)*(참조!$D$2:$D$15=C669)*(참조!$E$2:$E$15=D669),참조!$C$2:$C$15,"")</f>
        <v/>
      </c>
    </row>
    <row r="670" hidden="1" s="27">
      <c r="A670" s="47" t="inlineStr">
        <is>
          <t>U+유모바일</t>
        </is>
      </c>
      <c r="B670" s="47" t="inlineStr">
        <is>
          <t>[다이소 12만] 1GB+</t>
        </is>
      </c>
      <c r="C670" s="47" t="inlineStr">
        <is>
          <t>무제한</t>
        </is>
      </c>
      <c r="D670" s="47" t="inlineStr">
        <is>
          <t>무제한</t>
        </is>
      </c>
      <c r="E670" s="47" t="inlineStr">
        <is>
          <t>월 1GB + 1Mbps</t>
        </is>
      </c>
      <c r="F670" s="47" t="inlineStr">
        <is>
          <t>LG U+</t>
        </is>
      </c>
      <c r="G670" s="47" t="inlineStr">
        <is>
          <t>LTE</t>
        </is>
      </c>
      <c r="H670" s="48" t="n">
        <v>11400</v>
      </c>
      <c r="I670" s="48" t="n"/>
      <c r="J670" s="48" t="n"/>
      <c r="K670" s="47">
        <f t="array" ref="K670">_xlfn.XLOOKUP(1,(참조!$B$2:$B$15=E670)*(참조!$D$2:$D$15=C670)*(참조!$E$2:$E$15=D670),참조!$C$2:$C$15,"")</f>
        <v/>
      </c>
    </row>
    <row r="671" hidden="1" s="27">
      <c r="A671" s="47" t="inlineStr">
        <is>
          <t>KG모바일</t>
        </is>
      </c>
      <c r="B671" s="47" t="inlineStr">
        <is>
          <t>[일반] 데이터 마음대로 (15GB+/100분)</t>
        </is>
      </c>
      <c r="C671" s="47" t="inlineStr">
        <is>
          <t>100분</t>
        </is>
      </c>
      <c r="D671" s="47" t="inlineStr">
        <is>
          <t>100건</t>
        </is>
      </c>
      <c r="E671" s="47" t="inlineStr">
        <is>
          <t>월 15GB + 3Mbps</t>
        </is>
      </c>
      <c r="F671" s="47" t="inlineStr">
        <is>
          <t>LG U+</t>
        </is>
      </c>
      <c r="G671" s="47" t="inlineStr">
        <is>
          <t>LTE</t>
        </is>
      </c>
      <c r="H671" s="48" t="n">
        <v>20900</v>
      </c>
      <c r="I671" s="48" t="n">
        <v>12</v>
      </c>
      <c r="J671" s="48" t="n">
        <v>33000</v>
      </c>
      <c r="K671" s="47">
        <f t="array" ref="K671">_xlfn.XLOOKUP(1,(참조!$B$2:$B$15=E671)*(참조!$D$2:$D$15=C671)*(참조!$E$2:$E$15=D671),참조!$C$2:$C$15,"")</f>
        <v/>
      </c>
    </row>
    <row r="672" hidden="1" s="27">
      <c r="A672" s="47" t="inlineStr">
        <is>
          <t>스마텔</t>
        </is>
      </c>
      <c r="B672" s="47" t="inlineStr">
        <is>
          <t>스마트 5G망 150GB+</t>
        </is>
      </c>
      <c r="C672" s="47" t="inlineStr">
        <is>
          <t>무제한</t>
        </is>
      </c>
      <c r="D672" s="47" t="inlineStr">
        <is>
          <t>무제한</t>
        </is>
      </c>
      <c r="E672" s="47" t="inlineStr">
        <is>
          <t>월 150GB + 5Mbps</t>
        </is>
      </c>
      <c r="F672" s="47" t="inlineStr">
        <is>
          <t>LG U+</t>
        </is>
      </c>
      <c r="G672" s="47" t="inlineStr">
        <is>
          <t>5G</t>
        </is>
      </c>
      <c r="H672" s="48" t="n">
        <v>30800</v>
      </c>
      <c r="I672" s="48" t="n">
        <v>24</v>
      </c>
      <c r="J672" s="48" t="n">
        <v>55000</v>
      </c>
      <c r="K672" s="47">
        <f t="array" ref="K672">_xlfn.XLOOKUP(1,(참조!$B$2:$B$15=E672)*(참조!$D$2:$D$15=C672)*(참조!$E$2:$E$15=D672),참조!$C$2:$C$15,"")</f>
        <v/>
      </c>
    </row>
    <row r="673" hidden="1" s="27">
      <c r="A673" s="47" t="inlineStr">
        <is>
          <t>더원모바일</t>
        </is>
      </c>
      <c r="B673" s="47" t="inlineStr">
        <is>
          <t>TOP 15GB 기본 (후후)</t>
        </is>
      </c>
      <c r="C673" s="47" t="inlineStr">
        <is>
          <t>무제한</t>
        </is>
      </c>
      <c r="D673" s="47" t="inlineStr">
        <is>
          <t>무제한</t>
        </is>
      </c>
      <c r="E673" s="47" t="inlineStr">
        <is>
          <t>월 15GB + 1Mbps</t>
        </is>
      </c>
      <c r="F673" s="47" t="inlineStr">
        <is>
          <t>KT</t>
        </is>
      </c>
      <c r="G673" s="47" t="inlineStr">
        <is>
          <t>LTE</t>
        </is>
      </c>
      <c r="H673" s="48" t="n">
        <v>5500</v>
      </c>
      <c r="I673" s="48" t="n">
        <v>7</v>
      </c>
      <c r="J673" s="48" t="n">
        <v>29700</v>
      </c>
      <c r="K673" s="47">
        <f t="array" ref="K673">_xlfn.XLOOKUP(1,(참조!$B$2:$B$15=E673)*(참조!$D$2:$D$15=C673)*(참조!$E$2:$E$15=D673),참조!$C$2:$C$15,"")</f>
        <v/>
      </c>
    </row>
    <row r="674" hidden="1" s="27">
      <c r="A674" s="47" t="inlineStr">
        <is>
          <t>스마텔</t>
        </is>
      </c>
      <c r="B674" s="47" t="inlineStr">
        <is>
          <t>USIM 스위트 5G망(100분/10GB)</t>
        </is>
      </c>
      <c r="C674" s="47" t="inlineStr">
        <is>
          <t>100분</t>
        </is>
      </c>
      <c r="D674" s="47" t="inlineStr">
        <is>
          <t>100건</t>
        </is>
      </c>
      <c r="E674" s="47" t="inlineStr">
        <is>
          <t>월 10GB</t>
        </is>
      </c>
      <c r="F674" s="47" t="inlineStr">
        <is>
          <t>KT</t>
        </is>
      </c>
      <c r="G674" s="47" t="inlineStr">
        <is>
          <t>5G</t>
        </is>
      </c>
      <c r="H674" s="48" t="n">
        <v>90</v>
      </c>
      <c r="I674" s="48" t="n">
        <v>7</v>
      </c>
      <c r="J674" s="48" t="n">
        <v>15400</v>
      </c>
      <c r="K674" s="47">
        <f t="array" ref="K674">_xlfn.XLOOKUP(1,(참조!$B$2:$B$15=E674)*(참조!$D$2:$D$15=C674)*(참조!$E$2:$E$15=D674),참조!$C$2:$C$15,"")</f>
        <v/>
      </c>
    </row>
    <row r="675" hidden="1" s="27">
      <c r="A675" s="47" t="inlineStr">
        <is>
          <t>슈가모바일</t>
        </is>
      </c>
      <c r="B675" s="47" t="inlineStr">
        <is>
          <t>Sugar 7GB+ (12개월+)</t>
        </is>
      </c>
      <c r="C675" s="47" t="inlineStr">
        <is>
          <t>무제한</t>
        </is>
      </c>
      <c r="D675" s="47" t="inlineStr">
        <is>
          <t>무제한</t>
        </is>
      </c>
      <c r="E675" s="47" t="inlineStr">
        <is>
          <t>월 7GB + 1Mbps</t>
        </is>
      </c>
      <c r="F675" s="47" t="inlineStr">
        <is>
          <t>LG U+</t>
        </is>
      </c>
      <c r="G675" s="47" t="inlineStr">
        <is>
          <t>LTE</t>
        </is>
      </c>
      <c r="H675" s="48" t="n">
        <v>9900</v>
      </c>
      <c r="I675" s="48" t="n">
        <v>12</v>
      </c>
      <c r="J675" s="48" t="n">
        <v>24080</v>
      </c>
      <c r="K675" s="47">
        <f t="array" ref="K675">_xlfn.XLOOKUP(1,(참조!$B$2:$B$15=E675)*(참조!$D$2:$D$15=C675)*(참조!$E$2:$E$15=D675),참조!$C$2:$C$15,"")</f>
        <v/>
      </c>
    </row>
    <row r="676" hidden="1" s="27">
      <c r="A676" s="47" t="inlineStr">
        <is>
          <t>이야기모바일</t>
        </is>
      </c>
      <c r="B676" s="47" t="inlineStr">
        <is>
          <t>이야기S 폰케어 71GB+</t>
        </is>
      </c>
      <c r="C676" s="47" t="inlineStr">
        <is>
          <t>무제한</t>
        </is>
      </c>
      <c r="D676" s="47" t="inlineStr">
        <is>
          <t>무제한</t>
        </is>
      </c>
      <c r="E676" s="47" t="inlineStr">
        <is>
          <t>월 11GB + 매일 2GB + 3Mbps</t>
        </is>
      </c>
      <c r="F676" s="47" t="inlineStr">
        <is>
          <t>SKT</t>
        </is>
      </c>
      <c r="G676" s="47" t="inlineStr">
        <is>
          <t>LTE</t>
        </is>
      </c>
      <c r="H676" s="48" t="n">
        <v>14500</v>
      </c>
      <c r="I676" s="48" t="n">
        <v>7</v>
      </c>
      <c r="J676" s="48" t="n">
        <v>39600</v>
      </c>
      <c r="K676" s="47">
        <f t="array" ref="K676">_xlfn.XLOOKUP(1,(참조!$B$2:$B$15=E676)*(참조!$D$2:$D$15=C676)*(참조!$E$2:$E$15=D676),참조!$C$2:$C$15,"")</f>
        <v/>
      </c>
    </row>
    <row r="677" hidden="1" s="27">
      <c r="A677" s="47" t="inlineStr">
        <is>
          <t>더원모바일</t>
        </is>
      </c>
      <c r="B677" s="47" t="inlineStr">
        <is>
          <t>TOP 11GB 기본 (올리브영)</t>
        </is>
      </c>
      <c r="C677" s="47" t="inlineStr">
        <is>
          <t>무제한</t>
        </is>
      </c>
      <c r="D677" s="47" t="inlineStr">
        <is>
          <t>무제한</t>
        </is>
      </c>
      <c r="E677" s="47" t="inlineStr">
        <is>
          <t>월 11GB + 매일 2GB + 3Mbps</t>
        </is>
      </c>
      <c r="F677" s="47" t="inlineStr">
        <is>
          <t>KT</t>
        </is>
      </c>
      <c r="G677" s="47" t="inlineStr">
        <is>
          <t>LTE</t>
        </is>
      </c>
      <c r="H677" s="48" t="n">
        <v>9900</v>
      </c>
      <c r="I677" s="48" t="n">
        <v>7</v>
      </c>
      <c r="J677" s="48" t="n">
        <v>40700</v>
      </c>
      <c r="K677" s="47">
        <f t="array" ref="K677">_xlfn.XLOOKUP(1,(참조!$B$2:$B$15=E677)*(참조!$D$2:$D$15=C677)*(참조!$E$2:$E$15=D677),참조!$C$2:$C$15,"")</f>
        <v/>
      </c>
    </row>
    <row r="678" hidden="1" s="27">
      <c r="A678" s="47" t="inlineStr">
        <is>
          <t>고고모바일</t>
        </is>
      </c>
      <c r="B678" s="47" t="inlineStr">
        <is>
          <t>[모요only] 무제한 100GB+5M(매월 네이버페이5000P)</t>
        </is>
      </c>
      <c r="C678" s="47" t="inlineStr">
        <is>
          <t>무제한</t>
        </is>
      </c>
      <c r="D678" s="47" t="inlineStr">
        <is>
          <t>무제한</t>
        </is>
      </c>
      <c r="E678" s="47" t="inlineStr">
        <is>
          <t>월 100GB + 5Mbps</t>
        </is>
      </c>
      <c r="F678" s="47" t="inlineStr">
        <is>
          <t>KT</t>
        </is>
      </c>
      <c r="G678" s="47" t="inlineStr">
        <is>
          <t>LTE</t>
        </is>
      </c>
      <c r="H678" s="48" t="n">
        <v>18000</v>
      </c>
      <c r="I678" s="48" t="n">
        <v>7</v>
      </c>
      <c r="J678" s="48" t="n">
        <v>47300</v>
      </c>
      <c r="K678" s="47">
        <f t="array" ref="K678">_xlfn.XLOOKUP(1,(참조!$B$2:$B$15=E678)*(참조!$D$2:$D$15=C678)*(참조!$E$2:$E$15=D678),참조!$C$2:$C$15,"")</f>
        <v/>
      </c>
    </row>
    <row r="679" hidden="1" s="27">
      <c r="A679" s="47" t="inlineStr">
        <is>
          <t>이지모바일</t>
        </is>
      </c>
      <c r="B679" s="47" t="inlineStr">
        <is>
          <t>이지 데이터 4.5GB</t>
        </is>
      </c>
      <c r="C679" s="47" t="inlineStr">
        <is>
          <t>350분</t>
        </is>
      </c>
      <c r="D679" s="47" t="inlineStr">
        <is>
          <t>100건</t>
        </is>
      </c>
      <c r="E679" s="47" t="inlineStr">
        <is>
          <t>월 4.5GB</t>
        </is>
      </c>
      <c r="F679" s="47" t="inlineStr">
        <is>
          <t>LG U+</t>
        </is>
      </c>
      <c r="G679" s="47" t="inlineStr">
        <is>
          <t>LTE</t>
        </is>
      </c>
      <c r="H679" s="48" t="n">
        <v>10</v>
      </c>
      <c r="I679" s="48" t="n">
        <v>6</v>
      </c>
      <c r="J679" s="48" t="n">
        <v>15400</v>
      </c>
      <c r="K679" s="47">
        <f t="array" ref="K679">_xlfn.XLOOKUP(1,(참조!$B$2:$B$15=E679)*(참조!$D$2:$D$15=C679)*(참조!$E$2:$E$15=D679),참조!$C$2:$C$15,"")</f>
        <v/>
      </c>
    </row>
    <row r="680" hidden="1" s="27">
      <c r="A680" s="47" t="inlineStr">
        <is>
          <t>슈가모바일</t>
        </is>
      </c>
      <c r="B680" s="47" t="inlineStr">
        <is>
          <t>Sugar 세이브+(300분/10GB)</t>
        </is>
      </c>
      <c r="C680" s="47" t="inlineStr">
        <is>
          <t>300분</t>
        </is>
      </c>
      <c r="D680" s="47" t="inlineStr">
        <is>
          <t>100건</t>
        </is>
      </c>
      <c r="E680" s="47" t="inlineStr">
        <is>
          <t>월 10GB + 1Mbps</t>
        </is>
      </c>
      <c r="F680" s="47" t="inlineStr">
        <is>
          <t>LG U+</t>
        </is>
      </c>
      <c r="G680" s="47" t="inlineStr">
        <is>
          <t>LTE</t>
        </is>
      </c>
      <c r="H680" s="48" t="n">
        <v>1100</v>
      </c>
      <c r="I680" s="48" t="n">
        <v>6</v>
      </c>
      <c r="J680" s="48" t="n">
        <v>29700</v>
      </c>
      <c r="K680" s="47">
        <f t="array" ref="K680">_xlfn.XLOOKUP(1,(참조!$B$2:$B$15=E680)*(참조!$D$2:$D$15=C680)*(참조!$E$2:$E$15=D680),참조!$C$2:$C$15,"")</f>
        <v/>
      </c>
    </row>
    <row r="681" hidden="1" s="27">
      <c r="A681" s="47" t="inlineStr">
        <is>
          <t>이지모바일</t>
        </is>
      </c>
      <c r="B681" s="47" t="inlineStr">
        <is>
          <t>이지 더 오래쓰는 무제한 일5G+5</t>
        </is>
      </c>
      <c r="C681" s="47" t="inlineStr">
        <is>
          <t>무제한</t>
        </is>
      </c>
      <c r="D681" s="47" t="inlineStr">
        <is>
          <t>무제한</t>
        </is>
      </c>
      <c r="E681" s="47" t="inlineStr">
        <is>
          <t>매일 5GB + 5Mbps</t>
        </is>
      </c>
      <c r="F681" s="47" t="inlineStr">
        <is>
          <t>LG U+</t>
        </is>
      </c>
      <c r="G681" s="47" t="inlineStr">
        <is>
          <t>LTE</t>
        </is>
      </c>
      <c r="H681" s="48" t="n">
        <v>30250</v>
      </c>
      <c r="I681" s="48" t="n">
        <v>24</v>
      </c>
      <c r="J681" s="48" t="n">
        <v>46200</v>
      </c>
      <c r="K681" s="47">
        <f t="array" ref="K681">_xlfn.XLOOKUP(1,(참조!$B$2:$B$15=E681)*(참조!$D$2:$D$15=C681)*(참조!$E$2:$E$15=D681),참조!$C$2:$C$15,"")</f>
        <v/>
      </c>
    </row>
    <row r="682" hidden="1" s="27">
      <c r="A682" s="47" t="inlineStr">
        <is>
          <t>더원모바일</t>
        </is>
      </c>
      <c r="B682" s="47" t="inlineStr">
        <is>
          <t>TOP 100GB 기본 (올리브영)</t>
        </is>
      </c>
      <c r="C682" s="47" t="inlineStr">
        <is>
          <t>무제한</t>
        </is>
      </c>
      <c r="D682" s="47" t="inlineStr">
        <is>
          <t>무제한</t>
        </is>
      </c>
      <c r="E682" s="47" t="inlineStr">
        <is>
          <t>월 100GB + 5Mbps</t>
        </is>
      </c>
      <c r="F682" s="47" t="inlineStr">
        <is>
          <t>KT</t>
        </is>
      </c>
      <c r="G682" s="47" t="inlineStr">
        <is>
          <t>LTE</t>
        </is>
      </c>
      <c r="H682" s="48" t="n">
        <v>15070</v>
      </c>
      <c r="I682" s="48" t="n">
        <v>7</v>
      </c>
      <c r="J682" s="48" t="n">
        <v>46200</v>
      </c>
      <c r="K682" s="47">
        <f t="array" ref="K682">_xlfn.XLOOKUP(1,(참조!$B$2:$B$15=E682)*(참조!$D$2:$D$15=C682)*(참조!$E$2:$E$15=D682),참조!$C$2:$C$15,"")</f>
        <v/>
      </c>
    </row>
    <row r="683" hidden="1" s="27">
      <c r="A683" s="47" t="inlineStr">
        <is>
          <t>U+유모바일</t>
        </is>
      </c>
      <c r="B683" s="47" t="inlineStr">
        <is>
          <t>[평생할인] 5G 95GB+/통화기본</t>
        </is>
      </c>
      <c r="C683" s="47" t="inlineStr">
        <is>
          <t>무제한</t>
        </is>
      </c>
      <c r="D683" s="47" t="inlineStr">
        <is>
          <t>무제한</t>
        </is>
      </c>
      <c r="E683" s="47" t="inlineStr">
        <is>
          <t>월 95GB + 3Mbps</t>
        </is>
      </c>
      <c r="F683" s="47" t="inlineStr">
        <is>
          <t>LG U+</t>
        </is>
      </c>
      <c r="G683" s="47" t="inlineStr">
        <is>
          <t>5G</t>
        </is>
      </c>
      <c r="H683" s="48" t="n">
        <v>40900</v>
      </c>
      <c r="I683" s="48" t="n"/>
      <c r="J683" s="48" t="n"/>
      <c r="K683" s="47">
        <f t="array" ref="K683">_xlfn.XLOOKUP(1,(참조!$B$2:$B$15=E683)*(참조!$D$2:$D$15=C683)*(참조!$E$2:$E$15=D683),참조!$C$2:$C$15,"")</f>
        <v/>
      </c>
    </row>
    <row r="684" hidden="1" s="27">
      <c r="A684" s="47" t="inlineStr">
        <is>
          <t>인스모바일</t>
        </is>
      </c>
      <c r="B684" s="47" t="inlineStr">
        <is>
          <t>[평생할인]인스 유심 음성 100분+1GB</t>
        </is>
      </c>
      <c r="C684" s="47" t="inlineStr">
        <is>
          <t>100분</t>
        </is>
      </c>
      <c r="D684" s="47" t="inlineStr">
        <is>
          <t>50건</t>
        </is>
      </c>
      <c r="E684" s="47" t="inlineStr">
        <is>
          <t>월 1GB</t>
        </is>
      </c>
      <c r="F684" s="47" t="inlineStr">
        <is>
          <t>LG U+</t>
        </is>
      </c>
      <c r="G684" s="47" t="inlineStr">
        <is>
          <t>LTE</t>
        </is>
      </c>
      <c r="H684" s="48" t="n">
        <v>3300</v>
      </c>
      <c r="I684" s="48" t="n"/>
      <c r="J684" s="48" t="n"/>
      <c r="K684" s="47">
        <f t="array" ref="K684">_xlfn.XLOOKUP(1,(참조!$B$2:$B$15=E684)*(참조!$D$2:$D$15=C684)*(참조!$E$2:$E$15=D684),참조!$C$2:$C$15,"")</f>
        <v/>
      </c>
    </row>
    <row r="685" hidden="1" s="27">
      <c r="A685" s="47" t="inlineStr">
        <is>
          <t>티플러스</t>
        </is>
      </c>
      <c r="B685" s="47" t="inlineStr">
        <is>
          <t>가성비플러스(30GB/350분)</t>
        </is>
      </c>
      <c r="C685" s="47" t="inlineStr">
        <is>
          <t>350분</t>
        </is>
      </c>
      <c r="D685" s="47" t="inlineStr">
        <is>
          <t>100건</t>
        </is>
      </c>
      <c r="E685" s="47" t="inlineStr">
        <is>
          <t>월 30GB</t>
        </is>
      </c>
      <c r="F685" s="47" t="inlineStr">
        <is>
          <t>KT</t>
        </is>
      </c>
      <c r="G685" s="47" t="inlineStr">
        <is>
          <t>LTE</t>
        </is>
      </c>
      <c r="H685" s="48" t="n">
        <v>7900</v>
      </c>
      <c r="I685" s="48" t="n">
        <v>7</v>
      </c>
      <c r="J685" s="48" t="n">
        <v>39600</v>
      </c>
      <c r="K685" s="47">
        <f t="array" ref="K685">_xlfn.XLOOKUP(1,(참조!$B$2:$B$15=E685)*(참조!$D$2:$D$15=C685)*(참조!$E$2:$E$15=D685),참조!$C$2:$C$15,"")</f>
        <v/>
      </c>
    </row>
    <row r="686" hidden="1" s="27">
      <c r="A686" s="47" t="inlineStr">
        <is>
          <t>티플러스</t>
        </is>
      </c>
      <c r="B686" s="47" t="inlineStr">
        <is>
          <t>티플 올리브영 11GB+(매월 5000P)</t>
        </is>
      </c>
      <c r="C686" s="47" t="inlineStr">
        <is>
          <t>무제한</t>
        </is>
      </c>
      <c r="D686" s="47" t="inlineStr">
        <is>
          <t>무제한</t>
        </is>
      </c>
      <c r="E686" s="47" t="inlineStr">
        <is>
          <t>월 11GB + 매일 2GB + 3Mbps</t>
        </is>
      </c>
      <c r="F686" s="47" t="inlineStr">
        <is>
          <t>SKT</t>
        </is>
      </c>
      <c r="G686" s="47" t="inlineStr">
        <is>
          <t>LTE</t>
        </is>
      </c>
      <c r="H686" s="48" t="n">
        <v>9900</v>
      </c>
      <c r="I686" s="48" t="n">
        <v>7</v>
      </c>
      <c r="J686" s="48" t="n">
        <v>42900</v>
      </c>
      <c r="K686" s="47">
        <f t="array" ref="K686">_xlfn.XLOOKUP(1,(참조!$B$2:$B$15=E686)*(참조!$D$2:$D$15=C686)*(참조!$E$2:$E$15=D686),참조!$C$2:$C$15,"")</f>
        <v/>
      </c>
    </row>
    <row r="687" hidden="1" s="27">
      <c r="A687" s="47" t="inlineStr">
        <is>
          <t>위너스텔</t>
        </is>
      </c>
      <c r="B687" s="47" t="inlineStr">
        <is>
          <t>WELL ON 비디오</t>
        </is>
      </c>
      <c r="C687" s="47" t="inlineStr">
        <is>
          <t>무제한</t>
        </is>
      </c>
      <c r="D687" s="47" t="inlineStr">
        <is>
          <t>무제한</t>
        </is>
      </c>
      <c r="E687" s="47" t="inlineStr">
        <is>
          <t>월 100GB + 5Mbps</t>
        </is>
      </c>
      <c r="F687" s="47" t="inlineStr">
        <is>
          <t>KT</t>
        </is>
      </c>
      <c r="G687" s="47" t="inlineStr">
        <is>
          <t>LTE</t>
        </is>
      </c>
      <c r="H687" s="48" t="n">
        <v>42900</v>
      </c>
      <c r="I687" s="48" t="n"/>
      <c r="J687" s="48" t="n"/>
      <c r="K687" s="47">
        <f t="array" ref="K687">_xlfn.XLOOKUP(1,(참조!$B$2:$B$15=E687)*(참조!$D$2:$D$15=C687)*(참조!$E$2:$E$15=D687),참조!$C$2:$C$15,"")</f>
        <v/>
      </c>
    </row>
    <row r="688" hidden="1" s="27">
      <c r="A688" s="47" t="inlineStr">
        <is>
          <t>이지모바일</t>
        </is>
      </c>
      <c r="B688" s="47" t="inlineStr">
        <is>
          <t>이지 무한 100GB+5</t>
        </is>
      </c>
      <c r="C688" s="47" t="inlineStr">
        <is>
          <t>무제한</t>
        </is>
      </c>
      <c r="D688" s="47" t="inlineStr">
        <is>
          <t>무제한</t>
        </is>
      </c>
      <c r="E688" s="47" t="inlineStr">
        <is>
          <t>월 100GB + 5Mbps</t>
        </is>
      </c>
      <c r="F688" s="47" t="inlineStr">
        <is>
          <t>LG U+</t>
        </is>
      </c>
      <c r="G688" s="47" t="inlineStr">
        <is>
          <t>LTE</t>
        </is>
      </c>
      <c r="H688" s="48" t="n">
        <v>15950</v>
      </c>
      <c r="I688" s="48" t="n">
        <v>7</v>
      </c>
      <c r="J688" s="48" t="n">
        <v>46200</v>
      </c>
      <c r="K688" s="47">
        <f t="array" ref="K688">_xlfn.XLOOKUP(1,(참조!$B$2:$B$15=E688)*(참조!$D$2:$D$15=C688)*(참조!$E$2:$E$15=D688),참조!$C$2:$C$15,"")</f>
        <v/>
      </c>
    </row>
    <row r="689" hidden="1" s="27">
      <c r="A689" s="47" t="inlineStr">
        <is>
          <t>티플러스</t>
        </is>
      </c>
      <c r="B689" s="47" t="inlineStr">
        <is>
          <t>티플 15G＋(300분)_24개월 할인</t>
        </is>
      </c>
      <c r="C689" s="47" t="inlineStr">
        <is>
          <t>300분</t>
        </is>
      </c>
      <c r="D689" s="47" t="inlineStr">
        <is>
          <t>300건</t>
        </is>
      </c>
      <c r="E689" s="47" t="inlineStr">
        <is>
          <t>월 15GB + 3Mbps</t>
        </is>
      </c>
      <c r="F689" s="47" t="inlineStr">
        <is>
          <t>LG U+</t>
        </is>
      </c>
      <c r="G689" s="47" t="inlineStr">
        <is>
          <t>LTE</t>
        </is>
      </c>
      <c r="H689" s="48" t="n">
        <v>20900</v>
      </c>
      <c r="I689" s="48" t="n">
        <v>24</v>
      </c>
      <c r="J689" s="48" t="n">
        <v>33000</v>
      </c>
      <c r="K689" s="47">
        <f t="array" ref="K689">_xlfn.XLOOKUP(1,(참조!$B$2:$B$15=E689)*(참조!$D$2:$D$15=C689)*(참조!$E$2:$E$15=D689),참조!$C$2:$C$15,"")</f>
        <v/>
      </c>
    </row>
    <row r="690" hidden="1" s="27">
      <c r="A690" s="47" t="inlineStr">
        <is>
          <t>이지모바일</t>
        </is>
      </c>
      <c r="B690" s="47" t="inlineStr">
        <is>
          <t>이지 데이터 15G+1/300분</t>
        </is>
      </c>
      <c r="C690" s="47" t="inlineStr">
        <is>
          <t>300분</t>
        </is>
      </c>
      <c r="D690" s="47" t="inlineStr">
        <is>
          <t>300건</t>
        </is>
      </c>
      <c r="E690" s="47" t="inlineStr">
        <is>
          <t>월 15GB + 1Mbps</t>
        </is>
      </c>
      <c r="F690" s="47" t="inlineStr">
        <is>
          <t>LG U+</t>
        </is>
      </c>
      <c r="G690" s="47" t="inlineStr">
        <is>
          <t>5G</t>
        </is>
      </c>
      <c r="H690" s="48" t="n">
        <v>5830</v>
      </c>
      <c r="I690" s="48" t="n">
        <v>6</v>
      </c>
      <c r="J690" s="48" t="n">
        <v>26400</v>
      </c>
      <c r="K690" s="47">
        <f t="array" ref="K690">_xlfn.XLOOKUP(1,(참조!$B$2:$B$15=E690)*(참조!$D$2:$D$15=C690)*(참조!$E$2:$E$15=D690),참조!$C$2:$C$15,"")</f>
        <v/>
      </c>
    </row>
    <row r="691" hidden="1" s="27">
      <c r="A691" s="47" t="inlineStr">
        <is>
          <t>고고모바일</t>
        </is>
      </c>
      <c r="B691" s="47" t="inlineStr">
        <is>
          <t>고고100분/5GB+1Mbps</t>
        </is>
      </c>
      <c r="C691" s="47" t="inlineStr">
        <is>
          <t>100분</t>
        </is>
      </c>
      <c r="D691" s="47" t="inlineStr">
        <is>
          <t>100건</t>
        </is>
      </c>
      <c r="E691" s="47" t="inlineStr">
        <is>
          <t>월 5GB + 1Mbps</t>
        </is>
      </c>
      <c r="F691" s="47" t="inlineStr">
        <is>
          <t>KT</t>
        </is>
      </c>
      <c r="G691" s="47" t="inlineStr">
        <is>
          <t>LTE</t>
        </is>
      </c>
      <c r="H691" s="48" t="n">
        <v>10890</v>
      </c>
      <c r="I691" s="48" t="n"/>
      <c r="J691" s="48" t="n"/>
      <c r="K691" s="47">
        <f t="array" ref="K691">_xlfn.XLOOKUP(1,(참조!$B$2:$B$15=E691)*(참조!$D$2:$D$15=C691)*(참조!$E$2:$E$15=D691),참조!$C$2:$C$15,"")</f>
        <v/>
      </c>
    </row>
    <row r="692" hidden="1" s="27">
      <c r="A692" s="47" t="inlineStr">
        <is>
          <t>고고모바일</t>
        </is>
      </c>
      <c r="B692" s="47" t="inlineStr">
        <is>
          <t>[모요only] 5G 200분/12GB_12개월</t>
        </is>
      </c>
      <c r="C692" s="47" t="inlineStr">
        <is>
          <t>200분</t>
        </is>
      </c>
      <c r="D692" s="47" t="inlineStr">
        <is>
          <t>100건</t>
        </is>
      </c>
      <c r="E692" s="47" t="inlineStr">
        <is>
          <t>월 12GB</t>
        </is>
      </c>
      <c r="F692" s="47" t="inlineStr">
        <is>
          <t>KT</t>
        </is>
      </c>
      <c r="G692" s="47" t="inlineStr">
        <is>
          <t>5G</t>
        </is>
      </c>
      <c r="H692" s="48" t="n">
        <v>6600</v>
      </c>
      <c r="I692" s="48" t="n">
        <v>12</v>
      </c>
      <c r="J692" s="48" t="n">
        <v>22000</v>
      </c>
      <c r="K692" s="47">
        <f t="array" ref="K692">_xlfn.XLOOKUP(1,(참조!$B$2:$B$15=E692)*(참조!$D$2:$D$15=C692)*(참조!$E$2:$E$15=D692),참조!$C$2:$C$15,"")</f>
        <v/>
      </c>
    </row>
    <row r="693" hidden="1" s="27">
      <c r="A693" s="47" t="inlineStr">
        <is>
          <t>이야기모바일</t>
        </is>
      </c>
      <c r="B693" s="47" t="inlineStr">
        <is>
          <t>내맘대로 (50분+500MB)</t>
        </is>
      </c>
      <c r="C693" s="47" t="inlineStr">
        <is>
          <t>50분</t>
        </is>
      </c>
      <c r="D693" s="47" t="inlineStr">
        <is>
          <t>50건</t>
        </is>
      </c>
      <c r="E693" s="47" t="inlineStr">
        <is>
          <t>월 500MB</t>
        </is>
      </c>
      <c r="F693" s="47" t="inlineStr">
        <is>
          <t>LG U+</t>
        </is>
      </c>
      <c r="G693" s="47" t="inlineStr">
        <is>
          <t>LTE</t>
        </is>
      </c>
      <c r="H693" s="48" t="n">
        <v>3300</v>
      </c>
      <c r="I693" s="48" t="n">
        <v>12</v>
      </c>
      <c r="J693" s="48" t="n">
        <v>4950</v>
      </c>
      <c r="K693" s="47">
        <f t="array" ref="K693">_xlfn.XLOOKUP(1,(참조!$B$2:$B$15=E693)*(참조!$D$2:$D$15=C693)*(참조!$E$2:$E$15=D693),참조!$C$2:$C$15,"")</f>
        <v/>
      </c>
    </row>
    <row r="694" hidden="1" s="27">
      <c r="A694" s="47" t="inlineStr">
        <is>
          <t>U+유모바일</t>
        </is>
      </c>
      <c r="B694" s="47" t="inlineStr">
        <is>
          <t>교보문고 북 플러스알파 4.5GB+</t>
        </is>
      </c>
      <c r="C694" s="47" t="inlineStr">
        <is>
          <t>무제한</t>
        </is>
      </c>
      <c r="D694" s="47" t="inlineStr">
        <is>
          <t>무제한</t>
        </is>
      </c>
      <c r="E694" s="47" t="inlineStr">
        <is>
          <t>월 4.5GB + 1Mbps</t>
        </is>
      </c>
      <c r="F694" s="47" t="inlineStr">
        <is>
          <t>LG U+</t>
        </is>
      </c>
      <c r="G694" s="47" t="inlineStr">
        <is>
          <t>LTE</t>
        </is>
      </c>
      <c r="H694" s="48" t="n">
        <v>15400</v>
      </c>
      <c r="I694" s="48" t="n"/>
      <c r="J694" s="48" t="n"/>
      <c r="K694" s="47">
        <f t="array" ref="K694">_xlfn.XLOOKUP(1,(참조!$B$2:$B$15=E694)*(참조!$D$2:$D$15=C694)*(참조!$E$2:$E$15=D694),참조!$C$2:$C$15,"")</f>
        <v/>
      </c>
    </row>
    <row r="695" hidden="1" s="27">
      <c r="A695" s="47" t="inlineStr">
        <is>
          <t>KT스카이라이프</t>
        </is>
      </c>
      <c r="B695" s="47" t="inlineStr">
        <is>
          <t>모두 충분 100GB+(지니뮤직)</t>
        </is>
      </c>
      <c r="C695" s="47" t="inlineStr">
        <is>
          <t>무제한</t>
        </is>
      </c>
      <c r="D695" s="47" t="inlineStr">
        <is>
          <t>무제한</t>
        </is>
      </c>
      <c r="E695" s="47" t="inlineStr">
        <is>
          <t>월 100GB + 5Mbps</t>
        </is>
      </c>
      <c r="F695" s="47" t="inlineStr">
        <is>
          <t>KT</t>
        </is>
      </c>
      <c r="G695" s="47" t="inlineStr">
        <is>
          <t>LTE</t>
        </is>
      </c>
      <c r="H695" s="48" t="n">
        <v>42300</v>
      </c>
      <c r="I695" s="48" t="n"/>
      <c r="J695" s="48" t="n"/>
      <c r="K695" s="47">
        <f t="array" ref="K695">_xlfn.XLOOKUP(1,(참조!$B$2:$B$15=E695)*(참조!$D$2:$D$15=C695)*(참조!$E$2:$E$15=D695),참조!$C$2:$C$15,"")</f>
        <v/>
      </c>
    </row>
    <row r="696" hidden="1" s="27">
      <c r="A696" s="47" t="inlineStr">
        <is>
          <t>이지모바일</t>
        </is>
      </c>
      <c r="B696" s="47" t="inlineStr">
        <is>
          <t>이지 더 오래쓰는 무제한 100G+5</t>
        </is>
      </c>
      <c r="C696" s="47" t="inlineStr">
        <is>
          <t>무제한</t>
        </is>
      </c>
      <c r="D696" s="47" t="inlineStr">
        <is>
          <t>무제한</t>
        </is>
      </c>
      <c r="E696" s="47" t="inlineStr">
        <is>
          <t>월 100GB + 5Mbps</t>
        </is>
      </c>
      <c r="F696" s="47" t="inlineStr">
        <is>
          <t>LG U+</t>
        </is>
      </c>
      <c r="G696" s="47" t="inlineStr">
        <is>
          <t>LTE</t>
        </is>
      </c>
      <c r="H696" s="48" t="n">
        <v>30250</v>
      </c>
      <c r="I696" s="48" t="n">
        <v>24</v>
      </c>
      <c r="J696" s="48" t="n">
        <v>46200</v>
      </c>
      <c r="K696" s="47">
        <f t="array" ref="K696">_xlfn.XLOOKUP(1,(참조!$B$2:$B$15=E696)*(참조!$D$2:$D$15=C696)*(참조!$E$2:$E$15=D696),참조!$C$2:$C$15,"")</f>
        <v/>
      </c>
    </row>
    <row r="697" hidden="1" s="27">
      <c r="A697" s="47" t="inlineStr">
        <is>
          <t>모나</t>
        </is>
      </c>
      <c r="B697" s="47" t="inlineStr">
        <is>
          <t>편의점_데이터11G+일2G</t>
        </is>
      </c>
      <c r="C697" s="47" t="inlineStr">
        <is>
          <t>무제한</t>
        </is>
      </c>
      <c r="D697" s="47" t="inlineStr">
        <is>
          <t>무제한</t>
        </is>
      </c>
      <c r="E697" s="47" t="inlineStr">
        <is>
          <t>월 11GB + 매일 2GB + 3Mbps</t>
        </is>
      </c>
      <c r="F697" s="47" t="inlineStr">
        <is>
          <t>LG U+</t>
        </is>
      </c>
      <c r="G697" s="47" t="inlineStr">
        <is>
          <t>LTE</t>
        </is>
      </c>
      <c r="H697" s="48" t="n">
        <v>29500</v>
      </c>
      <c r="I697" s="48" t="n">
        <v>24</v>
      </c>
      <c r="J697" s="48" t="n">
        <v>44000</v>
      </c>
      <c r="K697" s="47">
        <f t="array" ref="K697">_xlfn.XLOOKUP(1,(참조!$B$2:$B$15=E697)*(참조!$D$2:$D$15=C697)*(참조!$E$2:$E$15=D697),참조!$C$2:$C$15,"")</f>
        <v/>
      </c>
    </row>
    <row r="698" hidden="1" s="27">
      <c r="A698" s="47" t="inlineStr">
        <is>
          <t>이야기모바일</t>
        </is>
      </c>
      <c r="B698" s="47" t="inlineStr">
        <is>
          <t>이야기 스탠다드 100분15GB+(24개월)</t>
        </is>
      </c>
      <c r="C698" s="47" t="inlineStr">
        <is>
          <t>100분</t>
        </is>
      </c>
      <c r="D698" s="47" t="inlineStr">
        <is>
          <t>100건</t>
        </is>
      </c>
      <c r="E698" s="47" t="inlineStr">
        <is>
          <t>월 15GB + 3Mbps</t>
        </is>
      </c>
      <c r="F698" s="47" t="inlineStr">
        <is>
          <t>LG U+</t>
        </is>
      </c>
      <c r="G698" s="47" t="inlineStr">
        <is>
          <t>LTE</t>
        </is>
      </c>
      <c r="H698" s="48" t="n">
        <v>21000</v>
      </c>
      <c r="I698" s="48" t="n">
        <v>24</v>
      </c>
      <c r="J698" s="48" t="n">
        <v>31900</v>
      </c>
      <c r="K698" s="47">
        <f t="array" ref="K698">_xlfn.XLOOKUP(1,(참조!$B$2:$B$15=E698)*(참조!$D$2:$D$15=C698)*(참조!$E$2:$E$15=D698),참조!$C$2:$C$15,"")</f>
        <v/>
      </c>
    </row>
    <row r="699" hidden="1" s="27">
      <c r="A699" s="47" t="inlineStr">
        <is>
          <t>KT스카이라이프</t>
        </is>
      </c>
      <c r="B699" s="47" t="inlineStr">
        <is>
          <t>모두 충분 7GB+(다이소_5000)</t>
        </is>
      </c>
      <c r="C699" s="47" t="inlineStr">
        <is>
          <t>무제한</t>
        </is>
      </c>
      <c r="D699" s="47" t="inlineStr">
        <is>
          <t>무제한</t>
        </is>
      </c>
      <c r="E699" s="47" t="inlineStr">
        <is>
          <t>월 7GB + 1Mbps</t>
        </is>
      </c>
      <c r="F699" s="47" t="inlineStr">
        <is>
          <t>KT</t>
        </is>
      </c>
      <c r="G699" s="47" t="inlineStr">
        <is>
          <t>LTE</t>
        </is>
      </c>
      <c r="H699" s="48" t="n">
        <v>19000</v>
      </c>
      <c r="I699" s="48" t="n"/>
      <c r="J699" s="48" t="n"/>
      <c r="K699" s="47">
        <f t="array" ref="K699">_xlfn.XLOOKUP(1,(참조!$B$2:$B$15=E699)*(참조!$D$2:$D$15=C699)*(참조!$E$2:$E$15=D699),참조!$C$2:$C$15,"")</f>
        <v/>
      </c>
    </row>
    <row r="700" hidden="1" s="27">
      <c r="A700" s="47" t="inlineStr">
        <is>
          <t>이야기모바일</t>
        </is>
      </c>
      <c r="B700" s="47" t="inlineStr">
        <is>
          <t>내맘대로S(200+6GB)</t>
        </is>
      </c>
      <c r="C700" s="47" t="inlineStr">
        <is>
          <t>200분</t>
        </is>
      </c>
      <c r="D700" s="47" t="inlineStr">
        <is>
          <t>200건</t>
        </is>
      </c>
      <c r="E700" s="47" t="inlineStr">
        <is>
          <t>월 6GB</t>
        </is>
      </c>
      <c r="F700" s="47" t="inlineStr">
        <is>
          <t>SKT</t>
        </is>
      </c>
      <c r="G700" s="47" t="inlineStr">
        <is>
          <t>LTE</t>
        </is>
      </c>
      <c r="H700" s="48" t="n">
        <v>1500</v>
      </c>
      <c r="I700" s="48" t="n">
        <v>12</v>
      </c>
      <c r="J700" s="48" t="n">
        <v>4400</v>
      </c>
      <c r="K700" s="47">
        <f t="array" ref="K700">_xlfn.XLOOKUP(1,(참조!$B$2:$B$15=E700)*(참조!$D$2:$D$15=C700)*(참조!$E$2:$E$15=D700),참조!$C$2:$C$15,"")</f>
        <v/>
      </c>
    </row>
    <row r="701" hidden="1" s="27">
      <c r="A701" s="47" t="inlineStr">
        <is>
          <t>슈가모바일</t>
        </is>
      </c>
      <c r="B701" s="47" t="inlineStr">
        <is>
          <t>슈가X윌라 7GB+</t>
        </is>
      </c>
      <c r="C701" s="47" t="inlineStr">
        <is>
          <t>무제한</t>
        </is>
      </c>
      <c r="D701" s="47" t="inlineStr">
        <is>
          <t>무제한</t>
        </is>
      </c>
      <c r="E701" s="47" t="inlineStr">
        <is>
          <t>월 7GB + 1Mbps</t>
        </is>
      </c>
      <c r="F701" s="47" t="inlineStr">
        <is>
          <t>LG U+</t>
        </is>
      </c>
      <c r="G701" s="47" t="inlineStr">
        <is>
          <t>LTE</t>
        </is>
      </c>
      <c r="H701" s="48" t="n">
        <v>12500</v>
      </c>
      <c r="I701" s="48" t="n">
        <v>24</v>
      </c>
      <c r="J701" s="48" t="n">
        <v>27000</v>
      </c>
      <c r="K701" s="47">
        <f t="array" ref="K701">_xlfn.XLOOKUP(1,(참조!$B$2:$B$15=E701)*(참조!$D$2:$D$15=C701)*(참조!$E$2:$E$15=D701),참조!$C$2:$C$15,"")</f>
        <v/>
      </c>
    </row>
    <row r="702" hidden="1" s="27">
      <c r="A702" s="47" t="inlineStr">
        <is>
          <t>쉐이크모바일</t>
        </is>
      </c>
      <c r="B702" s="47" t="inlineStr">
        <is>
          <t>[모요only] 쉐이크 LTE 7GB+_밀리의서재</t>
        </is>
      </c>
      <c r="C702" s="47" t="inlineStr">
        <is>
          <t>무제한</t>
        </is>
      </c>
      <c r="D702" s="47" t="inlineStr">
        <is>
          <t>무제한</t>
        </is>
      </c>
      <c r="E702" s="47" t="inlineStr">
        <is>
          <t>월 7GB + 1Mbps</t>
        </is>
      </c>
      <c r="F702" s="47" t="inlineStr">
        <is>
          <t>KT</t>
        </is>
      </c>
      <c r="G702" s="47" t="inlineStr">
        <is>
          <t>LTE</t>
        </is>
      </c>
      <c r="H702" s="48" t="n">
        <v>13000</v>
      </c>
      <c r="I702" s="48" t="n">
        <v>12</v>
      </c>
      <c r="J702" s="48" t="n">
        <v>23100</v>
      </c>
      <c r="K702" s="47">
        <f t="array" ref="K702">_xlfn.XLOOKUP(1,(참조!$B$2:$B$15=E702)*(참조!$D$2:$D$15=C702)*(참조!$E$2:$E$15=D702),참조!$C$2:$C$15,"")</f>
        <v/>
      </c>
    </row>
    <row r="703" hidden="1" s="27">
      <c r="A703" s="47" t="inlineStr">
        <is>
          <t>KT스카이라이프</t>
        </is>
      </c>
      <c r="B703" s="47" t="inlineStr">
        <is>
          <t>모두 충분 7GB+(Pay_5000)</t>
        </is>
      </c>
      <c r="C703" s="47" t="inlineStr">
        <is>
          <t>무제한</t>
        </is>
      </c>
      <c r="D703" s="47" t="inlineStr">
        <is>
          <t>무제한</t>
        </is>
      </c>
      <c r="E703" s="47" t="inlineStr">
        <is>
          <t>월 7GB + 1Mbps</t>
        </is>
      </c>
      <c r="F703" s="47" t="inlineStr">
        <is>
          <t>KT</t>
        </is>
      </c>
      <c r="G703" s="47" t="inlineStr">
        <is>
          <t>LTE</t>
        </is>
      </c>
      <c r="H703" s="48" t="n">
        <v>19000</v>
      </c>
      <c r="I703" s="48" t="n"/>
      <c r="J703" s="48" t="n"/>
      <c r="K703" s="47">
        <f t="array" ref="K703">_xlfn.XLOOKUP(1,(참조!$B$2:$B$15=E703)*(참조!$D$2:$D$15=C703)*(참조!$E$2:$E$15=D703),참조!$C$2:$C$15,"")</f>
        <v/>
      </c>
    </row>
    <row r="704" hidden="1" s="27">
      <c r="A704" s="47" t="inlineStr">
        <is>
          <t>KT스카이라이프</t>
        </is>
      </c>
      <c r="B704" s="47" t="inlineStr">
        <is>
          <t>모두 충분 10GB+(밀리의서재)</t>
        </is>
      </c>
      <c r="C704" s="47" t="inlineStr">
        <is>
          <t>무제한</t>
        </is>
      </c>
      <c r="D704" s="47" t="inlineStr">
        <is>
          <t>무제한</t>
        </is>
      </c>
      <c r="E704" s="47" t="inlineStr">
        <is>
          <t>월 10GB + 1Mbps</t>
        </is>
      </c>
      <c r="F704" s="47" t="inlineStr">
        <is>
          <t>KT</t>
        </is>
      </c>
      <c r="G704" s="47" t="inlineStr">
        <is>
          <t>LTE</t>
        </is>
      </c>
      <c r="H704" s="48" t="n">
        <v>19400</v>
      </c>
      <c r="I704" s="48" t="n"/>
      <c r="J704" s="48" t="n"/>
      <c r="K704" s="47">
        <f t="array" ref="K704">_xlfn.XLOOKUP(1,(참조!$B$2:$B$15=E704)*(참조!$D$2:$D$15=C704)*(참조!$E$2:$E$15=D704),참조!$C$2:$C$15,"")</f>
        <v/>
      </c>
    </row>
    <row r="705" hidden="1" s="27">
      <c r="A705" s="47" t="inlineStr">
        <is>
          <t>티플러스</t>
        </is>
      </c>
      <c r="B705" s="47" t="inlineStr">
        <is>
          <t>5G 티플 10GB＋(300분)</t>
        </is>
      </c>
      <c r="C705" s="47" t="inlineStr">
        <is>
          <t>300분</t>
        </is>
      </c>
      <c r="D705" s="47" t="inlineStr">
        <is>
          <t>100건</t>
        </is>
      </c>
      <c r="E705" s="47" t="inlineStr">
        <is>
          <t>월 10GB + 1Mbps</t>
        </is>
      </c>
      <c r="F705" s="47" t="inlineStr">
        <is>
          <t>LG U+</t>
        </is>
      </c>
      <c r="G705" s="47" t="inlineStr">
        <is>
          <t>5G</t>
        </is>
      </c>
      <c r="H705" s="48" t="n">
        <v>1900</v>
      </c>
      <c r="I705" s="48" t="n">
        <v>6</v>
      </c>
      <c r="J705" s="48" t="n">
        <v>24200</v>
      </c>
      <c r="K705" s="47">
        <f t="array" ref="K705">_xlfn.XLOOKUP(1,(참조!$B$2:$B$15=E705)*(참조!$D$2:$D$15=C705)*(참조!$E$2:$E$15=D705),참조!$C$2:$C$15,"")</f>
        <v/>
      </c>
    </row>
    <row r="706" hidden="1" s="27">
      <c r="A706" s="47" t="inlineStr">
        <is>
          <t>스마텔</t>
        </is>
      </c>
      <c r="B706" s="47" t="inlineStr">
        <is>
          <t>USIM 스위트 5G망(500분/10GB)</t>
        </is>
      </c>
      <c r="C706" s="47" t="inlineStr">
        <is>
          <t>500분</t>
        </is>
      </c>
      <c r="D706" s="47" t="inlineStr">
        <is>
          <t>100건</t>
        </is>
      </c>
      <c r="E706" s="47" t="inlineStr">
        <is>
          <t>월 10GB</t>
        </is>
      </c>
      <c r="F706" s="47" t="inlineStr">
        <is>
          <t>KT</t>
        </is>
      </c>
      <c r="G706" s="47" t="inlineStr">
        <is>
          <t>5G</t>
        </is>
      </c>
      <c r="H706" s="48" t="n">
        <v>900</v>
      </c>
      <c r="I706" s="48" t="n">
        <v>7</v>
      </c>
      <c r="J706" s="48" t="n">
        <v>20900</v>
      </c>
      <c r="K706" s="47">
        <f t="array" ref="K706">_xlfn.XLOOKUP(1,(참조!$B$2:$B$15=E706)*(참조!$D$2:$D$15=C706)*(참조!$E$2:$E$15=D706),참조!$C$2:$C$15,"")</f>
        <v/>
      </c>
    </row>
    <row r="707" hidden="1" s="27">
      <c r="A707" s="47" t="inlineStr">
        <is>
          <t>모나</t>
        </is>
      </c>
      <c r="B707" s="47" t="inlineStr">
        <is>
          <t>수다맘껏데이터7G+</t>
        </is>
      </c>
      <c r="C707" s="47" t="inlineStr">
        <is>
          <t>무제한</t>
        </is>
      </c>
      <c r="D707" s="47" t="inlineStr">
        <is>
          <t>무제한</t>
        </is>
      </c>
      <c r="E707" s="47" t="inlineStr">
        <is>
          <t>월 7GB + 1Mbps</t>
        </is>
      </c>
      <c r="F707" s="47" t="inlineStr">
        <is>
          <t>LG U+</t>
        </is>
      </c>
      <c r="G707" s="47" t="inlineStr">
        <is>
          <t>LTE</t>
        </is>
      </c>
      <c r="H707" s="48" t="n">
        <v>10900</v>
      </c>
      <c r="I707" s="48" t="n">
        <v>12</v>
      </c>
      <c r="J707" s="48" t="n">
        <v>22000</v>
      </c>
      <c r="K707" s="47">
        <f t="array" ref="K707">_xlfn.XLOOKUP(1,(참조!$B$2:$B$15=E707)*(참조!$D$2:$D$15=C707)*(참조!$E$2:$E$15=D707),참조!$C$2:$C$15,"")</f>
        <v/>
      </c>
    </row>
    <row r="708" hidden="1" s="27">
      <c r="A708" s="47" t="inlineStr">
        <is>
          <t>슈가모바일</t>
        </is>
      </c>
      <c r="B708" s="47" t="inlineStr">
        <is>
          <t>5G 슈가X윌라 95G+</t>
        </is>
      </c>
      <c r="C708" s="47" t="inlineStr">
        <is>
          <t>무제한</t>
        </is>
      </c>
      <c r="D708" s="47" t="inlineStr">
        <is>
          <t>무제한</t>
        </is>
      </c>
      <c r="E708" s="47" t="inlineStr">
        <is>
          <t>월 95GB + 3Mbps</t>
        </is>
      </c>
      <c r="F708" s="47" t="inlineStr">
        <is>
          <t>LG U+</t>
        </is>
      </c>
      <c r="G708" s="47" t="inlineStr">
        <is>
          <t>5G</t>
        </is>
      </c>
      <c r="H708" s="48" t="n">
        <v>29500</v>
      </c>
      <c r="I708" s="48" t="n">
        <v>24</v>
      </c>
      <c r="J708" s="48" t="n">
        <v>52000</v>
      </c>
      <c r="K708" s="47">
        <f t="array" ref="K708">_xlfn.XLOOKUP(1,(참조!$B$2:$B$15=E708)*(참조!$D$2:$D$15=C708)*(참조!$E$2:$E$15=D708),참조!$C$2:$C$15,"")</f>
        <v/>
      </c>
    </row>
    <row r="709" hidden="1" s="27">
      <c r="A709" s="47" t="inlineStr">
        <is>
          <t>티플러스</t>
        </is>
      </c>
      <c r="B709" s="47" t="inlineStr">
        <is>
          <t>티플 11GB+(이디야커피)</t>
        </is>
      </c>
      <c r="C709" s="47" t="inlineStr">
        <is>
          <t>무제한</t>
        </is>
      </c>
      <c r="D709" s="47" t="inlineStr">
        <is>
          <t>무제한</t>
        </is>
      </c>
      <c r="E709" s="47" t="inlineStr">
        <is>
          <t>월 11GB + 매일 2GB + 3Mbps</t>
        </is>
      </c>
      <c r="F709" s="47" t="inlineStr">
        <is>
          <t>SKT</t>
        </is>
      </c>
      <c r="G709" s="47" t="inlineStr">
        <is>
          <t>LTE</t>
        </is>
      </c>
      <c r="H709" s="48" t="n">
        <v>9900</v>
      </c>
      <c r="I709" s="48" t="n">
        <v>7</v>
      </c>
      <c r="J709" s="48" t="n">
        <v>48400</v>
      </c>
      <c r="K709" s="47">
        <f t="array" ref="K709">_xlfn.XLOOKUP(1,(참조!$B$2:$B$15=E709)*(참조!$D$2:$D$15=C709)*(참조!$E$2:$E$15=D709),참조!$C$2:$C$15,"")</f>
        <v/>
      </c>
    </row>
    <row r="710" hidden="1" s="27">
      <c r="A710" s="47" t="inlineStr">
        <is>
          <t>인스모바일</t>
        </is>
      </c>
      <c r="B710" s="47" t="inlineStr">
        <is>
          <t>[12개월]인스 유심 올프리 7GB+</t>
        </is>
      </c>
      <c r="C710" s="47" t="inlineStr">
        <is>
          <t>무제한</t>
        </is>
      </c>
      <c r="D710" s="47" t="inlineStr">
        <is>
          <t>무제한</t>
        </is>
      </c>
      <c r="E710" s="47" t="inlineStr">
        <is>
          <t>월 7GB + 1Mbps</t>
        </is>
      </c>
      <c r="F710" s="47" t="inlineStr">
        <is>
          <t>LG U+</t>
        </is>
      </c>
      <c r="G710" s="47" t="inlineStr">
        <is>
          <t>LTE</t>
        </is>
      </c>
      <c r="H710" s="48" t="n">
        <v>12650</v>
      </c>
      <c r="I710" s="48" t="n">
        <v>12</v>
      </c>
      <c r="J710" s="48" t="n">
        <v>25850</v>
      </c>
      <c r="K710" s="47">
        <f t="array" ref="K710">_xlfn.XLOOKUP(1,(참조!$B$2:$B$15=E710)*(참조!$D$2:$D$15=C710)*(참조!$E$2:$E$15=D710),참조!$C$2:$C$15,"")</f>
        <v/>
      </c>
    </row>
    <row r="711" hidden="1" s="27">
      <c r="A711" s="47" t="inlineStr">
        <is>
          <t>티플러스</t>
        </is>
      </c>
      <c r="B711" s="47" t="inlineStr">
        <is>
          <t>티플온 15G＋(100분)</t>
        </is>
      </c>
      <c r="C711" s="47" t="inlineStr">
        <is>
          <t>100분</t>
        </is>
      </c>
      <c r="D711" s="47" t="inlineStr">
        <is>
          <t>100건</t>
        </is>
      </c>
      <c r="E711" s="47" t="inlineStr">
        <is>
          <t>월 15GB + 3Mbps</t>
        </is>
      </c>
      <c r="F711" s="47" t="inlineStr">
        <is>
          <t>LG U+</t>
        </is>
      </c>
      <c r="G711" s="47" t="inlineStr">
        <is>
          <t>LTE</t>
        </is>
      </c>
      <c r="H711" s="48" t="n">
        <v>10900</v>
      </c>
      <c r="I711" s="48" t="n">
        <v>7</v>
      </c>
      <c r="J711" s="48" t="n">
        <v>39600</v>
      </c>
      <c r="K711" s="47">
        <f t="array" ref="K711">_xlfn.XLOOKUP(1,(참조!$B$2:$B$15=E711)*(참조!$D$2:$D$15=C711)*(참조!$E$2:$E$15=D711),참조!$C$2:$C$15,"")</f>
        <v/>
      </c>
    </row>
    <row r="712" hidden="1" s="27">
      <c r="A712" s="47" t="inlineStr">
        <is>
          <t>스마텔</t>
        </is>
      </c>
      <c r="B712" s="47" t="inlineStr">
        <is>
          <t>스마트 100분/15GB+ (24개월)</t>
        </is>
      </c>
      <c r="C712" s="47" t="inlineStr">
        <is>
          <t>100분</t>
        </is>
      </c>
      <c r="D712" s="47" t="inlineStr">
        <is>
          <t>100건</t>
        </is>
      </c>
      <c r="E712" s="47" t="inlineStr">
        <is>
          <t>월 15GB + 3Mbps</t>
        </is>
      </c>
      <c r="F712" s="47" t="inlineStr">
        <is>
          <t>LG U+</t>
        </is>
      </c>
      <c r="G712" s="47" t="inlineStr">
        <is>
          <t>LTE</t>
        </is>
      </c>
      <c r="H712" s="48" t="n">
        <v>21000</v>
      </c>
      <c r="I712" s="48" t="n">
        <v>24</v>
      </c>
      <c r="J712" s="48" t="n">
        <v>39860</v>
      </c>
      <c r="K712" s="47">
        <f t="array" ref="K712">_xlfn.XLOOKUP(1,(참조!$B$2:$B$15=E712)*(참조!$D$2:$D$15=C712)*(참조!$E$2:$E$15=D712),참조!$C$2:$C$15,"")</f>
        <v/>
      </c>
    </row>
    <row r="713" hidden="1" s="27">
      <c r="A713" s="47" t="inlineStr">
        <is>
          <t>모나</t>
        </is>
      </c>
      <c r="B713" s="47" t="inlineStr">
        <is>
          <t>모나300분4.5G안심1</t>
        </is>
      </c>
      <c r="C713" s="47" t="inlineStr">
        <is>
          <t>300분</t>
        </is>
      </c>
      <c r="D713" s="47" t="inlineStr">
        <is>
          <t>200건</t>
        </is>
      </c>
      <c r="E713" s="47" t="inlineStr">
        <is>
          <t>월 4.5GB + 1Mbps</t>
        </is>
      </c>
      <c r="F713" s="47" t="inlineStr">
        <is>
          <t>LG U+</t>
        </is>
      </c>
      <c r="G713" s="47" t="inlineStr">
        <is>
          <t>LTE</t>
        </is>
      </c>
      <c r="H713" s="48" t="n">
        <v>1990</v>
      </c>
      <c r="I713" s="48" t="n">
        <v>12</v>
      </c>
      <c r="J713" s="48" t="n">
        <v>27500</v>
      </c>
      <c r="K713" s="47">
        <f t="array" ref="K713">_xlfn.XLOOKUP(1,(참조!$B$2:$B$15=E713)*(참조!$D$2:$D$15=C713)*(참조!$E$2:$E$15=D713),참조!$C$2:$C$15,"")</f>
        <v/>
      </c>
    </row>
    <row r="714" hidden="1" s="27">
      <c r="A714" s="47" t="inlineStr">
        <is>
          <t>고고모바일</t>
        </is>
      </c>
      <c r="B714" s="47" t="inlineStr">
        <is>
          <t>[모요only] 100분/15GB+3M(밀리의서재 Free)</t>
        </is>
      </c>
      <c r="C714" s="47" t="inlineStr">
        <is>
          <t>100분</t>
        </is>
      </c>
      <c r="D714" s="47" t="inlineStr">
        <is>
          <t>100건</t>
        </is>
      </c>
      <c r="E714" s="47" t="inlineStr">
        <is>
          <t>월 15GB + 3Mbps</t>
        </is>
      </c>
      <c r="F714" s="47" t="inlineStr">
        <is>
          <t>KT</t>
        </is>
      </c>
      <c r="G714" s="47" t="inlineStr">
        <is>
          <t>LTE</t>
        </is>
      </c>
      <c r="H714" s="48" t="n">
        <v>11000</v>
      </c>
      <c r="I714" s="48" t="n">
        <v>7</v>
      </c>
      <c r="J714" s="48" t="n">
        <v>29700</v>
      </c>
      <c r="K714" s="47">
        <f t="array" ref="K714">_xlfn.XLOOKUP(1,(참조!$B$2:$B$15=E714)*(참조!$D$2:$D$15=C714)*(참조!$E$2:$E$15=D714),참조!$C$2:$C$15,"")</f>
        <v/>
      </c>
    </row>
    <row r="715" hidden="1" s="27">
      <c r="A715" s="47" t="inlineStr">
        <is>
          <t>찬스모바일</t>
        </is>
      </c>
      <c r="B715" s="47" t="inlineStr">
        <is>
          <t>음성기본 7GB+</t>
        </is>
      </c>
      <c r="C715" s="47" t="inlineStr">
        <is>
          <t>무제한</t>
        </is>
      </c>
      <c r="D715" s="47" t="inlineStr">
        <is>
          <t>무제한</t>
        </is>
      </c>
      <c r="E715" s="47" t="inlineStr">
        <is>
          <t>월 7GB + 1Mbps</t>
        </is>
      </c>
      <c r="F715" s="47" t="inlineStr">
        <is>
          <t>LG U+</t>
        </is>
      </c>
      <c r="G715" s="47" t="inlineStr">
        <is>
          <t>LTE</t>
        </is>
      </c>
      <c r="H715" s="48" t="n">
        <v>9888</v>
      </c>
      <c r="I715" s="48" t="n">
        <v>12</v>
      </c>
      <c r="J715" s="48" t="n">
        <v>19800</v>
      </c>
      <c r="K715" s="47">
        <f t="array" ref="K715">_xlfn.XLOOKUP(1,(참조!$B$2:$B$15=E715)*(참조!$D$2:$D$15=C715)*(참조!$E$2:$E$15=D715),참조!$C$2:$C$15,"")</f>
        <v/>
      </c>
    </row>
    <row r="716" hidden="1" s="27">
      <c r="A716" s="47" t="inlineStr">
        <is>
          <t>스마텔</t>
        </is>
      </c>
      <c r="B716" s="47" t="inlineStr">
        <is>
          <t>USIM 스위트 (300분/10GB)</t>
        </is>
      </c>
      <c r="C716" s="47" t="inlineStr">
        <is>
          <t>300분</t>
        </is>
      </c>
      <c r="D716" s="47" t="inlineStr">
        <is>
          <t>100건</t>
        </is>
      </c>
      <c r="E716" s="47" t="inlineStr">
        <is>
          <t>월 10GB</t>
        </is>
      </c>
      <c r="F716" s="47" t="inlineStr">
        <is>
          <t>KT</t>
        </is>
      </c>
      <c r="G716" s="47" t="inlineStr">
        <is>
          <t>LTE</t>
        </is>
      </c>
      <c r="H716" s="48" t="n">
        <v>500</v>
      </c>
      <c r="I716" s="48" t="n">
        <v>7</v>
      </c>
      <c r="J716" s="48" t="n">
        <v>18700</v>
      </c>
      <c r="K716" s="47">
        <f t="array" ref="K716">_xlfn.XLOOKUP(1,(참조!$B$2:$B$15=E716)*(참조!$D$2:$D$15=C716)*(참조!$E$2:$E$15=D716),참조!$C$2:$C$15,"")</f>
        <v/>
      </c>
    </row>
    <row r="717" hidden="1" s="27">
      <c r="A717" s="47" t="inlineStr">
        <is>
          <t>모나</t>
        </is>
      </c>
      <c r="B717" s="47" t="inlineStr">
        <is>
          <t>캐시_데이터11G+일2G</t>
        </is>
      </c>
      <c r="C717" s="47" t="inlineStr">
        <is>
          <t>무제한</t>
        </is>
      </c>
      <c r="D717" s="47" t="inlineStr">
        <is>
          <t>무제한</t>
        </is>
      </c>
      <c r="E717" s="47" t="inlineStr">
        <is>
          <t>월 11GB + 매일 2GB + 3Mbps</t>
        </is>
      </c>
      <c r="F717" s="47" t="inlineStr">
        <is>
          <t>LG U+</t>
        </is>
      </c>
      <c r="G717" s="47" t="inlineStr">
        <is>
          <t>LTE</t>
        </is>
      </c>
      <c r="H717" s="48" t="n">
        <v>29500</v>
      </c>
      <c r="I717" s="48" t="n">
        <v>24</v>
      </c>
      <c r="J717" s="48" t="n">
        <v>44000</v>
      </c>
      <c r="K717" s="47">
        <f t="array" ref="K717">_xlfn.XLOOKUP(1,(참조!$B$2:$B$15=E717)*(참조!$D$2:$D$15=C717)*(참조!$E$2:$E$15=D717),참조!$C$2:$C$15,"")</f>
        <v/>
      </c>
    </row>
    <row r="718" hidden="1" s="27">
      <c r="A718" s="47" t="inlineStr">
        <is>
          <t>티플러스</t>
        </is>
      </c>
      <c r="B718" s="47" t="inlineStr">
        <is>
          <t>티플 15G＋(100분)(CU멤버십＋매월 5000P)</t>
        </is>
      </c>
      <c r="C718" s="47" t="inlineStr">
        <is>
          <t>100분</t>
        </is>
      </c>
      <c r="D718" s="47" t="inlineStr">
        <is>
          <t>100건</t>
        </is>
      </c>
      <c r="E718" s="47" t="inlineStr">
        <is>
          <t>월 15GB + 3Mbps</t>
        </is>
      </c>
      <c r="F718" s="47" t="inlineStr">
        <is>
          <t>SKT</t>
        </is>
      </c>
      <c r="G718" s="47" t="inlineStr">
        <is>
          <t>LTE</t>
        </is>
      </c>
      <c r="H718" s="48" t="n">
        <v>10900</v>
      </c>
      <c r="I718" s="48" t="n">
        <v>7</v>
      </c>
      <c r="J718" s="48" t="n">
        <v>39600</v>
      </c>
      <c r="K718" s="47">
        <f t="array" ref="K718">_xlfn.XLOOKUP(1,(참조!$B$2:$B$15=E718)*(참조!$D$2:$D$15=C718)*(참조!$E$2:$E$15=D718),참조!$C$2:$C$15,"")</f>
        <v/>
      </c>
    </row>
    <row r="719" hidden="1" s="27">
      <c r="A719" s="47" t="inlineStr">
        <is>
          <t>고고모바일</t>
        </is>
      </c>
      <c r="B719" s="47" t="inlineStr">
        <is>
          <t>5G무제한 70GB+1Mbps</t>
        </is>
      </c>
      <c r="C719" s="47" t="inlineStr">
        <is>
          <t>무제한</t>
        </is>
      </c>
      <c r="D719" s="47" t="inlineStr">
        <is>
          <t>무제한</t>
        </is>
      </c>
      <c r="E719" s="47" t="inlineStr">
        <is>
          <t>월 70GB + 1Mbps</t>
        </is>
      </c>
      <c r="F719" s="47" t="inlineStr">
        <is>
          <t>KT</t>
        </is>
      </c>
      <c r="G719" s="47" t="inlineStr">
        <is>
          <t>5G</t>
        </is>
      </c>
      <c r="H719" s="48" t="n">
        <v>42900</v>
      </c>
      <c r="I719" s="48" t="n"/>
      <c r="J719" s="48" t="n"/>
      <c r="K719" s="47">
        <f t="array" ref="K719">_xlfn.XLOOKUP(1,(참조!$B$2:$B$15=E719)*(참조!$D$2:$D$15=C719)*(참조!$E$2:$E$15=D719),참조!$C$2:$C$15,"")</f>
        <v/>
      </c>
    </row>
    <row r="720" hidden="1" s="27">
      <c r="A720" s="47" t="inlineStr">
        <is>
          <t>KG모바일</t>
        </is>
      </c>
      <c r="B720" s="47" t="inlineStr">
        <is>
          <t>[평생할인] 데이터 마음대로 (4.5GB+/200분)</t>
        </is>
      </c>
      <c r="C720" s="47" t="inlineStr">
        <is>
          <t>200분</t>
        </is>
      </c>
      <c r="D720" s="47" t="inlineStr">
        <is>
          <t>100건</t>
        </is>
      </c>
      <c r="E720" s="47" t="inlineStr">
        <is>
          <t>월 4.5GB + 1Mbps</t>
        </is>
      </c>
      <c r="F720" s="47" t="inlineStr">
        <is>
          <t>LG U+</t>
        </is>
      </c>
      <c r="G720" s="47" t="inlineStr">
        <is>
          <t>LTE</t>
        </is>
      </c>
      <c r="H720" s="48" t="n">
        <v>3200</v>
      </c>
      <c r="I720" s="48" t="n"/>
      <c r="J720" s="48" t="n"/>
      <c r="K720" s="47">
        <f t="array" ref="K720">_xlfn.XLOOKUP(1,(참조!$B$2:$B$15=E720)*(참조!$D$2:$D$15=C720)*(참조!$E$2:$E$15=D720),참조!$C$2:$C$15,"")</f>
        <v/>
      </c>
    </row>
    <row r="721" hidden="1" s="27">
      <c r="A721" s="47" t="inlineStr">
        <is>
          <t>티플러스</t>
        </is>
      </c>
      <c r="B721" s="47" t="inlineStr">
        <is>
          <t>티플 올리브영 100GB+(매월 5000P)</t>
        </is>
      </c>
      <c r="C721" s="47" t="inlineStr">
        <is>
          <t>무제한</t>
        </is>
      </c>
      <c r="D721" s="47" t="inlineStr">
        <is>
          <t>무제한</t>
        </is>
      </c>
      <c r="E721" s="47" t="inlineStr">
        <is>
          <t>월 100GB + 5Mbps</t>
        </is>
      </c>
      <c r="F721" s="47" t="inlineStr">
        <is>
          <t>SKT</t>
        </is>
      </c>
      <c r="G721" s="47" t="inlineStr">
        <is>
          <t>LTE</t>
        </is>
      </c>
      <c r="H721" s="48" t="n">
        <v>15900</v>
      </c>
      <c r="I721" s="48" t="n">
        <v>7</v>
      </c>
      <c r="J721" s="48" t="n">
        <v>51700</v>
      </c>
      <c r="K721" s="47">
        <f t="array" ref="K721">_xlfn.XLOOKUP(1,(참조!$B$2:$B$15=E721)*(참조!$D$2:$D$15=C721)*(참조!$E$2:$E$15=D721),참조!$C$2:$C$15,"")</f>
        <v/>
      </c>
    </row>
    <row r="722" hidden="1" s="27">
      <c r="A722" s="47" t="inlineStr">
        <is>
          <t>고고모바일</t>
        </is>
      </c>
      <c r="B722" s="47" t="inlineStr">
        <is>
          <t>고고 LTE 300분+15GB+3M_모요</t>
        </is>
      </c>
      <c r="C722" s="47" t="inlineStr">
        <is>
          <t>300분</t>
        </is>
      </c>
      <c r="D722" s="47" t="inlineStr">
        <is>
          <t>300건</t>
        </is>
      </c>
      <c r="E722" s="47" t="inlineStr">
        <is>
          <t>월 15GB + 3Mbps</t>
        </is>
      </c>
      <c r="F722" s="47" t="inlineStr">
        <is>
          <t>SKT</t>
        </is>
      </c>
      <c r="G722" s="47" t="inlineStr">
        <is>
          <t>LTE</t>
        </is>
      </c>
      <c r="H722" s="48" t="n">
        <v>11000</v>
      </c>
      <c r="I722" s="48" t="n">
        <v>7</v>
      </c>
      <c r="J722" s="48" t="n">
        <v>35200</v>
      </c>
      <c r="K722" s="47">
        <f t="array" ref="K722">_xlfn.XLOOKUP(1,(참조!$B$2:$B$15=E722)*(참조!$D$2:$D$15=C722)*(참조!$E$2:$E$15=D722),참조!$C$2:$C$15,"")</f>
        <v/>
      </c>
    </row>
    <row r="723" hidden="1" s="27">
      <c r="A723" s="47" t="inlineStr">
        <is>
          <t>KT스카이라이프</t>
        </is>
      </c>
      <c r="B723" s="47" t="inlineStr">
        <is>
          <t>모두 충분 11GB+(왓챠)</t>
        </is>
      </c>
      <c r="C723" s="47" t="inlineStr">
        <is>
          <t>무제한</t>
        </is>
      </c>
      <c r="D723" s="47" t="inlineStr">
        <is>
          <t>무제한</t>
        </is>
      </c>
      <c r="E723" s="47" t="inlineStr">
        <is>
          <t>월 11GB + 매일 2GB + 3Mbps</t>
        </is>
      </c>
      <c r="F723" s="47" t="inlineStr">
        <is>
          <t>KT</t>
        </is>
      </c>
      <c r="G723" s="47" t="inlineStr">
        <is>
          <t>LTE</t>
        </is>
      </c>
      <c r="H723" s="48" t="n">
        <v>35900</v>
      </c>
      <c r="I723" s="48" t="n"/>
      <c r="J723" s="48" t="n"/>
      <c r="K723" s="47">
        <f t="array" ref="K723">_xlfn.XLOOKUP(1,(참조!$B$2:$B$15=E723)*(참조!$D$2:$D$15=C723)*(참조!$E$2:$E$15=D723),참조!$C$2:$C$15,"")</f>
        <v/>
      </c>
    </row>
    <row r="724" hidden="1" s="27">
      <c r="A724" s="47" t="inlineStr">
        <is>
          <t>KT엠모바일</t>
        </is>
      </c>
      <c r="B724" s="47" t="inlineStr">
        <is>
          <t>모두다 맘껏 11GB+(쿠팡캐시 5000원)</t>
        </is>
      </c>
      <c r="C724" s="47" t="inlineStr">
        <is>
          <t>무제한</t>
        </is>
      </c>
      <c r="D724" s="47" t="inlineStr">
        <is>
          <t>무제한</t>
        </is>
      </c>
      <c r="E724" s="47" t="inlineStr">
        <is>
          <t>월 11GB + 매일 2GB + 3Mbps</t>
        </is>
      </c>
      <c r="F724" s="47" t="inlineStr">
        <is>
          <t>KT</t>
        </is>
      </c>
      <c r="G724" s="47" t="inlineStr">
        <is>
          <t>LTE</t>
        </is>
      </c>
      <c r="H724" s="48" t="n">
        <v>35300</v>
      </c>
      <c r="I724" s="48" t="n"/>
      <c r="J724" s="48" t="n"/>
      <c r="K724" s="47">
        <f t="array" ref="K724">_xlfn.XLOOKUP(1,(참조!$B$2:$B$15=E724)*(참조!$D$2:$D$15=C724)*(참조!$E$2:$E$15=D724),참조!$C$2:$C$15,"")</f>
        <v/>
      </c>
    </row>
    <row r="725" hidden="1" s="27">
      <c r="A725" s="47" t="inlineStr">
        <is>
          <t>이야기모바일</t>
        </is>
      </c>
      <c r="B725" s="47" t="inlineStr">
        <is>
          <t>함께이야기해S(200분+20GB)</t>
        </is>
      </c>
      <c r="C725" s="47" t="inlineStr">
        <is>
          <t>200분</t>
        </is>
      </c>
      <c r="D725" s="47" t="inlineStr">
        <is>
          <t>200건</t>
        </is>
      </c>
      <c r="E725" s="47" t="inlineStr">
        <is>
          <t>월 20GB</t>
        </is>
      </c>
      <c r="F725" s="47" t="inlineStr">
        <is>
          <t>SKT</t>
        </is>
      </c>
      <c r="G725" s="47" t="inlineStr">
        <is>
          <t>LTE</t>
        </is>
      </c>
      <c r="H725" s="48" t="n">
        <v>9900</v>
      </c>
      <c r="I725" s="48" t="n">
        <v>12</v>
      </c>
      <c r="J725" s="48" t="n">
        <v>19250</v>
      </c>
      <c r="K725" s="47">
        <f t="array" ref="K725">_xlfn.XLOOKUP(1,(참조!$B$2:$B$15=E725)*(참조!$D$2:$D$15=C725)*(참조!$E$2:$E$15=D725),참조!$C$2:$C$15,"")</f>
        <v/>
      </c>
    </row>
    <row r="726" hidden="1" s="27">
      <c r="A726" s="47" t="inlineStr">
        <is>
          <t>KG모바일</t>
        </is>
      </c>
      <c r="B726" s="47" t="inlineStr">
        <is>
          <t>[일반] 통화, 데이터 마음대로 7GB+</t>
        </is>
      </c>
      <c r="C726" s="47" t="inlineStr">
        <is>
          <t>무제한</t>
        </is>
      </c>
      <c r="D726" s="47" t="inlineStr">
        <is>
          <t>무제한</t>
        </is>
      </c>
      <c r="E726" s="47" t="inlineStr">
        <is>
          <t>월 7GB + 1Mbps</t>
        </is>
      </c>
      <c r="F726" s="47" t="inlineStr">
        <is>
          <t>LG U+</t>
        </is>
      </c>
      <c r="G726" s="47" t="inlineStr">
        <is>
          <t>LTE</t>
        </is>
      </c>
      <c r="H726" s="48" t="n">
        <v>13200</v>
      </c>
      <c r="I726" s="48" t="n">
        <v>12</v>
      </c>
      <c r="J726" s="48" t="n">
        <v>24200</v>
      </c>
      <c r="K726" s="47">
        <f t="array" ref="K726">_xlfn.XLOOKUP(1,(참조!$B$2:$B$15=E726)*(참조!$D$2:$D$15=C726)*(참조!$E$2:$E$15=D726),참조!$C$2:$C$15,"")</f>
        <v/>
      </c>
    </row>
    <row r="727" hidden="1" s="27">
      <c r="A727" s="47" t="inlineStr">
        <is>
          <t>쉐이크모바일</t>
        </is>
      </c>
      <c r="B727" s="47" t="inlineStr">
        <is>
          <t>[모요only] 쉐이크 LTE 15GB+_CU</t>
        </is>
      </c>
      <c r="C727" s="47" t="inlineStr">
        <is>
          <t>무제한</t>
        </is>
      </c>
      <c r="D727" s="47" t="inlineStr">
        <is>
          <t>무제한</t>
        </is>
      </c>
      <c r="E727" s="47" t="inlineStr">
        <is>
          <t>월 15GB + 1Mbps</t>
        </is>
      </c>
      <c r="F727" s="47" t="inlineStr">
        <is>
          <t>KT</t>
        </is>
      </c>
      <c r="G727" s="47" t="inlineStr">
        <is>
          <t>LTE</t>
        </is>
      </c>
      <c r="H727" s="48" t="n">
        <v>9900</v>
      </c>
      <c r="I727" s="48" t="n">
        <v>7</v>
      </c>
      <c r="J727" s="48" t="n">
        <v>27500</v>
      </c>
      <c r="K727" s="47">
        <f t="array" ref="K727">_xlfn.XLOOKUP(1,(참조!$B$2:$B$15=E727)*(참조!$D$2:$D$15=C727)*(참조!$E$2:$E$15=D727),참조!$C$2:$C$15,"")</f>
        <v/>
      </c>
    </row>
    <row r="728" hidden="1" s="27">
      <c r="A728" s="47" t="inlineStr">
        <is>
          <t>LG헬로모바일</t>
        </is>
      </c>
      <c r="B728" s="47" t="inlineStr">
        <is>
          <t>슬림 안심 유심 1GB 100분</t>
        </is>
      </c>
      <c r="C728" s="47" t="inlineStr">
        <is>
          <t>100분</t>
        </is>
      </c>
      <c r="D728" s="47" t="inlineStr">
        <is>
          <t>50건</t>
        </is>
      </c>
      <c r="E728" s="47" t="inlineStr">
        <is>
          <t>월 1GB + 400Kbps</t>
        </is>
      </c>
      <c r="F728" s="47" t="inlineStr">
        <is>
          <t>LG U+</t>
        </is>
      </c>
      <c r="G728" s="47" t="inlineStr">
        <is>
          <t>LTE</t>
        </is>
      </c>
      <c r="H728" s="48" t="n">
        <v>3800</v>
      </c>
      <c r="I728" s="48" t="n">
        <v>6</v>
      </c>
      <c r="J728" s="48" t="n">
        <v>8800</v>
      </c>
      <c r="K728" s="47">
        <f t="array" ref="K728">_xlfn.XLOOKUP(1,(참조!$B$2:$B$15=E728)*(참조!$D$2:$D$15=C728)*(참조!$E$2:$E$15=D728),참조!$C$2:$C$15,"")</f>
        <v/>
      </c>
    </row>
    <row r="729" hidden="1" s="27">
      <c r="A729" s="47" t="inlineStr">
        <is>
          <t>KT엠모바일</t>
        </is>
      </c>
      <c r="B729" s="47" t="inlineStr">
        <is>
          <t>5G 모두다 맘껏 안심 10GB+</t>
        </is>
      </c>
      <c r="C729" s="47" t="inlineStr">
        <is>
          <t>무제한</t>
        </is>
      </c>
      <c r="D729" s="47" t="inlineStr">
        <is>
          <t>무제한</t>
        </is>
      </c>
      <c r="E729" s="47" t="inlineStr">
        <is>
          <t>월 10GB + 400Kbps</t>
        </is>
      </c>
      <c r="F729" s="47" t="inlineStr">
        <is>
          <t>KT</t>
        </is>
      </c>
      <c r="G729" s="47" t="inlineStr">
        <is>
          <t>5G</t>
        </is>
      </c>
      <c r="H729" s="48" t="n">
        <v>14900</v>
      </c>
      <c r="I729" s="48" t="n"/>
      <c r="J729" s="48" t="n"/>
      <c r="K729" s="47">
        <f t="array" ref="K729">_xlfn.XLOOKUP(1,(참조!$B$2:$B$15=E729)*(참조!$D$2:$D$15=C729)*(참조!$E$2:$E$15=D729),참조!$C$2:$C$15,"")</f>
        <v/>
      </c>
    </row>
    <row r="730" hidden="1" s="27">
      <c r="A730" s="47" t="inlineStr">
        <is>
          <t>티플러스</t>
        </is>
      </c>
      <c r="B730" s="47" t="inlineStr">
        <is>
          <t>티플 위드유 15GB＋(100분)(G car)</t>
        </is>
      </c>
      <c r="C730" s="47" t="inlineStr">
        <is>
          <t>100분</t>
        </is>
      </c>
      <c r="D730" s="47" t="inlineStr">
        <is>
          <t>100건</t>
        </is>
      </c>
      <c r="E730" s="47" t="inlineStr">
        <is>
          <t>월 15GB + 3Mbps</t>
        </is>
      </c>
      <c r="F730" s="47" t="inlineStr">
        <is>
          <t>SKT</t>
        </is>
      </c>
      <c r="G730" s="47" t="inlineStr">
        <is>
          <t>LTE</t>
        </is>
      </c>
      <c r="H730" s="48" t="n">
        <v>6000</v>
      </c>
      <c r="I730" s="48" t="n">
        <v>7</v>
      </c>
      <c r="J730" s="48" t="n">
        <v>31900</v>
      </c>
      <c r="K730" s="47">
        <f t="array" ref="K730">_xlfn.XLOOKUP(1,(참조!$B$2:$B$15=E730)*(참조!$D$2:$D$15=C730)*(참조!$E$2:$E$15=D730),참조!$C$2:$C$15,"")</f>
        <v/>
      </c>
    </row>
    <row r="731" hidden="1" s="27">
      <c r="A731" s="47" t="inlineStr">
        <is>
          <t>티플러스</t>
        </is>
      </c>
      <c r="B731" s="47" t="inlineStr">
        <is>
          <t>티플 위드유 15GB+(100분)(G car+세차클링)</t>
        </is>
      </c>
      <c r="C731" s="47" t="inlineStr">
        <is>
          <t>100분</t>
        </is>
      </c>
      <c r="D731" s="47" t="inlineStr">
        <is>
          <t>100건</t>
        </is>
      </c>
      <c r="E731" s="47" t="inlineStr">
        <is>
          <t>월 15GB + 3Mbps</t>
        </is>
      </c>
      <c r="F731" s="47" t="inlineStr">
        <is>
          <t>SKT</t>
        </is>
      </c>
      <c r="G731" s="47" t="inlineStr">
        <is>
          <t>LTE</t>
        </is>
      </c>
      <c r="H731" s="48" t="n">
        <v>10900</v>
      </c>
      <c r="I731" s="48" t="n">
        <v>7</v>
      </c>
      <c r="J731" s="48" t="n">
        <v>31900</v>
      </c>
      <c r="K731" s="47">
        <f t="array" ref="K731">_xlfn.XLOOKUP(1,(참조!$B$2:$B$15=E731)*(참조!$D$2:$D$15=C731)*(참조!$E$2:$E$15=D731),참조!$C$2:$C$15,"")</f>
        <v/>
      </c>
    </row>
    <row r="732" hidden="1" s="27">
      <c r="A732" s="47" t="inlineStr">
        <is>
          <t>이야기모바일</t>
        </is>
      </c>
      <c r="B732" s="47" t="inlineStr">
        <is>
          <t>5G 이야기 스탠다드 95GB+</t>
        </is>
      </c>
      <c r="C732" s="47" t="inlineStr">
        <is>
          <t>무제한</t>
        </is>
      </c>
      <c r="D732" s="47" t="inlineStr">
        <is>
          <t>무제한</t>
        </is>
      </c>
      <c r="E732" s="47" t="inlineStr">
        <is>
          <t>월 95GB + 3Mbps</t>
        </is>
      </c>
      <c r="F732" s="47" t="inlineStr">
        <is>
          <t>LG U+</t>
        </is>
      </c>
      <c r="G732" s="47" t="inlineStr">
        <is>
          <t>5G</t>
        </is>
      </c>
      <c r="H732" s="48" t="n">
        <v>30500</v>
      </c>
      <c r="I732" s="48" t="n">
        <v>24</v>
      </c>
      <c r="J732" s="48" t="n">
        <v>44000</v>
      </c>
      <c r="K732" s="47">
        <f t="array" ref="K732">_xlfn.XLOOKUP(1,(참조!$B$2:$B$15=E732)*(참조!$D$2:$D$15=C732)*(참조!$E$2:$E$15=D732),참조!$C$2:$C$15,"")</f>
        <v/>
      </c>
    </row>
    <row r="733" hidden="1" s="27">
      <c r="A733" s="47" t="inlineStr">
        <is>
          <t>티플러스</t>
        </is>
      </c>
      <c r="B733" s="47" t="inlineStr">
        <is>
          <t>티플 100GB+(이디야커피)</t>
        </is>
      </c>
      <c r="C733" s="47" t="inlineStr">
        <is>
          <t>무제한</t>
        </is>
      </c>
      <c r="D733" s="47" t="inlineStr">
        <is>
          <t>무제한</t>
        </is>
      </c>
      <c r="E733" s="47" t="inlineStr">
        <is>
          <t>월 100GB + 5Mbps</t>
        </is>
      </c>
      <c r="F733" s="47" t="inlineStr">
        <is>
          <t>SKT</t>
        </is>
      </c>
      <c r="G733" s="47" t="inlineStr">
        <is>
          <t>LTE</t>
        </is>
      </c>
      <c r="H733" s="48" t="n">
        <v>15900</v>
      </c>
      <c r="I733" s="48" t="n">
        <v>7</v>
      </c>
      <c r="J733" s="48" t="n">
        <v>55000</v>
      </c>
      <c r="K733" s="47">
        <f t="array" ref="K733">_xlfn.XLOOKUP(1,(참조!$B$2:$B$15=E733)*(참조!$D$2:$D$15=C733)*(참조!$E$2:$E$15=D733),참조!$C$2:$C$15,"")</f>
        <v/>
      </c>
    </row>
    <row r="734" hidden="1" s="27">
      <c r="A734" s="47" t="inlineStr">
        <is>
          <t>티플러스</t>
        </is>
      </c>
      <c r="B734" s="47" t="inlineStr">
        <is>
          <t>The 마음껏 매일5G＋(올리브영 매월 5000P)</t>
        </is>
      </c>
      <c r="C734" s="47" t="inlineStr">
        <is>
          <t>무제한</t>
        </is>
      </c>
      <c r="D734" s="47" t="inlineStr">
        <is>
          <t>무제한</t>
        </is>
      </c>
      <c r="E734" s="47" t="inlineStr">
        <is>
          <t>매일 5GB + 5Mbps</t>
        </is>
      </c>
      <c r="F734" s="47" t="inlineStr">
        <is>
          <t>LG U+</t>
        </is>
      </c>
      <c r="G734" s="47" t="inlineStr">
        <is>
          <t>LTE</t>
        </is>
      </c>
      <c r="H734" s="48" t="n">
        <v>30900</v>
      </c>
      <c r="I734" s="48" t="n">
        <v>24</v>
      </c>
      <c r="J734" s="48" t="n">
        <v>46200</v>
      </c>
      <c r="K734" s="47">
        <f t="array" ref="K734">_xlfn.XLOOKUP(1,(참조!$B$2:$B$15=E734)*(참조!$D$2:$D$15=C734)*(참조!$E$2:$E$15=D734),참조!$C$2:$C$15,"")</f>
        <v/>
      </c>
    </row>
    <row r="735" hidden="1" s="27">
      <c r="A735" s="47" t="inlineStr">
        <is>
          <t>KT엠모바일</t>
        </is>
      </c>
      <c r="B735" s="47" t="inlineStr">
        <is>
          <t>모두다 맘껏 7GB+(쿠팡캐시 5000원)</t>
        </is>
      </c>
      <c r="C735" s="47" t="inlineStr">
        <is>
          <t>무제한</t>
        </is>
      </c>
      <c r="D735" s="47" t="inlineStr">
        <is>
          <t>무제한</t>
        </is>
      </c>
      <c r="E735" s="47" t="inlineStr">
        <is>
          <t>월 7GB + 1Mbps</t>
        </is>
      </c>
      <c r="F735" s="47" t="inlineStr">
        <is>
          <t>KT</t>
        </is>
      </c>
      <c r="G735" s="47" t="inlineStr">
        <is>
          <t>LTE</t>
        </is>
      </c>
      <c r="H735" s="48" t="n">
        <v>18500</v>
      </c>
      <c r="I735" s="48" t="n"/>
      <c r="J735" s="48" t="n"/>
      <c r="K735" s="47">
        <f t="array" ref="K735">_xlfn.XLOOKUP(1,(참조!$B$2:$B$15=E735)*(참조!$D$2:$D$15=C735)*(참조!$E$2:$E$15=D735),참조!$C$2:$C$15,"")</f>
        <v/>
      </c>
    </row>
    <row r="736" hidden="1" s="27">
      <c r="A736" s="47" t="inlineStr">
        <is>
          <t>티플러스</t>
        </is>
      </c>
      <c r="B736" s="47" t="inlineStr">
        <is>
          <t>완전마음껏 7GB＋＋(네이버페이 매월 5000P)</t>
        </is>
      </c>
      <c r="C736" s="47" t="inlineStr">
        <is>
          <t>무제한</t>
        </is>
      </c>
      <c r="D736" s="47" t="inlineStr">
        <is>
          <t>무제한</t>
        </is>
      </c>
      <c r="E736" s="47" t="inlineStr">
        <is>
          <t>월 7GB + 1Mbps</t>
        </is>
      </c>
      <c r="F736" s="47" t="inlineStr">
        <is>
          <t>KT</t>
        </is>
      </c>
      <c r="G736" s="47" t="inlineStr">
        <is>
          <t>LTE</t>
        </is>
      </c>
      <c r="H736" s="48" t="n">
        <v>6900</v>
      </c>
      <c r="I736" s="48" t="n">
        <v>7</v>
      </c>
      <c r="J736" s="48" t="n">
        <v>22500</v>
      </c>
      <c r="K736" s="47">
        <f t="array" ref="K736">_xlfn.XLOOKUP(1,(참조!$B$2:$B$15=E736)*(참조!$D$2:$D$15=C736)*(참조!$E$2:$E$15=D736),참조!$C$2:$C$15,"")</f>
        <v/>
      </c>
    </row>
    <row r="737" hidden="1" s="27">
      <c r="A737" s="47" t="inlineStr">
        <is>
          <t>슈가모바일</t>
        </is>
      </c>
      <c r="B737" s="47" t="inlineStr">
        <is>
          <t>Sugar 8GB+1Mbps(R)</t>
        </is>
      </c>
      <c r="C737" s="47" t="inlineStr">
        <is>
          <t>1,000분</t>
        </is>
      </c>
      <c r="D737" s="47" t="inlineStr">
        <is>
          <t>200건</t>
        </is>
      </c>
      <c r="E737" s="47" t="inlineStr">
        <is>
          <t>월 8GB + 1Mbps</t>
        </is>
      </c>
      <c r="F737" s="47" t="inlineStr">
        <is>
          <t>LG U+</t>
        </is>
      </c>
      <c r="G737" s="47" t="inlineStr">
        <is>
          <t>LTE</t>
        </is>
      </c>
      <c r="H737" s="48" t="n">
        <v>7900</v>
      </c>
      <c r="I737" s="48" t="n"/>
      <c r="J737" s="48" t="n"/>
      <c r="K737" s="47">
        <f t="array" ref="K737">_xlfn.XLOOKUP(1,(참조!$B$2:$B$15=E737)*(참조!$D$2:$D$15=C737)*(참조!$E$2:$E$15=D737),참조!$C$2:$C$15,"")</f>
        <v/>
      </c>
    </row>
    <row r="738" hidden="1" s="27">
      <c r="A738" s="47" t="inlineStr">
        <is>
          <t>티플러스</t>
        </is>
      </c>
      <c r="B738" s="47" t="inlineStr">
        <is>
          <t>The 데이터마음껏15G+(300분)(다이소 매월 5000P)</t>
        </is>
      </c>
      <c r="C738" s="47" t="inlineStr">
        <is>
          <t>300분</t>
        </is>
      </c>
      <c r="D738" s="47" t="inlineStr">
        <is>
          <t>300건</t>
        </is>
      </c>
      <c r="E738" s="47" t="inlineStr">
        <is>
          <t>월 15GB + 3Mbps</t>
        </is>
      </c>
      <c r="F738" s="47" t="inlineStr">
        <is>
          <t>LG U+</t>
        </is>
      </c>
      <c r="G738" s="47" t="inlineStr">
        <is>
          <t>LTE</t>
        </is>
      </c>
      <c r="H738" s="48" t="n">
        <v>22500</v>
      </c>
      <c r="I738" s="48" t="n">
        <v>24</v>
      </c>
      <c r="J738" s="48" t="n">
        <v>33000</v>
      </c>
      <c r="K738" s="47">
        <f t="array" ref="K738">_xlfn.XLOOKUP(1,(참조!$B$2:$B$15=E738)*(참조!$D$2:$D$15=C738)*(참조!$E$2:$E$15=D738),참조!$C$2:$C$15,"")</f>
        <v/>
      </c>
    </row>
    <row r="739" hidden="1" s="27">
      <c r="A739" s="47" t="inlineStr">
        <is>
          <t>티플러스</t>
        </is>
      </c>
      <c r="B739" s="47" t="inlineStr">
        <is>
          <t>The 마음껏 매일5G+(카톡 이모티콘+예스24e북)</t>
        </is>
      </c>
      <c r="C739" s="47" t="inlineStr">
        <is>
          <t>무제한</t>
        </is>
      </c>
      <c r="D739" s="47" t="inlineStr">
        <is>
          <t>무제한</t>
        </is>
      </c>
      <c r="E739" s="47" t="inlineStr">
        <is>
          <t>매일 5GB + 5Mbps</t>
        </is>
      </c>
      <c r="F739" s="47" t="inlineStr">
        <is>
          <t>LG U+</t>
        </is>
      </c>
      <c r="G739" s="47" t="inlineStr">
        <is>
          <t>LTE</t>
        </is>
      </c>
      <c r="H739" s="48" t="n">
        <v>30900</v>
      </c>
      <c r="I739" s="48" t="n">
        <v>24</v>
      </c>
      <c r="J739" s="48" t="n">
        <v>46200</v>
      </c>
      <c r="K739" s="47">
        <f t="array" ref="K739">_xlfn.XLOOKUP(1,(참조!$B$2:$B$15=E739)*(참조!$D$2:$D$15=C739)*(참조!$E$2:$E$15=D739),참조!$C$2:$C$15,"")</f>
        <v/>
      </c>
    </row>
    <row r="740" hidden="1" s="27">
      <c r="A740" s="47" t="inlineStr">
        <is>
          <t>티플러스</t>
        </is>
      </c>
      <c r="B740" s="47" t="inlineStr">
        <is>
          <t>The 마음껏 매일5G+(컬쳐랜드 문화상품권 매월 5000P)</t>
        </is>
      </c>
      <c r="C740" s="47" t="inlineStr">
        <is>
          <t>무제한</t>
        </is>
      </c>
      <c r="D740" s="47" t="inlineStr">
        <is>
          <t>무제한</t>
        </is>
      </c>
      <c r="E740" s="47" t="inlineStr">
        <is>
          <t>매일 5GB + 5Mbps</t>
        </is>
      </c>
      <c r="F740" s="47" t="inlineStr">
        <is>
          <t>LG U+</t>
        </is>
      </c>
      <c r="G740" s="47" t="inlineStr">
        <is>
          <t>LTE</t>
        </is>
      </c>
      <c r="H740" s="48" t="n">
        <v>30900</v>
      </c>
      <c r="I740" s="48" t="n">
        <v>24</v>
      </c>
      <c r="J740" s="48" t="n">
        <v>46200</v>
      </c>
      <c r="K740" s="47">
        <f t="array" ref="K740">_xlfn.XLOOKUP(1,(참조!$B$2:$B$15=E740)*(참조!$D$2:$D$15=C740)*(참조!$E$2:$E$15=D740),참조!$C$2:$C$15,"")</f>
        <v/>
      </c>
    </row>
    <row r="741" hidden="1" s="27">
      <c r="A741" s="47" t="inlineStr">
        <is>
          <t>티플러스</t>
        </is>
      </c>
      <c r="B741" s="47" t="inlineStr">
        <is>
          <t>The 마음껏 매일5G＋(스타벅스 매월 5000P)</t>
        </is>
      </c>
      <c r="C741" s="47" t="inlineStr">
        <is>
          <t>무제한</t>
        </is>
      </c>
      <c r="D741" s="47" t="inlineStr">
        <is>
          <t>무제한</t>
        </is>
      </c>
      <c r="E741" s="47" t="inlineStr">
        <is>
          <t>매일 5GB + 5Mbps</t>
        </is>
      </c>
      <c r="F741" s="47" t="inlineStr">
        <is>
          <t>LG U+</t>
        </is>
      </c>
      <c r="G741" s="47" t="inlineStr">
        <is>
          <t>LTE</t>
        </is>
      </c>
      <c r="H741" s="48" t="n">
        <v>30900</v>
      </c>
      <c r="I741" s="48" t="n">
        <v>24</v>
      </c>
      <c r="J741" s="48" t="n">
        <v>46200</v>
      </c>
      <c r="K741" s="47">
        <f t="array" ref="K741">_xlfn.XLOOKUP(1,(참조!$B$2:$B$15=E741)*(참조!$D$2:$D$15=C741)*(참조!$E$2:$E$15=D741),참조!$C$2:$C$15,"")</f>
        <v/>
      </c>
    </row>
    <row r="742" hidden="1" s="27">
      <c r="A742" s="47" t="inlineStr">
        <is>
          <t>스마텔</t>
        </is>
      </c>
      <c r="B742" s="47" t="inlineStr">
        <is>
          <t>5G 음성무제한 20GB</t>
        </is>
      </c>
      <c r="C742" s="47" t="inlineStr">
        <is>
          <t>무제한</t>
        </is>
      </c>
      <c r="D742" s="47" t="inlineStr">
        <is>
          <t>200건</t>
        </is>
      </c>
      <c r="E742" s="47" t="inlineStr">
        <is>
          <t>월 20GB</t>
        </is>
      </c>
      <c r="F742" s="47" t="inlineStr">
        <is>
          <t>SKT</t>
        </is>
      </c>
      <c r="G742" s="47" t="inlineStr">
        <is>
          <t>5G</t>
        </is>
      </c>
      <c r="H742" s="48" t="n">
        <v>19600</v>
      </c>
      <c r="I742" s="48" t="n"/>
      <c r="J742" s="48" t="n"/>
      <c r="K742" s="47">
        <f t="array" ref="K742">_xlfn.XLOOKUP(1,(참조!$B$2:$B$15=E742)*(참조!$D$2:$D$15=C742)*(참조!$E$2:$E$15=D742),참조!$C$2:$C$15,"")</f>
        <v/>
      </c>
    </row>
    <row r="743" hidden="1" s="27">
      <c r="A743" s="47" t="inlineStr">
        <is>
          <t>스마텔</t>
        </is>
      </c>
      <c r="B743" s="47" t="inlineStr">
        <is>
          <t>5G 음성무제한 11GB</t>
        </is>
      </c>
      <c r="C743" s="47" t="inlineStr">
        <is>
          <t>무제한</t>
        </is>
      </c>
      <c r="D743" s="47" t="inlineStr">
        <is>
          <t>200건</t>
        </is>
      </c>
      <c r="E743" s="47" t="inlineStr">
        <is>
          <t>월 11GB</t>
        </is>
      </c>
      <c r="F743" s="47" t="inlineStr">
        <is>
          <t>SKT</t>
        </is>
      </c>
      <c r="G743" s="47" t="inlineStr">
        <is>
          <t>5G</t>
        </is>
      </c>
      <c r="H743" s="48" t="n">
        <v>10800</v>
      </c>
      <c r="I743" s="48" t="n"/>
      <c r="J743" s="48" t="n"/>
      <c r="K743" s="47">
        <f t="array" ref="K743">_xlfn.XLOOKUP(1,(참조!$B$2:$B$15=E743)*(참조!$D$2:$D$15=C743)*(참조!$E$2:$E$15=D743),참조!$C$2:$C$15,"")</f>
        <v/>
      </c>
    </row>
    <row r="744" hidden="1" s="27">
      <c r="A744" s="47" t="inlineStr">
        <is>
          <t>티플러스</t>
        </is>
      </c>
      <c r="B744" s="47" t="inlineStr">
        <is>
          <t>The 완전마음껏 100G+(컬쳐랜드 문화상품권 매월 5000P)</t>
        </is>
      </c>
      <c r="C744" s="47" t="inlineStr">
        <is>
          <t>무제한</t>
        </is>
      </c>
      <c r="D744" s="47" t="inlineStr">
        <is>
          <t>무제한</t>
        </is>
      </c>
      <c r="E744" s="47" t="inlineStr">
        <is>
          <t>월 100GB + 5Mbps</t>
        </is>
      </c>
      <c r="F744" s="47" t="inlineStr">
        <is>
          <t>LG U+</t>
        </is>
      </c>
      <c r="G744" s="47" t="inlineStr">
        <is>
          <t>LTE</t>
        </is>
      </c>
      <c r="H744" s="48" t="n">
        <v>30900</v>
      </c>
      <c r="I744" s="48" t="n">
        <v>24</v>
      </c>
      <c r="J744" s="48" t="n">
        <v>52800</v>
      </c>
      <c r="K744" s="47">
        <f t="array" ref="K744">_xlfn.XLOOKUP(1,(참조!$B$2:$B$15=E744)*(참조!$D$2:$D$15=C744)*(참조!$E$2:$E$15=D744),참조!$C$2:$C$15,"")</f>
        <v/>
      </c>
    </row>
    <row r="745" hidden="1" s="27">
      <c r="A745" s="47" t="inlineStr">
        <is>
          <t>더원모바일</t>
        </is>
      </c>
      <c r="B745" s="47" t="inlineStr">
        <is>
          <t>TOP 7GB 기본 (올리브영)</t>
        </is>
      </c>
      <c r="C745" s="47" t="inlineStr">
        <is>
          <t>무제한</t>
        </is>
      </c>
      <c r="D745" s="47" t="inlineStr">
        <is>
          <t>무제한</t>
        </is>
      </c>
      <c r="E745" s="47" t="inlineStr">
        <is>
          <t>월 7GB + 1Mbps</t>
        </is>
      </c>
      <c r="F745" s="47" t="inlineStr">
        <is>
          <t>KT</t>
        </is>
      </c>
      <c r="G745" s="47" t="inlineStr">
        <is>
          <t>LTE</t>
        </is>
      </c>
      <c r="H745" s="48" t="n">
        <v>8910</v>
      </c>
      <c r="I745" s="48" t="n">
        <v>12</v>
      </c>
      <c r="J745" s="48" t="n">
        <v>26400</v>
      </c>
      <c r="K745" s="47">
        <f t="array" ref="K745">_xlfn.XLOOKUP(1,(참조!$B$2:$B$15=E745)*(참조!$D$2:$D$15=C745)*(참조!$E$2:$E$15=D745),참조!$C$2:$C$15,"")</f>
        <v/>
      </c>
    </row>
    <row r="746" hidden="1" s="27">
      <c r="A746" s="47" t="inlineStr">
        <is>
          <t>티플러스</t>
        </is>
      </c>
      <c r="B746" s="47" t="inlineStr">
        <is>
          <t>티플 CGV 15GB＋(100분)</t>
        </is>
      </c>
      <c r="C746" s="47" t="inlineStr">
        <is>
          <t>100분</t>
        </is>
      </c>
      <c r="D746" s="47" t="inlineStr">
        <is>
          <t>100건</t>
        </is>
      </c>
      <c r="E746" s="47" t="inlineStr">
        <is>
          <t>월 15GB + 3Mbps</t>
        </is>
      </c>
      <c r="F746" s="47" t="inlineStr">
        <is>
          <t>SKT</t>
        </is>
      </c>
      <c r="G746" s="47" t="inlineStr">
        <is>
          <t>LTE</t>
        </is>
      </c>
      <c r="H746" s="48" t="n">
        <v>10900</v>
      </c>
      <c r="I746" s="48" t="n">
        <v>7</v>
      </c>
      <c r="J746" s="48" t="n">
        <v>42900</v>
      </c>
      <c r="K746" s="47">
        <f t="array" ref="K746">_xlfn.XLOOKUP(1,(참조!$B$2:$B$15=E746)*(참조!$D$2:$D$15=C746)*(참조!$E$2:$E$15=D746),참조!$C$2:$C$15,"")</f>
        <v/>
      </c>
    </row>
    <row r="747" hidden="1" s="27">
      <c r="A747" s="47" t="inlineStr">
        <is>
          <t>인스모바일</t>
        </is>
      </c>
      <c r="B747" s="47" t="inlineStr">
        <is>
          <t>인스유심 스트롱 15GB+</t>
        </is>
      </c>
      <c r="C747" s="47" t="inlineStr">
        <is>
          <t>100분</t>
        </is>
      </c>
      <c r="D747" s="47" t="inlineStr">
        <is>
          <t>100건</t>
        </is>
      </c>
      <c r="E747" s="47" t="inlineStr">
        <is>
          <t>월 15GB + 3Mbps</t>
        </is>
      </c>
      <c r="F747" s="47" t="inlineStr">
        <is>
          <t>LG U+</t>
        </is>
      </c>
      <c r="G747" s="47" t="inlineStr">
        <is>
          <t>LTE</t>
        </is>
      </c>
      <c r="H747" s="48" t="n">
        <v>9800</v>
      </c>
      <c r="I747" s="48" t="n">
        <v>7</v>
      </c>
      <c r="J747" s="48" t="n">
        <v>29600</v>
      </c>
      <c r="K747" s="47">
        <f t="array" ref="K747">_xlfn.XLOOKUP(1,(참조!$B$2:$B$15=E747)*(참조!$D$2:$D$15=C747)*(참조!$E$2:$E$15=D747),참조!$C$2:$C$15,"")</f>
        <v/>
      </c>
    </row>
    <row r="748" hidden="1" s="27">
      <c r="A748" s="47" t="inlineStr">
        <is>
          <t>더원모바일</t>
        </is>
      </c>
      <c r="B748" s="47" t="inlineStr">
        <is>
          <t>TOP 10GB 기본 (다이소)</t>
        </is>
      </c>
      <c r="C748" s="47" t="inlineStr">
        <is>
          <t>무제한</t>
        </is>
      </c>
      <c r="D748" s="47" t="inlineStr">
        <is>
          <t>무제한</t>
        </is>
      </c>
      <c r="E748" s="47" t="inlineStr">
        <is>
          <t>월 10GB + 1Mbps</t>
        </is>
      </c>
      <c r="F748" s="47" t="inlineStr">
        <is>
          <t>KT</t>
        </is>
      </c>
      <c r="G748" s="47" t="inlineStr">
        <is>
          <t>LTE</t>
        </is>
      </c>
      <c r="H748" s="48" t="n">
        <v>9900</v>
      </c>
      <c r="I748" s="48" t="n">
        <v>12</v>
      </c>
      <c r="J748" s="48" t="n">
        <v>28600</v>
      </c>
      <c r="K748" s="47">
        <f t="array" ref="K748">_xlfn.XLOOKUP(1,(참조!$B$2:$B$15=E748)*(참조!$D$2:$D$15=C748)*(참조!$E$2:$E$15=D748),참조!$C$2:$C$15,"")</f>
        <v/>
      </c>
    </row>
    <row r="749" hidden="1" s="27">
      <c r="A749" s="47" t="inlineStr">
        <is>
          <t>KT스카이라이프</t>
        </is>
      </c>
      <c r="B749" s="47" t="inlineStr">
        <is>
          <t>모두 충분 11GB+(올리브영_5000)</t>
        </is>
      </c>
      <c r="C749" s="47" t="inlineStr">
        <is>
          <t>무제한</t>
        </is>
      </c>
      <c r="D749" s="47" t="inlineStr">
        <is>
          <t>무제한</t>
        </is>
      </c>
      <c r="E749" s="47" t="inlineStr">
        <is>
          <t>월 11GB + 매일 2GB + 3Mbps</t>
        </is>
      </c>
      <c r="F749" s="47" t="inlineStr">
        <is>
          <t>KT</t>
        </is>
      </c>
      <c r="G749" s="47" t="inlineStr">
        <is>
          <t>LTE</t>
        </is>
      </c>
      <c r="H749" s="48" t="n">
        <v>36600</v>
      </c>
      <c r="I749" s="48" t="n"/>
      <c r="J749" s="48" t="n"/>
      <c r="K749" s="47">
        <f t="array" ref="K749">_xlfn.XLOOKUP(1,(참조!$B$2:$B$15=E749)*(참조!$D$2:$D$15=C749)*(참조!$E$2:$E$15=D749),참조!$C$2:$C$15,"")</f>
        <v/>
      </c>
    </row>
    <row r="750" hidden="1" s="27">
      <c r="A750" s="47" t="inlineStr">
        <is>
          <t>이야기모바일</t>
        </is>
      </c>
      <c r="B750" s="47" t="inlineStr">
        <is>
          <t>함께이야기해S 무한 10GB</t>
        </is>
      </c>
      <c r="C750" s="47" t="inlineStr">
        <is>
          <t>무제한</t>
        </is>
      </c>
      <c r="D750" s="47" t="inlineStr">
        <is>
          <t>무제한</t>
        </is>
      </c>
      <c r="E750" s="47" t="inlineStr">
        <is>
          <t>월 10GB</t>
        </is>
      </c>
      <c r="F750" s="47" t="inlineStr">
        <is>
          <t>SKT</t>
        </is>
      </c>
      <c r="G750" s="47" t="inlineStr">
        <is>
          <t>LTE</t>
        </is>
      </c>
      <c r="H750" s="48" t="n">
        <v>13000</v>
      </c>
      <c r="I750" s="48" t="n">
        <v>12</v>
      </c>
      <c r="J750" s="48" t="n">
        <v>16500</v>
      </c>
      <c r="K750" s="47">
        <f t="array" ref="K750">_xlfn.XLOOKUP(1,(참조!$B$2:$B$15=E750)*(참조!$D$2:$D$15=C750)*(참조!$E$2:$E$15=D750),참조!$C$2:$C$15,"")</f>
        <v/>
      </c>
    </row>
    <row r="751" hidden="1" s="27">
      <c r="A751" s="47" t="inlineStr">
        <is>
          <t>티플러스</t>
        </is>
      </c>
      <c r="B751" s="47" t="inlineStr">
        <is>
          <t>티플 10GB(10GB/200분)</t>
        </is>
      </c>
      <c r="C751" s="47" t="inlineStr">
        <is>
          <t>200분</t>
        </is>
      </c>
      <c r="D751" s="47" t="inlineStr">
        <is>
          <t>100건</t>
        </is>
      </c>
      <c r="E751" s="47" t="inlineStr">
        <is>
          <t>월 10GB</t>
        </is>
      </c>
      <c r="F751" s="47" t="inlineStr">
        <is>
          <t>SKT</t>
        </is>
      </c>
      <c r="G751" s="47" t="inlineStr">
        <is>
          <t>LTE</t>
        </is>
      </c>
      <c r="H751" s="48" t="n">
        <v>8500</v>
      </c>
      <c r="I751" s="48" t="n"/>
      <c r="J751" s="48" t="n"/>
      <c r="K751" s="47">
        <f t="array" ref="K751">_xlfn.XLOOKUP(1,(참조!$B$2:$B$15=E751)*(참조!$D$2:$D$15=C751)*(참조!$E$2:$E$15=D751),참조!$C$2:$C$15,"")</f>
        <v/>
      </c>
    </row>
    <row r="752" hidden="1" s="27">
      <c r="A752" s="47" t="inlineStr">
        <is>
          <t>인스모바일</t>
        </is>
      </c>
      <c r="B752" s="47" t="inlineStr">
        <is>
          <t>[평생할인]데이터 안심 10GB+(USIM)</t>
        </is>
      </c>
      <c r="C752" s="47" t="inlineStr">
        <is>
          <t>100분</t>
        </is>
      </c>
      <c r="D752" s="47" t="inlineStr">
        <is>
          <t>100건</t>
        </is>
      </c>
      <c r="E752" s="47" t="inlineStr">
        <is>
          <t>월 10GB + 1Mbps</t>
        </is>
      </c>
      <c r="F752" s="47" t="inlineStr">
        <is>
          <t>LG U+</t>
        </is>
      </c>
      <c r="G752" s="47" t="inlineStr">
        <is>
          <t>LTE</t>
        </is>
      </c>
      <c r="H752" s="48" t="n">
        <v>8250</v>
      </c>
      <c r="I752" s="48" t="n"/>
      <c r="J752" s="48" t="n"/>
      <c r="K752" s="47">
        <f t="array" ref="K752">_xlfn.XLOOKUP(1,(참조!$B$2:$B$15=E752)*(참조!$D$2:$D$15=C752)*(참조!$E$2:$E$15=D752),참조!$C$2:$C$15,"")</f>
        <v/>
      </c>
    </row>
    <row r="753" hidden="1" s="27">
      <c r="A753" s="47" t="inlineStr">
        <is>
          <t>스마텔</t>
        </is>
      </c>
      <c r="B753" s="47" t="inlineStr">
        <is>
          <t>스위트 7GB+(밀리의서재) (+10GB 24개월간 추가 제공)</t>
        </is>
      </c>
      <c r="C753" s="47" t="inlineStr">
        <is>
          <t>무제한</t>
        </is>
      </c>
      <c r="D753" s="47" t="inlineStr">
        <is>
          <t>무제한</t>
        </is>
      </c>
      <c r="E753" s="47" t="inlineStr">
        <is>
          <t>월 7GB + 1Mbps</t>
        </is>
      </c>
      <c r="F753" s="47" t="inlineStr">
        <is>
          <t>KT</t>
        </is>
      </c>
      <c r="G753" s="47" t="inlineStr">
        <is>
          <t>LTE</t>
        </is>
      </c>
      <c r="H753" s="48" t="n">
        <v>13000</v>
      </c>
      <c r="I753" s="48" t="n">
        <v>12</v>
      </c>
      <c r="J753" s="48" t="n">
        <v>25300</v>
      </c>
      <c r="K753" s="47">
        <f t="array" ref="K753">_xlfn.XLOOKUP(1,(참조!$B$2:$B$15=E753)*(참조!$D$2:$D$15=C753)*(참조!$E$2:$E$15=D753),참조!$C$2:$C$15,"")</f>
        <v/>
      </c>
    </row>
    <row r="754" hidden="1" s="27">
      <c r="A754" s="47" t="inlineStr">
        <is>
          <t>더원모바일</t>
        </is>
      </c>
      <c r="B754" s="47" t="inlineStr">
        <is>
          <t>TOP 7GB 기본 (쿠팡캐시)</t>
        </is>
      </c>
      <c r="C754" s="47" t="inlineStr">
        <is>
          <t>무제한</t>
        </is>
      </c>
      <c r="D754" s="47" t="inlineStr">
        <is>
          <t>무제한</t>
        </is>
      </c>
      <c r="E754" s="47" t="inlineStr">
        <is>
          <t>월 7GB + 1Mbps</t>
        </is>
      </c>
      <c r="F754" s="47" t="inlineStr">
        <is>
          <t>KT</t>
        </is>
      </c>
      <c r="G754" s="47" t="inlineStr">
        <is>
          <t>LTE</t>
        </is>
      </c>
      <c r="H754" s="48" t="n">
        <v>8910</v>
      </c>
      <c r="I754" s="48" t="n">
        <v>12</v>
      </c>
      <c r="J754" s="48" t="n">
        <v>26400</v>
      </c>
      <c r="K754" s="47">
        <f t="array" ref="K754">_xlfn.XLOOKUP(1,(참조!$B$2:$B$15=E754)*(참조!$D$2:$D$15=C754)*(참조!$E$2:$E$15=D754),참조!$C$2:$C$15,"")</f>
        <v/>
      </c>
    </row>
    <row r="755" hidden="1" s="27">
      <c r="A755" s="47" t="inlineStr">
        <is>
          <t>핀다이렉트</t>
        </is>
      </c>
      <c r="B755" s="47" t="inlineStr">
        <is>
          <t>[L] 핀다이렉트e Xtra 1GB</t>
        </is>
      </c>
      <c r="C755" s="47" t="inlineStr">
        <is>
          <t>50분</t>
        </is>
      </c>
      <c r="D755" s="47" t="inlineStr">
        <is>
          <t>50건</t>
        </is>
      </c>
      <c r="E755" s="47" t="inlineStr">
        <is>
          <t>월 1GB</t>
        </is>
      </c>
      <c r="F755" s="47" t="inlineStr">
        <is>
          <t>LG U+</t>
        </is>
      </c>
      <c r="G755" s="47" t="inlineStr">
        <is>
          <t>5G</t>
        </is>
      </c>
      <c r="H755" s="48" t="n">
        <v>110</v>
      </c>
      <c r="I755" s="48" t="n">
        <v>7</v>
      </c>
      <c r="J755" s="48" t="n">
        <v>6600</v>
      </c>
      <c r="K755" s="47">
        <f t="array" ref="K755">_xlfn.XLOOKUP(1,(참조!$B$2:$B$15=E755)*(참조!$D$2:$D$15=C755)*(참조!$E$2:$E$15=D755),참조!$C$2:$C$15,"")</f>
        <v/>
      </c>
    </row>
    <row r="756" hidden="1" s="27">
      <c r="A756" s="47" t="inlineStr">
        <is>
          <t>티플러스</t>
        </is>
      </c>
      <c r="B756" s="47" t="inlineStr">
        <is>
          <t>The 완전마음껏15G+(100분)(카톡 이모티콘+예스24e북)</t>
        </is>
      </c>
      <c r="C756" s="47" t="inlineStr">
        <is>
          <t>100분</t>
        </is>
      </c>
      <c r="D756" s="47" t="inlineStr">
        <is>
          <t>100건</t>
        </is>
      </c>
      <c r="E756" s="47" t="inlineStr">
        <is>
          <t>월 15GB + 3Mbps</t>
        </is>
      </c>
      <c r="F756" s="47" t="inlineStr">
        <is>
          <t>LG U+</t>
        </is>
      </c>
      <c r="G756" s="47" t="inlineStr">
        <is>
          <t>LTE</t>
        </is>
      </c>
      <c r="H756" s="48" t="n">
        <v>21500</v>
      </c>
      <c r="I756" s="48" t="n">
        <v>24</v>
      </c>
      <c r="J756" s="48" t="n">
        <v>35090</v>
      </c>
      <c r="K756" s="47">
        <f t="array" ref="K756">_xlfn.XLOOKUP(1,(참조!$B$2:$B$15=E756)*(참조!$D$2:$D$15=C756)*(참조!$E$2:$E$15=D756),참조!$C$2:$C$15,"")</f>
        <v/>
      </c>
    </row>
    <row r="757" hidden="1" s="27">
      <c r="A757" s="47" t="inlineStr">
        <is>
          <t>시월모바일</t>
        </is>
      </c>
      <c r="B757" s="47" t="inlineStr">
        <is>
          <t>두해 300분15GB+</t>
        </is>
      </c>
      <c r="C757" s="47" t="inlineStr">
        <is>
          <t>300분</t>
        </is>
      </c>
      <c r="D757" s="47" t="inlineStr">
        <is>
          <t>300건</t>
        </is>
      </c>
      <c r="E757" s="47" t="inlineStr">
        <is>
          <t>월 15GB + 3Mbps</t>
        </is>
      </c>
      <c r="F757" s="47" t="inlineStr">
        <is>
          <t>LG U+</t>
        </is>
      </c>
      <c r="G757" s="47" t="inlineStr">
        <is>
          <t>LTE</t>
        </is>
      </c>
      <c r="H757" s="48" t="n">
        <v>21550</v>
      </c>
      <c r="I757" s="48" t="n">
        <v>24</v>
      </c>
      <c r="J757" s="48" t="n">
        <v>34200</v>
      </c>
      <c r="K757" s="47">
        <f t="array" ref="K757">_xlfn.XLOOKUP(1,(참조!$B$2:$B$15=E757)*(참조!$D$2:$D$15=C757)*(참조!$E$2:$E$15=D757),참조!$C$2:$C$15,"")</f>
        <v/>
      </c>
    </row>
    <row r="758" hidden="1" s="27">
      <c r="A758" s="47" t="inlineStr">
        <is>
          <t>KT엠모바일</t>
        </is>
      </c>
      <c r="B758" s="47" t="inlineStr">
        <is>
          <t>데이터 맘껏 15GB+/100분(CU 20%할인)</t>
        </is>
      </c>
      <c r="C758" s="47" t="inlineStr">
        <is>
          <t>100분</t>
        </is>
      </c>
      <c r="D758" s="47" t="inlineStr">
        <is>
          <t>100건</t>
        </is>
      </c>
      <c r="E758" s="47" t="inlineStr">
        <is>
          <t>월 15GB + 3Mbps</t>
        </is>
      </c>
      <c r="F758" s="47" t="inlineStr">
        <is>
          <t>KT</t>
        </is>
      </c>
      <c r="G758" s="47" t="inlineStr">
        <is>
          <t>LTE</t>
        </is>
      </c>
      <c r="H758" s="48" t="n">
        <v>25300</v>
      </c>
      <c r="I758" s="48" t="n"/>
      <c r="J758" s="48" t="n"/>
      <c r="K758" s="47">
        <f t="array" ref="K758">_xlfn.XLOOKUP(1,(참조!$B$2:$B$15=E758)*(참조!$D$2:$D$15=C758)*(참조!$E$2:$E$15=D758),참조!$C$2:$C$15,"")</f>
        <v/>
      </c>
    </row>
    <row r="759" hidden="1" s="27">
      <c r="A759" s="47" t="inlineStr">
        <is>
          <t>티플러스</t>
        </is>
      </c>
      <c r="B759" s="47" t="inlineStr">
        <is>
          <t>5G 티플 150GB+</t>
        </is>
      </c>
      <c r="C759" s="47" t="inlineStr">
        <is>
          <t>무제한</t>
        </is>
      </c>
      <c r="D759" s="47" t="inlineStr">
        <is>
          <t>무제한</t>
        </is>
      </c>
      <c r="E759" s="47" t="inlineStr">
        <is>
          <t>월 150GB + 5Mbps</t>
        </is>
      </c>
      <c r="F759" s="47" t="inlineStr">
        <is>
          <t>LG U+</t>
        </is>
      </c>
      <c r="G759" s="47" t="inlineStr">
        <is>
          <t>5G</t>
        </is>
      </c>
      <c r="H759" s="48" t="n">
        <v>9900</v>
      </c>
      <c r="I759" s="48" t="n">
        <v>7</v>
      </c>
      <c r="J759" s="48" t="n">
        <v>57200</v>
      </c>
      <c r="K759" s="47">
        <f t="array" ref="K759">_xlfn.XLOOKUP(1,(참조!$B$2:$B$15=E759)*(참조!$D$2:$D$15=C759)*(참조!$E$2:$E$15=D759),참조!$C$2:$C$15,"")</f>
        <v/>
      </c>
    </row>
    <row r="760" hidden="1" s="27">
      <c r="A760" s="47" t="inlineStr">
        <is>
          <t>티플러스</t>
        </is>
      </c>
      <c r="B760" s="47" t="inlineStr">
        <is>
          <t>The 완전마음껏 100G+(올리브영 매월 5000P)</t>
        </is>
      </c>
      <c r="C760" s="47" t="inlineStr">
        <is>
          <t>무제한</t>
        </is>
      </c>
      <c r="D760" s="47" t="inlineStr">
        <is>
          <t>무제한</t>
        </is>
      </c>
      <c r="E760" s="47" t="inlineStr">
        <is>
          <t>월 100GB + 5Mbps</t>
        </is>
      </c>
      <c r="F760" s="47" t="inlineStr">
        <is>
          <t>LG U+</t>
        </is>
      </c>
      <c r="G760" s="47" t="inlineStr">
        <is>
          <t>LTE</t>
        </is>
      </c>
      <c r="H760" s="48" t="n">
        <v>30900</v>
      </c>
      <c r="I760" s="48" t="n">
        <v>24</v>
      </c>
      <c r="J760" s="48" t="n">
        <v>52800</v>
      </c>
      <c r="K760" s="47">
        <f t="array" ref="K760">_xlfn.XLOOKUP(1,(참조!$B$2:$B$15=E760)*(참조!$D$2:$D$15=C760)*(참조!$E$2:$E$15=D760),참조!$C$2:$C$15,"")</f>
        <v/>
      </c>
    </row>
    <row r="761" hidden="1" s="27">
      <c r="A761" s="47" t="inlineStr">
        <is>
          <t>모나</t>
        </is>
      </c>
      <c r="B761" s="47" t="inlineStr">
        <is>
          <t>더중앙+모나_100G+5M</t>
        </is>
      </c>
      <c r="C761" s="47" t="inlineStr">
        <is>
          <t>무제한</t>
        </is>
      </c>
      <c r="D761" s="47" t="inlineStr">
        <is>
          <t>무제한</t>
        </is>
      </c>
      <c r="E761" s="47" t="inlineStr">
        <is>
          <t>월 100GB + 5Mbps</t>
        </is>
      </c>
      <c r="F761" s="47" t="inlineStr">
        <is>
          <t>LG U+</t>
        </is>
      </c>
      <c r="G761" s="47" t="inlineStr">
        <is>
          <t>LTE</t>
        </is>
      </c>
      <c r="H761" s="48" t="n">
        <v>16990</v>
      </c>
      <c r="I761" s="48" t="n">
        <v>7</v>
      </c>
      <c r="J761" s="48" t="n">
        <v>48400</v>
      </c>
      <c r="K761" s="47">
        <f t="array" ref="K761">_xlfn.XLOOKUP(1,(참조!$B$2:$B$15=E761)*(참조!$D$2:$D$15=C761)*(참조!$E$2:$E$15=D761),참조!$C$2:$C$15,"")</f>
        <v/>
      </c>
    </row>
    <row r="762" hidden="1" s="27">
      <c r="A762" s="47" t="inlineStr">
        <is>
          <t>KT스카이라이프</t>
        </is>
      </c>
      <c r="B762" s="47" t="inlineStr">
        <is>
          <t>모두 충분 11GB+(웨이브)</t>
        </is>
      </c>
      <c r="C762" s="47" t="inlineStr">
        <is>
          <t>무제한</t>
        </is>
      </c>
      <c r="D762" s="47" t="inlineStr">
        <is>
          <t>무제한</t>
        </is>
      </c>
      <c r="E762" s="47" t="inlineStr">
        <is>
          <t>월 11GB + 매일 2GB + 3Mbps</t>
        </is>
      </c>
      <c r="F762" s="47" t="inlineStr">
        <is>
          <t>KT</t>
        </is>
      </c>
      <c r="G762" s="47" t="inlineStr">
        <is>
          <t>LTE</t>
        </is>
      </c>
      <c r="H762" s="48" t="n">
        <v>37800</v>
      </c>
      <c r="I762" s="48" t="n"/>
      <c r="J762" s="48" t="n"/>
      <c r="K762" s="47">
        <f t="array" ref="K762">_xlfn.XLOOKUP(1,(참조!$B$2:$B$15=E762)*(참조!$D$2:$D$15=C762)*(참조!$E$2:$E$15=D762),참조!$C$2:$C$15,"")</f>
        <v/>
      </c>
    </row>
    <row r="763" hidden="1" s="27">
      <c r="A763" s="47" t="inlineStr">
        <is>
          <t>티플러스</t>
        </is>
      </c>
      <c r="B763" s="47" t="inlineStr">
        <is>
          <t>The 데이터마음껏15G＋(100분)(올리브영 매월 5000P)</t>
        </is>
      </c>
      <c r="C763" s="47" t="inlineStr">
        <is>
          <t>100분</t>
        </is>
      </c>
      <c r="D763" s="47" t="inlineStr">
        <is>
          <t>100건</t>
        </is>
      </c>
      <c r="E763" s="47" t="inlineStr">
        <is>
          <t>월 15GB + 3Mbps</t>
        </is>
      </c>
      <c r="F763" s="47" t="inlineStr">
        <is>
          <t>LG U+</t>
        </is>
      </c>
      <c r="G763" s="47" t="inlineStr">
        <is>
          <t>LTE</t>
        </is>
      </c>
      <c r="H763" s="48" t="n">
        <v>21500</v>
      </c>
      <c r="I763" s="48" t="n">
        <v>24</v>
      </c>
      <c r="J763" s="48" t="n">
        <v>35090</v>
      </c>
      <c r="K763" s="47">
        <f t="array" ref="K763">_xlfn.XLOOKUP(1,(참조!$B$2:$B$15=E763)*(참조!$D$2:$D$15=C763)*(참조!$E$2:$E$15=D763),참조!$C$2:$C$15,"")</f>
        <v/>
      </c>
    </row>
    <row r="764" hidden="1" s="27">
      <c r="A764" s="47" t="inlineStr">
        <is>
          <t>KT스카이라이프</t>
        </is>
      </c>
      <c r="B764" s="47" t="inlineStr">
        <is>
          <t>모두 충분 7GB+(지니뮤직)</t>
        </is>
      </c>
      <c r="C764" s="47" t="inlineStr">
        <is>
          <t>무제한</t>
        </is>
      </c>
      <c r="D764" s="47" t="inlineStr">
        <is>
          <t>무제한</t>
        </is>
      </c>
      <c r="E764" s="47" t="inlineStr">
        <is>
          <t>월 7GB + 1Mbps</t>
        </is>
      </c>
      <c r="F764" s="47" t="inlineStr">
        <is>
          <t>KT</t>
        </is>
      </c>
      <c r="G764" s="47" t="inlineStr">
        <is>
          <t>LTE</t>
        </is>
      </c>
      <c r="H764" s="48" t="n">
        <v>19500</v>
      </c>
      <c r="I764" s="48" t="n"/>
      <c r="J764" s="48" t="n"/>
      <c r="K764" s="47">
        <f t="array" ref="K764">_xlfn.XLOOKUP(1,(참조!$B$2:$B$15=E764)*(참조!$D$2:$D$15=C764)*(참조!$E$2:$E$15=D764),참조!$C$2:$C$15,"")</f>
        <v/>
      </c>
    </row>
    <row r="765" hidden="1" s="27">
      <c r="A765" s="47" t="inlineStr">
        <is>
          <t>더원모바일</t>
        </is>
      </c>
      <c r="B765" s="47" t="inlineStr">
        <is>
          <t>TOP 7GB 기본 (다이소)</t>
        </is>
      </c>
      <c r="C765" s="47" t="inlineStr">
        <is>
          <t>무제한</t>
        </is>
      </c>
      <c r="D765" s="47" t="inlineStr">
        <is>
          <t>무제한</t>
        </is>
      </c>
      <c r="E765" s="47" t="inlineStr">
        <is>
          <t>월 7GB + 1Mbps</t>
        </is>
      </c>
      <c r="F765" s="47" t="inlineStr">
        <is>
          <t>KT</t>
        </is>
      </c>
      <c r="G765" s="47" t="inlineStr">
        <is>
          <t>LTE</t>
        </is>
      </c>
      <c r="H765" s="48" t="n">
        <v>8910</v>
      </c>
      <c r="I765" s="48" t="n">
        <v>12</v>
      </c>
      <c r="J765" s="48" t="n">
        <v>26400</v>
      </c>
      <c r="K765" s="47">
        <f t="array" ref="K765">_xlfn.XLOOKUP(1,(참조!$B$2:$B$15=E765)*(참조!$D$2:$D$15=C765)*(참조!$E$2:$E$15=D765),참조!$C$2:$C$15,"")</f>
        <v/>
      </c>
    </row>
    <row r="766" hidden="1" s="27">
      <c r="A766" s="47" t="inlineStr">
        <is>
          <t>더원모바일</t>
        </is>
      </c>
      <c r="B766" s="47" t="inlineStr">
        <is>
          <t>TOP 15GB 300분 (올리브영)</t>
        </is>
      </c>
      <c r="C766" s="47" t="inlineStr">
        <is>
          <t>300분</t>
        </is>
      </c>
      <c r="D766" s="47" t="inlineStr">
        <is>
          <t>300건</t>
        </is>
      </c>
      <c r="E766" s="47" t="inlineStr">
        <is>
          <t>월 15GB + 3Mbps</t>
        </is>
      </c>
      <c r="F766" s="47" t="inlineStr">
        <is>
          <t>KT</t>
        </is>
      </c>
      <c r="G766" s="47" t="inlineStr">
        <is>
          <t>LTE</t>
        </is>
      </c>
      <c r="H766" s="48" t="n">
        <v>8250</v>
      </c>
      <c r="I766" s="48" t="n">
        <v>7</v>
      </c>
      <c r="J766" s="48" t="n">
        <v>38500</v>
      </c>
      <c r="K766" s="47">
        <f t="array" ref="K766">_xlfn.XLOOKUP(1,(참조!$B$2:$B$15=E766)*(참조!$D$2:$D$15=C766)*(참조!$E$2:$E$15=D766),참조!$C$2:$C$15,"")</f>
        <v/>
      </c>
    </row>
    <row r="767" hidden="1" s="27">
      <c r="A767" s="47" t="inlineStr">
        <is>
          <t>이야기모바일</t>
        </is>
      </c>
      <c r="B767" s="47" t="inlineStr">
        <is>
          <t>내맘대로S(100+1GB)</t>
        </is>
      </c>
      <c r="C767" s="47" t="inlineStr">
        <is>
          <t>100분</t>
        </is>
      </c>
      <c r="D767" s="47" t="inlineStr">
        <is>
          <t>100건</t>
        </is>
      </c>
      <c r="E767" s="47" t="inlineStr">
        <is>
          <t>월 1GB</t>
        </is>
      </c>
      <c r="F767" s="47" t="inlineStr">
        <is>
          <t>SKT</t>
        </is>
      </c>
      <c r="G767" s="47" t="inlineStr">
        <is>
          <t>LTE</t>
        </is>
      </c>
      <c r="H767" s="48" t="n">
        <v>80</v>
      </c>
      <c r="I767" s="48" t="n">
        <v>4</v>
      </c>
      <c r="J767" s="48" t="n">
        <v>5500</v>
      </c>
      <c r="K767" s="47">
        <f t="array" ref="K767">_xlfn.XLOOKUP(1,(참조!$B$2:$B$15=E767)*(참조!$D$2:$D$15=C767)*(참조!$E$2:$E$15=D767),참조!$C$2:$C$15,"")</f>
        <v/>
      </c>
    </row>
    <row r="768" hidden="1" s="27">
      <c r="A768" s="47" t="inlineStr">
        <is>
          <t>고고모바일</t>
        </is>
      </c>
      <c r="B768" s="47" t="inlineStr">
        <is>
          <t>[모요only] 무제한 7GB+1M(밀리의서재 Free)</t>
        </is>
      </c>
      <c r="C768" s="47" t="inlineStr">
        <is>
          <t>무제한</t>
        </is>
      </c>
      <c r="D768" s="47" t="inlineStr">
        <is>
          <t>무제한</t>
        </is>
      </c>
      <c r="E768" s="47" t="inlineStr">
        <is>
          <t>월 7GB + 1Mbps</t>
        </is>
      </c>
      <c r="F768" s="47" t="inlineStr">
        <is>
          <t>KT</t>
        </is>
      </c>
      <c r="G768" s="47" t="inlineStr">
        <is>
          <t>LTE</t>
        </is>
      </c>
      <c r="H768" s="48" t="n">
        <v>3000</v>
      </c>
      <c r="I768" s="48" t="n">
        <v>7</v>
      </c>
      <c r="J768" s="48" t="n">
        <v>20900</v>
      </c>
      <c r="K768" s="47">
        <f t="array" ref="K768">_xlfn.XLOOKUP(1,(참조!$B$2:$B$15=E768)*(참조!$D$2:$D$15=C768)*(참조!$E$2:$E$15=D768),참조!$C$2:$C$15,"")</f>
        <v/>
      </c>
    </row>
    <row r="769" hidden="1" s="27">
      <c r="A769" s="47" t="inlineStr">
        <is>
          <t>KT스카이라이프</t>
        </is>
      </c>
      <c r="B769" s="47" t="inlineStr">
        <is>
          <t>모두 충분 100GB+(Pay_5000)</t>
        </is>
      </c>
      <c r="C769" s="47" t="inlineStr">
        <is>
          <t>무제한</t>
        </is>
      </c>
      <c r="D769" s="47" t="inlineStr">
        <is>
          <t>무제한</t>
        </is>
      </c>
      <c r="E769" s="47" t="inlineStr">
        <is>
          <t>월 100GB + 5Mbps</t>
        </is>
      </c>
      <c r="F769" s="47" t="inlineStr">
        <is>
          <t>KT</t>
        </is>
      </c>
      <c r="G769" s="47" t="inlineStr">
        <is>
          <t>LTE</t>
        </is>
      </c>
      <c r="H769" s="48" t="n">
        <v>41700</v>
      </c>
      <c r="I769" s="48" t="n"/>
      <c r="J769" s="48" t="n"/>
      <c r="K769" s="47">
        <f t="array" ref="K769">_xlfn.XLOOKUP(1,(참조!$B$2:$B$15=E769)*(참조!$D$2:$D$15=C769)*(참조!$E$2:$E$15=D769),참조!$C$2:$C$15,"")</f>
        <v/>
      </c>
    </row>
    <row r="770" hidden="1" s="27">
      <c r="A770" s="47" t="inlineStr">
        <is>
          <t>더원모바일</t>
        </is>
      </c>
      <c r="B770" s="47" t="inlineStr">
        <is>
          <t>TOP 5G 110GB 기본 (올리브영)</t>
        </is>
      </c>
      <c r="C770" s="47" t="inlineStr">
        <is>
          <t>무제한</t>
        </is>
      </c>
      <c r="D770" s="47" t="inlineStr">
        <is>
          <t>무제한</t>
        </is>
      </c>
      <c r="E770" s="47" t="inlineStr">
        <is>
          <t>월 110GB + 5Mbps</t>
        </is>
      </c>
      <c r="F770" s="47" t="inlineStr">
        <is>
          <t>KT</t>
        </is>
      </c>
      <c r="G770" s="47" t="inlineStr">
        <is>
          <t>5G</t>
        </is>
      </c>
      <c r="H770" s="48" t="n">
        <v>18700</v>
      </c>
      <c r="I770" s="48" t="n">
        <v>7</v>
      </c>
      <c r="J770" s="48" t="n">
        <v>47300</v>
      </c>
      <c r="K770" s="47">
        <f t="array" ref="K770">_xlfn.XLOOKUP(1,(참조!$B$2:$B$15=E770)*(참조!$D$2:$D$15=C770)*(참조!$E$2:$E$15=D770),참조!$C$2:$C$15,"")</f>
        <v/>
      </c>
    </row>
    <row r="771" hidden="1" s="27">
      <c r="A771" s="47" t="inlineStr">
        <is>
          <t>KG모바일</t>
        </is>
      </c>
      <c r="B771" s="47" t="inlineStr">
        <is>
          <t>[일반] 통화, 데이터 마음대로 7GB+_24개월</t>
        </is>
      </c>
      <c r="C771" s="47" t="inlineStr">
        <is>
          <t>무제한</t>
        </is>
      </c>
      <c r="D771" s="47" t="inlineStr">
        <is>
          <t>무제한</t>
        </is>
      </c>
      <c r="E771" s="47" t="inlineStr">
        <is>
          <t>월 7GB + 1Mbps</t>
        </is>
      </c>
      <c r="F771" s="47" t="inlineStr">
        <is>
          <t>LG U+</t>
        </is>
      </c>
      <c r="G771" s="47" t="inlineStr">
        <is>
          <t>LTE</t>
        </is>
      </c>
      <c r="H771" s="48" t="n">
        <v>13500</v>
      </c>
      <c r="I771" s="48" t="n">
        <v>24</v>
      </c>
      <c r="J771" s="48" t="n">
        <v>24200</v>
      </c>
      <c r="K771" s="47">
        <f t="array" ref="K771">_xlfn.XLOOKUP(1,(참조!$B$2:$B$15=E771)*(참조!$D$2:$D$15=C771)*(참조!$E$2:$E$15=D771),참조!$C$2:$C$15,"")</f>
        <v/>
      </c>
    </row>
    <row r="772" hidden="1" s="27">
      <c r="A772" s="47" t="inlineStr">
        <is>
          <t>이야기모바일</t>
        </is>
      </c>
      <c r="B772" s="47" t="inlineStr">
        <is>
          <t>5G 함께이야기해S 무한 10GB</t>
        </is>
      </c>
      <c r="C772" s="47" t="inlineStr">
        <is>
          <t>무제한</t>
        </is>
      </c>
      <c r="D772" s="47" t="inlineStr">
        <is>
          <t>무제한</t>
        </is>
      </c>
      <c r="E772" s="47" t="inlineStr">
        <is>
          <t>월 10GB</t>
        </is>
      </c>
      <c r="F772" s="47" t="inlineStr">
        <is>
          <t>SKT</t>
        </is>
      </c>
      <c r="G772" s="47" t="inlineStr">
        <is>
          <t>5G</t>
        </is>
      </c>
      <c r="H772" s="48" t="n">
        <v>14300</v>
      </c>
      <c r="I772" s="48" t="n"/>
      <c r="J772" s="48" t="n"/>
      <c r="K772" s="47">
        <f t="array" ref="K772">_xlfn.XLOOKUP(1,(참조!$B$2:$B$15=E772)*(참조!$D$2:$D$15=C772)*(참조!$E$2:$E$15=D772),참조!$C$2:$C$15,"")</f>
        <v/>
      </c>
    </row>
    <row r="773" hidden="1" s="27">
      <c r="A773" s="47" t="inlineStr">
        <is>
          <t>찬스모바일</t>
        </is>
      </c>
      <c r="B773" s="47" t="inlineStr">
        <is>
          <t>실속 10GB+1Mbps</t>
        </is>
      </c>
      <c r="C773" s="47" t="inlineStr">
        <is>
          <t>200분</t>
        </is>
      </c>
      <c r="D773" s="47" t="inlineStr">
        <is>
          <t>100건</t>
        </is>
      </c>
      <c r="E773" s="47" t="inlineStr">
        <is>
          <t>월 10GB + 1Mbps</t>
        </is>
      </c>
      <c r="F773" s="47" t="inlineStr">
        <is>
          <t>LG U+</t>
        </is>
      </c>
      <c r="G773" s="47" t="inlineStr">
        <is>
          <t>LTE</t>
        </is>
      </c>
      <c r="H773" s="48" t="n">
        <v>1100</v>
      </c>
      <c r="I773" s="48" t="n">
        <v>6</v>
      </c>
      <c r="J773" s="48" t="n">
        <v>14300</v>
      </c>
      <c r="K773" s="47">
        <f t="array" ref="K773">_xlfn.XLOOKUP(1,(참조!$B$2:$B$15=E773)*(참조!$D$2:$D$15=C773)*(참조!$E$2:$E$15=D773),참조!$C$2:$C$15,"")</f>
        <v/>
      </c>
    </row>
    <row r="774" hidden="1" s="27">
      <c r="A774" s="47" t="inlineStr">
        <is>
          <t>KT스카이라이프</t>
        </is>
      </c>
      <c r="B774" s="47" t="inlineStr">
        <is>
          <t>5G 통화 충분 30GB</t>
        </is>
      </c>
      <c r="C774" s="47" t="inlineStr">
        <is>
          <t>무제한</t>
        </is>
      </c>
      <c r="D774" s="47" t="inlineStr">
        <is>
          <t>무제한</t>
        </is>
      </c>
      <c r="E774" s="47" t="inlineStr">
        <is>
          <t>월 30GB</t>
        </is>
      </c>
      <c r="F774" s="47" t="inlineStr">
        <is>
          <t>KT</t>
        </is>
      </c>
      <c r="G774" s="47" t="inlineStr">
        <is>
          <t>5G</t>
        </is>
      </c>
      <c r="H774" s="48" t="n">
        <v>29900</v>
      </c>
      <c r="I774" s="48" t="n"/>
      <c r="J774" s="48" t="n"/>
      <c r="K774" s="47">
        <f t="array" ref="K774">_xlfn.XLOOKUP(1,(참조!$B$2:$B$15=E774)*(참조!$D$2:$D$15=C774)*(참조!$E$2:$E$15=D774),참조!$C$2:$C$15,"")</f>
        <v/>
      </c>
    </row>
    <row r="775" hidden="1" s="27">
      <c r="A775" s="47" t="inlineStr">
        <is>
          <t>고고모바일</t>
        </is>
      </c>
      <c r="B775" s="47" t="inlineStr">
        <is>
          <t>[모요only] 무제한 15GB+1M(다이소 5000원)</t>
        </is>
      </c>
      <c r="C775" s="47" t="inlineStr">
        <is>
          <t>무제한</t>
        </is>
      </c>
      <c r="D775" s="47" t="inlineStr">
        <is>
          <t>무제한</t>
        </is>
      </c>
      <c r="E775" s="47" t="inlineStr">
        <is>
          <t>월 15GB + 1Mbps</t>
        </is>
      </c>
      <c r="F775" s="47" t="inlineStr">
        <is>
          <t>KT</t>
        </is>
      </c>
      <c r="G775" s="47" t="inlineStr">
        <is>
          <t>LTE</t>
        </is>
      </c>
      <c r="H775" s="48" t="n">
        <v>11000</v>
      </c>
      <c r="I775" s="48" t="n">
        <v>7</v>
      </c>
      <c r="J775" s="48" t="n">
        <v>28600</v>
      </c>
      <c r="K775" s="47">
        <f t="array" ref="K775">_xlfn.XLOOKUP(1,(참조!$B$2:$B$15=E775)*(참조!$D$2:$D$15=C775)*(참조!$E$2:$E$15=D775),참조!$C$2:$C$15,"")</f>
        <v/>
      </c>
    </row>
    <row r="776" hidden="1" s="27">
      <c r="A776" s="47" t="inlineStr">
        <is>
          <t>티플러스</t>
        </is>
      </c>
      <c r="B776" s="47" t="inlineStr">
        <is>
          <t>The 데이터마음껏15G+(100분)(다이소 매월 5000P)</t>
        </is>
      </c>
      <c r="C776" s="47" t="inlineStr">
        <is>
          <t>100분</t>
        </is>
      </c>
      <c r="D776" s="47" t="inlineStr">
        <is>
          <t>100건</t>
        </is>
      </c>
      <c r="E776" s="47" t="inlineStr">
        <is>
          <t>월 15GB + 3Mbps</t>
        </is>
      </c>
      <c r="F776" s="47" t="inlineStr">
        <is>
          <t>LG U+</t>
        </is>
      </c>
      <c r="G776" s="47" t="inlineStr">
        <is>
          <t>LTE</t>
        </is>
      </c>
      <c r="H776" s="48" t="n">
        <v>20500</v>
      </c>
      <c r="I776" s="48" t="n">
        <v>24</v>
      </c>
      <c r="J776" s="48" t="n">
        <v>35090</v>
      </c>
      <c r="K776" s="47">
        <f t="array" ref="K776">_xlfn.XLOOKUP(1,(참조!$B$2:$B$15=E776)*(참조!$D$2:$D$15=C776)*(참조!$E$2:$E$15=D776),참조!$C$2:$C$15,"")</f>
        <v/>
      </c>
    </row>
    <row r="777" hidden="1" s="27">
      <c r="A777" s="47" t="inlineStr">
        <is>
          <t>고고모바일</t>
        </is>
      </c>
      <c r="B777" s="47" t="inlineStr">
        <is>
          <t>[모요only] 무제한 15GB+1M(올리브영 5000원)</t>
        </is>
      </c>
      <c r="C777" s="47" t="inlineStr">
        <is>
          <t>무제한</t>
        </is>
      </c>
      <c r="D777" s="47" t="inlineStr">
        <is>
          <t>무제한</t>
        </is>
      </c>
      <c r="E777" s="47" t="inlineStr">
        <is>
          <t>월 15GB + 1Mbps</t>
        </is>
      </c>
      <c r="F777" s="47" t="inlineStr">
        <is>
          <t>KT</t>
        </is>
      </c>
      <c r="G777" s="47" t="inlineStr">
        <is>
          <t>LTE</t>
        </is>
      </c>
      <c r="H777" s="48" t="n">
        <v>11000</v>
      </c>
      <c r="I777" s="48" t="n">
        <v>7</v>
      </c>
      <c r="J777" s="48" t="n">
        <v>28600</v>
      </c>
      <c r="K777" s="47">
        <f t="array" ref="K777">_xlfn.XLOOKUP(1,(참조!$B$2:$B$15=E777)*(참조!$D$2:$D$15=C777)*(참조!$E$2:$E$15=D777),참조!$C$2:$C$15,"")</f>
        <v/>
      </c>
    </row>
    <row r="778" hidden="1" s="27">
      <c r="A778" s="47" t="inlineStr">
        <is>
          <t>인스모바일</t>
        </is>
      </c>
      <c r="B778" s="47" t="inlineStr">
        <is>
          <t>[평생할인]인스 유심 스트롱 11GB+</t>
        </is>
      </c>
      <c r="C778" s="47" t="inlineStr">
        <is>
          <t>무제한</t>
        </is>
      </c>
      <c r="D778" s="47" t="inlineStr">
        <is>
          <t>무제한</t>
        </is>
      </c>
      <c r="E778" s="47" t="inlineStr">
        <is>
          <t>월 11GB + 매일 2GB + 3Mbps</t>
        </is>
      </c>
      <c r="F778" s="47" t="inlineStr">
        <is>
          <t>LG U+</t>
        </is>
      </c>
      <c r="G778" s="47" t="inlineStr">
        <is>
          <t>LTE</t>
        </is>
      </c>
      <c r="H778" s="48" t="n">
        <v>30200</v>
      </c>
      <c r="I778" s="48" t="n"/>
      <c r="J778" s="48" t="n"/>
      <c r="K778" s="47">
        <f t="array" ref="K778">_xlfn.XLOOKUP(1,(참조!$B$2:$B$15=E778)*(참조!$D$2:$D$15=C778)*(참조!$E$2:$E$15=D778),참조!$C$2:$C$15,"")</f>
        <v/>
      </c>
    </row>
    <row r="779" hidden="1" s="27">
      <c r="A779" s="47" t="inlineStr">
        <is>
          <t>더원모바일</t>
        </is>
      </c>
      <c r="B779" s="47" t="inlineStr">
        <is>
          <t>ONE 12GB 100분</t>
        </is>
      </c>
      <c r="C779" s="47" t="inlineStr">
        <is>
          <t>100분</t>
        </is>
      </c>
      <c r="D779" s="47" t="inlineStr">
        <is>
          <t>100건</t>
        </is>
      </c>
      <c r="E779" s="47" t="inlineStr">
        <is>
          <t>월 12GB</t>
        </is>
      </c>
      <c r="F779" s="47" t="inlineStr">
        <is>
          <t>KT</t>
        </is>
      </c>
      <c r="G779" s="47" t="inlineStr">
        <is>
          <t>LTE</t>
        </is>
      </c>
      <c r="H779" s="48" t="n">
        <v>110</v>
      </c>
      <c r="I779" s="48" t="n">
        <v>6</v>
      </c>
      <c r="J779" s="48" t="n">
        <v>18700</v>
      </c>
      <c r="K779" s="47">
        <f t="array" ref="K779">_xlfn.XLOOKUP(1,(참조!$B$2:$B$15=E779)*(참조!$D$2:$D$15=C779)*(참조!$E$2:$E$15=D779),참조!$C$2:$C$15,"")</f>
        <v/>
      </c>
    </row>
    <row r="780" hidden="1" s="27">
      <c r="A780" s="47" t="inlineStr">
        <is>
          <t>쉐이크모바일</t>
        </is>
      </c>
      <c r="B780" s="47" t="inlineStr">
        <is>
          <t>[모요only] 쉐이크 5G 200GB+_밀리의서재</t>
        </is>
      </c>
      <c r="C780" s="47" t="inlineStr">
        <is>
          <t>무제한</t>
        </is>
      </c>
      <c r="D780" s="47" t="inlineStr">
        <is>
          <t>무제한</t>
        </is>
      </c>
      <c r="E780" s="47" t="inlineStr">
        <is>
          <t>월 200GB + 10Mbps</t>
        </is>
      </c>
      <c r="F780" s="47" t="inlineStr">
        <is>
          <t>KT</t>
        </is>
      </c>
      <c r="G780" s="47" t="inlineStr">
        <is>
          <t>5G</t>
        </is>
      </c>
      <c r="H780" s="48" t="n">
        <v>32500</v>
      </c>
      <c r="I780" s="48" t="n">
        <v>12</v>
      </c>
      <c r="J780" s="48" t="n">
        <v>55000</v>
      </c>
      <c r="K780" s="47">
        <f t="array" ref="K780">_xlfn.XLOOKUP(1,(참조!$B$2:$B$15=E780)*(참조!$D$2:$D$15=C780)*(참조!$E$2:$E$15=D780),참조!$C$2:$C$15,"")</f>
        <v/>
      </c>
    </row>
    <row r="781" hidden="1" s="27">
      <c r="A781" s="47" t="inlineStr">
        <is>
          <t>티플러스</t>
        </is>
      </c>
      <c r="B781" s="47" t="inlineStr">
        <is>
          <t>티플 100G＋(올리브영 매월 5000P)</t>
        </is>
      </c>
      <c r="C781" s="47" t="inlineStr">
        <is>
          <t>무제한</t>
        </is>
      </c>
      <c r="D781" s="47" t="inlineStr">
        <is>
          <t>무제한</t>
        </is>
      </c>
      <c r="E781" s="47" t="inlineStr">
        <is>
          <t>월 100GB + 5Mbps</t>
        </is>
      </c>
      <c r="F781" s="47" t="inlineStr">
        <is>
          <t>KT</t>
        </is>
      </c>
      <c r="G781" s="47" t="inlineStr">
        <is>
          <t>LTE</t>
        </is>
      </c>
      <c r="H781" s="48" t="n">
        <v>15900</v>
      </c>
      <c r="I781" s="48" t="n">
        <v>7</v>
      </c>
      <c r="J781" s="48" t="n">
        <v>55000</v>
      </c>
      <c r="K781" s="47">
        <f t="array" ref="K781">_xlfn.XLOOKUP(1,(참조!$B$2:$B$15=E781)*(참조!$D$2:$D$15=C781)*(참조!$E$2:$E$15=D781),참조!$C$2:$C$15,"")</f>
        <v/>
      </c>
    </row>
    <row r="782" hidden="1" s="27">
      <c r="A782" s="47" t="inlineStr">
        <is>
          <t>티플러스</t>
        </is>
      </c>
      <c r="B782" s="47" t="inlineStr">
        <is>
          <t>티플 100G＋(웨이브)</t>
        </is>
      </c>
      <c r="C782" s="47" t="inlineStr">
        <is>
          <t>무제한</t>
        </is>
      </c>
      <c r="D782" s="47" t="inlineStr">
        <is>
          <t>무제한</t>
        </is>
      </c>
      <c r="E782" s="47" t="inlineStr">
        <is>
          <t>월 100GB + 5Mbps</t>
        </is>
      </c>
      <c r="F782" s="47" t="inlineStr">
        <is>
          <t>KT</t>
        </is>
      </c>
      <c r="G782" s="47" t="inlineStr">
        <is>
          <t>LTE</t>
        </is>
      </c>
      <c r="H782" s="48" t="n">
        <v>15900</v>
      </c>
      <c r="I782" s="48" t="n">
        <v>7</v>
      </c>
      <c r="J782" s="48" t="n">
        <v>57200</v>
      </c>
      <c r="K782" s="47">
        <f t="array" ref="K782">_xlfn.XLOOKUP(1,(참조!$B$2:$B$15=E782)*(참조!$D$2:$D$15=C782)*(참조!$E$2:$E$15=D782),참조!$C$2:$C$15,"")</f>
        <v/>
      </c>
    </row>
    <row r="783" hidden="1" s="27">
      <c r="A783" s="47" t="inlineStr">
        <is>
          <t>KG모바일</t>
        </is>
      </c>
      <c r="B783" s="47" t="inlineStr">
        <is>
          <t>[KG모바일 스페셜] 통화, 데이터 마음대로 11GB+</t>
        </is>
      </c>
      <c r="C783" s="47" t="inlineStr">
        <is>
          <t>무제한</t>
        </is>
      </c>
      <c r="D783" s="47" t="inlineStr">
        <is>
          <t>무제한</t>
        </is>
      </c>
      <c r="E783" s="47" t="inlineStr">
        <is>
          <t>월 11GB + 매일 2GB + 3Mbps</t>
        </is>
      </c>
      <c r="F783" s="47" t="inlineStr">
        <is>
          <t>LG U+</t>
        </is>
      </c>
      <c r="G783" s="47" t="inlineStr">
        <is>
          <t>LTE</t>
        </is>
      </c>
      <c r="H783" s="48" t="n">
        <v>15000</v>
      </c>
      <c r="I783" s="48" t="n">
        <v>7</v>
      </c>
      <c r="J783" s="48" t="n">
        <v>41800</v>
      </c>
      <c r="K783" s="47">
        <f t="array" ref="K783">_xlfn.XLOOKUP(1,(참조!$B$2:$B$15=E783)*(참조!$D$2:$D$15=C783)*(참조!$E$2:$E$15=D783),참조!$C$2:$C$15,"")</f>
        <v/>
      </c>
    </row>
    <row r="784" hidden="1" s="27">
      <c r="A784" s="47" t="inlineStr">
        <is>
          <t>티플러스</t>
        </is>
      </c>
      <c r="B784" s="47" t="inlineStr">
        <is>
          <t>티플 100G+_평생할인!</t>
        </is>
      </c>
      <c r="C784" s="47" t="inlineStr">
        <is>
          <t>무제한</t>
        </is>
      </c>
      <c r="D784" s="47" t="inlineStr">
        <is>
          <t>무제한</t>
        </is>
      </c>
      <c r="E784" s="47" t="inlineStr">
        <is>
          <t>월 100GB + 5Mbps</t>
        </is>
      </c>
      <c r="F784" s="47" t="inlineStr">
        <is>
          <t>LG U+</t>
        </is>
      </c>
      <c r="G784" s="47" t="inlineStr">
        <is>
          <t>LTE</t>
        </is>
      </c>
      <c r="H784" s="48" t="n">
        <v>30900</v>
      </c>
      <c r="I784" s="48" t="n"/>
      <c r="J784" s="48" t="n"/>
      <c r="K784" s="47">
        <f t="array" ref="K784">_xlfn.XLOOKUP(1,(참조!$B$2:$B$15=E784)*(참조!$D$2:$D$15=C784)*(참조!$E$2:$E$15=D784),참조!$C$2:$C$15,"")</f>
        <v/>
      </c>
    </row>
    <row r="785" hidden="1" s="27">
      <c r="A785" s="47" t="inlineStr">
        <is>
          <t>이야기모바일</t>
        </is>
      </c>
      <c r="B785" s="47" t="inlineStr">
        <is>
          <t>내맘대로 차단형 (50분+0MB)</t>
        </is>
      </c>
      <c r="C785" s="47" t="inlineStr">
        <is>
          <t>50분</t>
        </is>
      </c>
      <c r="D785" s="47" t="inlineStr">
        <is>
          <t>50건</t>
        </is>
      </c>
      <c r="E785" s="47" t="inlineStr">
        <is>
          <t>데이터 제공안함</t>
        </is>
      </c>
      <c r="F785" s="47" t="inlineStr">
        <is>
          <t>LG U+</t>
        </is>
      </c>
      <c r="G785" s="47" t="inlineStr">
        <is>
          <t>LTE</t>
        </is>
      </c>
      <c r="H785" s="48" t="n">
        <v>3300</v>
      </c>
      <c r="I785" s="48" t="n"/>
      <c r="J785" s="48" t="n"/>
      <c r="K785" s="47">
        <f t="array" ref="K785">_xlfn.XLOOKUP(1,(참조!$B$2:$B$15=E785)*(참조!$D$2:$D$15=C785)*(참조!$E$2:$E$15=D785),참조!$C$2:$C$15,"")</f>
        <v/>
      </c>
    </row>
    <row r="786" hidden="1" s="27">
      <c r="A786" s="47" t="inlineStr">
        <is>
          <t>찬스모바일</t>
        </is>
      </c>
      <c r="B786" s="47" t="inlineStr">
        <is>
          <t>5G 음성기본 95GB+3Mbps</t>
        </is>
      </c>
      <c r="C786" s="47" t="inlineStr">
        <is>
          <t>무제한</t>
        </is>
      </c>
      <c r="D786" s="47" t="inlineStr">
        <is>
          <t>무제한</t>
        </is>
      </c>
      <c r="E786" s="47" t="inlineStr">
        <is>
          <t>월 95GB + 3Mbps</t>
        </is>
      </c>
      <c r="F786" s="47" t="inlineStr">
        <is>
          <t>LG U+</t>
        </is>
      </c>
      <c r="G786" s="47" t="inlineStr">
        <is>
          <t>5G</t>
        </is>
      </c>
      <c r="H786" s="48" t="n">
        <v>9900</v>
      </c>
      <c r="I786" s="48" t="n">
        <v>7</v>
      </c>
      <c r="J786" s="48" t="n">
        <v>50600</v>
      </c>
      <c r="K786" s="47">
        <f t="array" ref="K786">_xlfn.XLOOKUP(1,(참조!$B$2:$B$15=E786)*(참조!$D$2:$D$15=C786)*(참조!$E$2:$E$15=D786),참조!$C$2:$C$15,"")</f>
        <v/>
      </c>
    </row>
    <row r="787" hidden="1" s="27">
      <c r="A787" s="47" t="inlineStr">
        <is>
          <t>스마텔</t>
        </is>
      </c>
      <c r="B787" s="47" t="inlineStr">
        <is>
          <t>5G 스마트 125GB+(24개월)</t>
        </is>
      </c>
      <c r="C787" s="47" t="inlineStr">
        <is>
          <t>무제한</t>
        </is>
      </c>
      <c r="D787" s="47" t="inlineStr">
        <is>
          <t>무제한</t>
        </is>
      </c>
      <c r="E787" s="47" t="inlineStr">
        <is>
          <t>월 125GB + 5Mbps</t>
        </is>
      </c>
      <c r="F787" s="47" t="inlineStr">
        <is>
          <t>LG U+</t>
        </is>
      </c>
      <c r="G787" s="47" t="inlineStr">
        <is>
          <t>5G</t>
        </is>
      </c>
      <c r="H787" s="48" t="n">
        <v>31000</v>
      </c>
      <c r="I787" s="48" t="n">
        <v>24</v>
      </c>
      <c r="J787" s="48" t="n">
        <v>52800</v>
      </c>
      <c r="K787" s="47">
        <f t="array" ref="K787">_xlfn.XLOOKUP(1,(참조!$B$2:$B$15=E787)*(참조!$D$2:$D$15=C787)*(참조!$E$2:$E$15=D787),참조!$C$2:$C$15,"")</f>
        <v/>
      </c>
    </row>
    <row r="788" hidden="1" s="27">
      <c r="A788" s="47" t="inlineStr">
        <is>
          <t>스마텔</t>
        </is>
      </c>
      <c r="B788" s="47" t="inlineStr">
        <is>
          <t>USIM 스위트 심플(100분+5GB)</t>
        </is>
      </c>
      <c r="C788" s="47" t="inlineStr">
        <is>
          <t>100분</t>
        </is>
      </c>
      <c r="D788" s="47" t="inlineStr">
        <is>
          <t>100건</t>
        </is>
      </c>
      <c r="E788" s="47" t="inlineStr">
        <is>
          <t>월 5GB</t>
        </is>
      </c>
      <c r="F788" s="47" t="inlineStr">
        <is>
          <t>KT</t>
        </is>
      </c>
      <c r="G788" s="47" t="inlineStr">
        <is>
          <t>LTE</t>
        </is>
      </c>
      <c r="H788" s="48" t="n">
        <v>90</v>
      </c>
      <c r="I788" s="48" t="n">
        <v>7</v>
      </c>
      <c r="J788" s="48" t="n">
        <v>9900</v>
      </c>
      <c r="K788" s="47">
        <f t="array" ref="K788">_xlfn.XLOOKUP(1,(참조!$B$2:$B$15=E788)*(참조!$D$2:$D$15=C788)*(참조!$E$2:$E$15=D788),참조!$C$2:$C$15,"")</f>
        <v/>
      </c>
    </row>
    <row r="789" hidden="1" s="27">
      <c r="A789" s="47" t="inlineStr">
        <is>
          <t>KT스카이라이프</t>
        </is>
      </c>
      <c r="B789" s="47" t="inlineStr">
        <is>
          <t>모두 충분 100GB+(올리브영_5000)</t>
        </is>
      </c>
      <c r="C789" s="47" t="inlineStr">
        <is>
          <t>무제한</t>
        </is>
      </c>
      <c r="D789" s="47" t="inlineStr">
        <is>
          <t>무제한</t>
        </is>
      </c>
      <c r="E789" s="47" t="inlineStr">
        <is>
          <t>월 100GB + 5Mbps</t>
        </is>
      </c>
      <c r="F789" s="47" t="inlineStr">
        <is>
          <t>KT</t>
        </is>
      </c>
      <c r="G789" s="47" t="inlineStr">
        <is>
          <t>LTE</t>
        </is>
      </c>
      <c r="H789" s="48" t="n">
        <v>41800</v>
      </c>
      <c r="I789" s="48" t="n"/>
      <c r="J789" s="48" t="n"/>
      <c r="K789" s="47">
        <f t="array" ref="K789">_xlfn.XLOOKUP(1,(참조!$B$2:$B$15=E789)*(참조!$D$2:$D$15=C789)*(참조!$E$2:$E$15=D789),참조!$C$2:$C$15,"")</f>
        <v/>
      </c>
    </row>
    <row r="790" hidden="1" s="27">
      <c r="A790" s="47" t="inlineStr">
        <is>
          <t>티플러스</t>
        </is>
      </c>
      <c r="B790" s="47" t="inlineStr">
        <is>
          <t>티플 15GB+(300분)(이디야커피)</t>
        </is>
      </c>
      <c r="C790" s="47" t="inlineStr">
        <is>
          <t>300분</t>
        </is>
      </c>
      <c r="D790" s="47" t="inlineStr">
        <is>
          <t>300건</t>
        </is>
      </c>
      <c r="E790" s="47" t="inlineStr">
        <is>
          <t>월 15GB + 3Mbps</t>
        </is>
      </c>
      <c r="F790" s="47" t="inlineStr">
        <is>
          <t>SKT</t>
        </is>
      </c>
      <c r="G790" s="47" t="inlineStr">
        <is>
          <t>LTE</t>
        </is>
      </c>
      <c r="H790" s="48" t="n">
        <v>11900</v>
      </c>
      <c r="I790" s="48" t="n">
        <v>7</v>
      </c>
      <c r="J790" s="48" t="n">
        <v>40700</v>
      </c>
      <c r="K790" s="47">
        <f t="array" ref="K790">_xlfn.XLOOKUP(1,(참조!$B$2:$B$15=E790)*(참조!$D$2:$D$15=C790)*(참조!$E$2:$E$15=D790),참조!$C$2:$C$15,"")</f>
        <v/>
      </c>
    </row>
    <row r="791" hidden="1" s="27">
      <c r="A791" s="47" t="inlineStr">
        <is>
          <t>고고모바일</t>
        </is>
      </c>
      <c r="B791" s="47" t="inlineStr">
        <is>
          <t>[모요only] 무제한 11GB+3M(다이소 5000원)</t>
        </is>
      </c>
      <c r="C791" s="47" t="inlineStr">
        <is>
          <t>무제한</t>
        </is>
      </c>
      <c r="D791" s="47" t="inlineStr">
        <is>
          <t>무제한</t>
        </is>
      </c>
      <c r="E791" s="47" t="inlineStr">
        <is>
          <t>월 11GB + 매일 2GB + 3Mbps</t>
        </is>
      </c>
      <c r="F791" s="47" t="inlineStr">
        <is>
          <t>KT</t>
        </is>
      </c>
      <c r="G791" s="47" t="inlineStr">
        <is>
          <t>LTE</t>
        </is>
      </c>
      <c r="H791" s="48" t="n">
        <v>16000</v>
      </c>
      <c r="I791" s="48" t="n">
        <v>7</v>
      </c>
      <c r="J791" s="48" t="n">
        <v>40700</v>
      </c>
      <c r="K791" s="47">
        <f t="array" ref="K791">_xlfn.XLOOKUP(1,(참조!$B$2:$B$15=E791)*(참조!$D$2:$D$15=C791)*(참조!$E$2:$E$15=D791),참조!$C$2:$C$15,"")</f>
        <v/>
      </c>
    </row>
    <row r="792" hidden="1" s="27">
      <c r="A792" s="47" t="inlineStr">
        <is>
          <t>KT스카이라이프</t>
        </is>
      </c>
      <c r="B792" s="47" t="inlineStr">
        <is>
          <t>모두 충분 100GB+(다이소_5000)</t>
        </is>
      </c>
      <c r="C792" s="47" t="inlineStr">
        <is>
          <t>무제한</t>
        </is>
      </c>
      <c r="D792" s="47" t="inlineStr">
        <is>
          <t>무제한</t>
        </is>
      </c>
      <c r="E792" s="47" t="inlineStr">
        <is>
          <t>월 100GB + 5Mbps</t>
        </is>
      </c>
      <c r="F792" s="47" t="inlineStr">
        <is>
          <t>KT</t>
        </is>
      </c>
      <c r="G792" s="47" t="inlineStr">
        <is>
          <t>LTE</t>
        </is>
      </c>
      <c r="H792" s="48" t="n">
        <v>41800</v>
      </c>
      <c r="I792" s="48" t="n"/>
      <c r="J792" s="48" t="n"/>
      <c r="K792" s="47">
        <f t="array" ref="K792">_xlfn.XLOOKUP(1,(참조!$B$2:$B$15=E792)*(참조!$D$2:$D$15=C792)*(참조!$E$2:$E$15=D792),참조!$C$2:$C$15,"")</f>
        <v/>
      </c>
    </row>
    <row r="793" hidden="1" s="27">
      <c r="A793" s="47" t="inlineStr">
        <is>
          <t>U+유모바일</t>
        </is>
      </c>
      <c r="B793" s="47" t="inlineStr">
        <is>
          <t>[GS25 12만] 15GB+/100분 (+10GB 추가 제공 프로모션)</t>
        </is>
      </c>
      <c r="C793" s="47" t="inlineStr">
        <is>
          <t>100분</t>
        </is>
      </c>
      <c r="D793" s="47" t="inlineStr">
        <is>
          <t>100건</t>
        </is>
      </c>
      <c r="E793" s="47" t="inlineStr">
        <is>
          <t>월 25GB + 3Mbps</t>
        </is>
      </c>
      <c r="F793" s="47" t="inlineStr">
        <is>
          <t>LG U+</t>
        </is>
      </c>
      <c r="G793" s="47" t="inlineStr">
        <is>
          <t>LTE</t>
        </is>
      </c>
      <c r="H793" s="48" t="n">
        <v>29300</v>
      </c>
      <c r="I793" s="48" t="n"/>
      <c r="J793" s="48" t="n"/>
      <c r="K793" s="47">
        <f t="array" ref="K793">_xlfn.XLOOKUP(1,(참조!$B$2:$B$15=E793)*(참조!$D$2:$D$15=C793)*(참조!$E$2:$E$15=D793),참조!$C$2:$C$15,"")</f>
        <v/>
      </c>
    </row>
    <row r="794" hidden="1" s="27">
      <c r="A794" s="47" t="inlineStr">
        <is>
          <t>KT스카이라이프</t>
        </is>
      </c>
      <c r="B794" s="47" t="inlineStr">
        <is>
          <t>5G 모두 충분 110GB+(밀리의서재)</t>
        </is>
      </c>
      <c r="C794" s="47" t="inlineStr">
        <is>
          <t>무제한</t>
        </is>
      </c>
      <c r="D794" s="47" t="inlineStr">
        <is>
          <t>무제한</t>
        </is>
      </c>
      <c r="E794" s="47" t="inlineStr">
        <is>
          <t>월 110GB + 5Mbps</t>
        </is>
      </c>
      <c r="F794" s="47" t="inlineStr">
        <is>
          <t>KT</t>
        </is>
      </c>
      <c r="G794" s="47" t="inlineStr">
        <is>
          <t>5G</t>
        </is>
      </c>
      <c r="H794" s="48" t="n">
        <v>42900</v>
      </c>
      <c r="I794" s="48" t="n"/>
      <c r="J794" s="48" t="n"/>
      <c r="K794" s="47">
        <f t="array" ref="K794">_xlfn.XLOOKUP(1,(참조!$B$2:$B$15=E794)*(참조!$D$2:$D$15=C794)*(참조!$E$2:$E$15=D794),참조!$C$2:$C$15,"")</f>
        <v/>
      </c>
    </row>
    <row r="795" hidden="1" s="27">
      <c r="A795" s="47" t="inlineStr">
        <is>
          <t>더원모바일</t>
        </is>
      </c>
      <c r="B795" s="47" t="inlineStr">
        <is>
          <t>TOP 11GB 기본 (웨이브 광고형)</t>
        </is>
      </c>
      <c r="C795" s="47" t="inlineStr">
        <is>
          <t>무제한</t>
        </is>
      </c>
      <c r="D795" s="47" t="inlineStr">
        <is>
          <t>무제한</t>
        </is>
      </c>
      <c r="E795" s="47" t="inlineStr">
        <is>
          <t>월 11GB + 매일 2GB + 3Mbps</t>
        </is>
      </c>
      <c r="F795" s="47" t="inlineStr">
        <is>
          <t>KT</t>
        </is>
      </c>
      <c r="G795" s="47" t="inlineStr">
        <is>
          <t>LTE</t>
        </is>
      </c>
      <c r="H795" s="48" t="n">
        <v>9900</v>
      </c>
      <c r="I795" s="48" t="n">
        <v>7</v>
      </c>
      <c r="J795" s="48" t="n">
        <v>40700</v>
      </c>
      <c r="K795" s="47">
        <f t="array" ref="K795">_xlfn.XLOOKUP(1,(참조!$B$2:$B$15=E795)*(참조!$D$2:$D$15=C795)*(참조!$E$2:$E$15=D795),참조!$C$2:$C$15,"")</f>
        <v/>
      </c>
    </row>
    <row r="796" hidden="1" s="27">
      <c r="A796" s="47" t="inlineStr">
        <is>
          <t>더원모바일</t>
        </is>
      </c>
      <c r="B796" s="47" t="inlineStr">
        <is>
          <t>TOP 15GB 300분 (다이소)</t>
        </is>
      </c>
      <c r="C796" s="47" t="inlineStr">
        <is>
          <t>300분</t>
        </is>
      </c>
      <c r="D796" s="47" t="inlineStr">
        <is>
          <t>300건</t>
        </is>
      </c>
      <c r="E796" s="47" t="inlineStr">
        <is>
          <t>월 15GB + 3Mbps</t>
        </is>
      </c>
      <c r="F796" s="47" t="inlineStr">
        <is>
          <t>KT</t>
        </is>
      </c>
      <c r="G796" s="47" t="inlineStr">
        <is>
          <t>LTE</t>
        </is>
      </c>
      <c r="H796" s="48" t="n">
        <v>8250</v>
      </c>
      <c r="I796" s="48" t="n">
        <v>7</v>
      </c>
      <c r="J796" s="48" t="n">
        <v>38500</v>
      </c>
      <c r="K796" s="47">
        <f t="array" ref="K796">_xlfn.XLOOKUP(1,(참조!$B$2:$B$15=E796)*(참조!$D$2:$D$15=C796)*(참조!$E$2:$E$15=D796),참조!$C$2:$C$15,"")</f>
        <v/>
      </c>
    </row>
    <row r="797" hidden="1" s="27">
      <c r="A797" s="47" t="inlineStr">
        <is>
          <t>KT스카이라이프</t>
        </is>
      </c>
      <c r="B797" s="47" t="inlineStr">
        <is>
          <t>모두 충분 7GB+(올리브영_5000)</t>
        </is>
      </c>
      <c r="C797" s="47" t="inlineStr">
        <is>
          <t>무제한</t>
        </is>
      </c>
      <c r="D797" s="47" t="inlineStr">
        <is>
          <t>무제한</t>
        </is>
      </c>
      <c r="E797" s="47" t="inlineStr">
        <is>
          <t>월 7GB + 1Mbps</t>
        </is>
      </c>
      <c r="F797" s="47" t="inlineStr">
        <is>
          <t>KT</t>
        </is>
      </c>
      <c r="G797" s="47" t="inlineStr">
        <is>
          <t>LTE</t>
        </is>
      </c>
      <c r="H797" s="48" t="n">
        <v>19000</v>
      </c>
      <c r="I797" s="48" t="n"/>
      <c r="J797" s="48" t="n"/>
      <c r="K797" s="47">
        <f t="array" ref="K797">_xlfn.XLOOKUP(1,(참조!$B$2:$B$15=E797)*(참조!$D$2:$D$15=C797)*(참조!$E$2:$E$15=D797),참조!$C$2:$C$15,"")</f>
        <v/>
      </c>
    </row>
    <row r="798" hidden="1" s="27">
      <c r="A798" s="47" t="inlineStr">
        <is>
          <t>KT엠모바일</t>
        </is>
      </c>
      <c r="B798" s="47" t="inlineStr">
        <is>
          <t>데이터 맘껏 15GB+/300분(CU 20%할인)</t>
        </is>
      </c>
      <c r="C798" s="47" t="inlineStr">
        <is>
          <t>300분</t>
        </is>
      </c>
      <c r="D798" s="47" t="inlineStr">
        <is>
          <t>300건</t>
        </is>
      </c>
      <c r="E798" s="47" t="inlineStr">
        <is>
          <t>월 15GB + 3Mbps</t>
        </is>
      </c>
      <c r="F798" s="47" t="inlineStr">
        <is>
          <t>KT</t>
        </is>
      </c>
      <c r="G798" s="47" t="inlineStr">
        <is>
          <t>LTE</t>
        </is>
      </c>
      <c r="H798" s="48" t="n">
        <v>27500</v>
      </c>
      <c r="I798" s="48" t="n"/>
      <c r="J798" s="48" t="n"/>
      <c r="K798" s="47">
        <f t="array" ref="K798">_xlfn.XLOOKUP(1,(참조!$B$2:$B$15=E798)*(참조!$D$2:$D$15=C798)*(참조!$E$2:$E$15=D798),참조!$C$2:$C$15,"")</f>
        <v/>
      </c>
    </row>
    <row r="799" hidden="1" s="27">
      <c r="A799" s="47" t="inlineStr">
        <is>
          <t>이지모바일</t>
        </is>
      </c>
      <c r="B799" s="47" t="inlineStr">
        <is>
          <t>이지 무한 71GB+3</t>
        </is>
      </c>
      <c r="C799" s="47" t="inlineStr">
        <is>
          <t>무제한</t>
        </is>
      </c>
      <c r="D799" s="47" t="inlineStr">
        <is>
          <t>무제한</t>
        </is>
      </c>
      <c r="E799" s="47" t="inlineStr">
        <is>
          <t>월 11GB + 매일 2GB + 3Mbps</t>
        </is>
      </c>
      <c r="F799" s="47" t="inlineStr">
        <is>
          <t>LG U+</t>
        </is>
      </c>
      <c r="G799" s="47" t="inlineStr">
        <is>
          <t>LTE</t>
        </is>
      </c>
      <c r="H799" s="48" t="n">
        <v>14850</v>
      </c>
      <c r="I799" s="48" t="n">
        <v>7</v>
      </c>
      <c r="J799" s="48" t="n">
        <v>39600</v>
      </c>
      <c r="K799" s="47">
        <f t="array" ref="K799">_xlfn.XLOOKUP(1,(참조!$B$2:$B$15=E799)*(참조!$D$2:$D$15=C799)*(참조!$E$2:$E$15=D799),참조!$C$2:$C$15,"")</f>
        <v/>
      </c>
    </row>
    <row r="800" hidden="1" s="27">
      <c r="A800" s="47" t="inlineStr">
        <is>
          <t>티플러스</t>
        </is>
      </c>
      <c r="B800" s="47" t="inlineStr">
        <is>
          <t>티플 올리브영 15GB+(300분)(매월 5000P)</t>
        </is>
      </c>
      <c r="C800" s="47" t="inlineStr">
        <is>
          <t>300분</t>
        </is>
      </c>
      <c r="D800" s="47" t="inlineStr">
        <is>
          <t>300건</t>
        </is>
      </c>
      <c r="E800" s="47" t="inlineStr">
        <is>
          <t>월 15GB + 3Mbps</t>
        </is>
      </c>
      <c r="F800" s="47" t="inlineStr">
        <is>
          <t>SKT</t>
        </is>
      </c>
      <c r="G800" s="47" t="inlineStr">
        <is>
          <t>LTE</t>
        </is>
      </c>
      <c r="H800" s="48" t="n">
        <v>11900</v>
      </c>
      <c r="I800" s="48" t="n">
        <v>7</v>
      </c>
      <c r="J800" s="48" t="n">
        <v>38500</v>
      </c>
      <c r="K800" s="47">
        <f t="array" ref="K800">_xlfn.XLOOKUP(1,(참조!$B$2:$B$15=E800)*(참조!$D$2:$D$15=C800)*(참조!$E$2:$E$15=D800),참조!$C$2:$C$15,"")</f>
        <v/>
      </c>
    </row>
    <row r="801" hidden="1" s="27">
      <c r="A801" s="47" t="inlineStr">
        <is>
          <t>LG헬로모바일</t>
        </is>
      </c>
      <c r="B801" s="47" t="inlineStr">
        <is>
          <t>5G 유심 중간요금제 125GB</t>
        </is>
      </c>
      <c r="C801" s="47" t="inlineStr">
        <is>
          <t>무제한</t>
        </is>
      </c>
      <c r="D801" s="47" t="inlineStr">
        <is>
          <t>무제한</t>
        </is>
      </c>
      <c r="E801" s="47" t="inlineStr">
        <is>
          <t>월 125GB + 5Mbps</t>
        </is>
      </c>
      <c r="F801" s="47" t="inlineStr">
        <is>
          <t>LG U+</t>
        </is>
      </c>
      <c r="G801" s="47" t="inlineStr">
        <is>
          <t>5G</t>
        </is>
      </c>
      <c r="H801" s="48" t="n">
        <v>43000</v>
      </c>
      <c r="I801" s="48" t="n"/>
      <c r="J801" s="48" t="n"/>
      <c r="K801" s="47">
        <f t="array" ref="K801">_xlfn.XLOOKUP(1,(참조!$B$2:$B$15=E801)*(참조!$D$2:$D$15=C801)*(참조!$E$2:$E$15=D801),참조!$C$2:$C$15,"")</f>
        <v/>
      </c>
    </row>
    <row r="802" hidden="1" s="27">
      <c r="A802" s="47" t="inlineStr">
        <is>
          <t>더원모바일</t>
        </is>
      </c>
      <c r="B802" s="47" t="inlineStr">
        <is>
          <t>ONE 5G 12GB 100분</t>
        </is>
      </c>
      <c r="C802" s="47" t="inlineStr">
        <is>
          <t>100분</t>
        </is>
      </c>
      <c r="D802" s="47" t="inlineStr">
        <is>
          <t>100건</t>
        </is>
      </c>
      <c r="E802" s="47" t="inlineStr">
        <is>
          <t>월 12GB</t>
        </is>
      </c>
      <c r="F802" s="47" t="inlineStr">
        <is>
          <t>KT</t>
        </is>
      </c>
      <c r="G802" s="47" t="inlineStr">
        <is>
          <t>5G</t>
        </is>
      </c>
      <c r="H802" s="48" t="n">
        <v>110</v>
      </c>
      <c r="I802" s="48" t="n">
        <v>6</v>
      </c>
      <c r="J802" s="48" t="n">
        <v>18700</v>
      </c>
      <c r="K802" s="47">
        <f t="array" ref="K802">_xlfn.XLOOKUP(1,(참조!$B$2:$B$15=E802)*(참조!$D$2:$D$15=C802)*(참조!$E$2:$E$15=D802),참조!$C$2:$C$15,"")</f>
        <v/>
      </c>
    </row>
    <row r="803" hidden="1" s="27">
      <c r="A803" s="47" t="inlineStr">
        <is>
          <t>티플러스</t>
        </is>
      </c>
      <c r="B803" s="47" t="inlineStr">
        <is>
          <t>티플 완전마음껏7G＋_평생요금</t>
        </is>
      </c>
      <c r="C803" s="47" t="inlineStr">
        <is>
          <t>무제한</t>
        </is>
      </c>
      <c r="D803" s="47" t="inlineStr">
        <is>
          <t>무제한</t>
        </is>
      </c>
      <c r="E803" s="47" t="inlineStr">
        <is>
          <t>월 7GB + 1Mbps</t>
        </is>
      </c>
      <c r="F803" s="47" t="inlineStr">
        <is>
          <t>LG U+</t>
        </is>
      </c>
      <c r="G803" s="47" t="inlineStr">
        <is>
          <t>LTE</t>
        </is>
      </c>
      <c r="H803" s="48" t="n">
        <v>14900</v>
      </c>
      <c r="I803" s="48" t="n"/>
      <c r="J803" s="48" t="n"/>
      <c r="K803" s="47">
        <f t="array" ref="K803">_xlfn.XLOOKUP(1,(참조!$B$2:$B$15=E803)*(참조!$D$2:$D$15=C803)*(참조!$E$2:$E$15=D803),참조!$C$2:$C$15,"")</f>
        <v/>
      </c>
    </row>
    <row r="804" hidden="1" s="27">
      <c r="A804" s="47" t="inlineStr">
        <is>
          <t>스마텔</t>
        </is>
      </c>
      <c r="B804" s="47" t="inlineStr">
        <is>
          <t>USIM 스위트 5G망(300분/10GB)</t>
        </is>
      </c>
      <c r="C804" s="47" t="inlineStr">
        <is>
          <t>300분</t>
        </is>
      </c>
      <c r="D804" s="47" t="inlineStr">
        <is>
          <t>100건</t>
        </is>
      </c>
      <c r="E804" s="47" t="inlineStr">
        <is>
          <t>월 10GB</t>
        </is>
      </c>
      <c r="F804" s="47" t="inlineStr">
        <is>
          <t>KT</t>
        </is>
      </c>
      <c r="G804" s="47" t="inlineStr">
        <is>
          <t>5G</t>
        </is>
      </c>
      <c r="H804" s="48" t="n">
        <v>500</v>
      </c>
      <c r="I804" s="48" t="n">
        <v>7</v>
      </c>
      <c r="J804" s="48" t="n">
        <v>18700</v>
      </c>
      <c r="K804" s="47">
        <f t="array" ref="K804">_xlfn.XLOOKUP(1,(참조!$B$2:$B$15=E804)*(참조!$D$2:$D$15=C804)*(참조!$E$2:$E$15=D804),참조!$C$2:$C$15,"")</f>
        <v/>
      </c>
    </row>
    <row r="805" hidden="1" s="27">
      <c r="A805" s="47" t="inlineStr">
        <is>
          <t>이지모바일</t>
        </is>
      </c>
      <c r="B805" s="47" t="inlineStr">
        <is>
          <t>오래쓰는 데이터 7G+1</t>
        </is>
      </c>
      <c r="C805" s="47" t="inlineStr">
        <is>
          <t>무제한</t>
        </is>
      </c>
      <c r="D805" s="47" t="inlineStr">
        <is>
          <t>무제한</t>
        </is>
      </c>
      <c r="E805" s="47" t="inlineStr">
        <is>
          <t>월 7GB + 1Mbps</t>
        </is>
      </c>
      <c r="F805" s="47" t="inlineStr">
        <is>
          <t>LG U+</t>
        </is>
      </c>
      <c r="G805" s="47" t="inlineStr">
        <is>
          <t>LTE</t>
        </is>
      </c>
      <c r="H805" s="48" t="n">
        <v>12650</v>
      </c>
      <c r="I805" s="48" t="n">
        <v>12</v>
      </c>
      <c r="J805" s="48" t="n">
        <v>18700</v>
      </c>
      <c r="K805" s="47">
        <f t="array" ref="K805">_xlfn.XLOOKUP(1,(참조!$B$2:$B$15=E805)*(참조!$D$2:$D$15=C805)*(참조!$E$2:$E$15=D805),참조!$C$2:$C$15,"")</f>
        <v/>
      </c>
    </row>
    <row r="806" hidden="1" s="27">
      <c r="A806" s="47" t="inlineStr">
        <is>
          <t>티플러스</t>
        </is>
      </c>
      <c r="B806" s="47" t="inlineStr">
        <is>
          <t>The 데이터마음껏15G＋(300분)(스타벅스 매월 5000P)</t>
        </is>
      </c>
      <c r="C806" s="47" t="inlineStr">
        <is>
          <t>300분</t>
        </is>
      </c>
      <c r="D806" s="47" t="inlineStr">
        <is>
          <t>300건</t>
        </is>
      </c>
      <c r="E806" s="47" t="inlineStr">
        <is>
          <t>월 15GB + 3Mbps</t>
        </is>
      </c>
      <c r="F806" s="47" t="inlineStr">
        <is>
          <t>LG U+</t>
        </is>
      </c>
      <c r="G806" s="47" t="inlineStr">
        <is>
          <t>LTE</t>
        </is>
      </c>
      <c r="H806" s="48" t="n">
        <v>23500</v>
      </c>
      <c r="I806" s="48" t="n">
        <v>24</v>
      </c>
      <c r="J806" s="48" t="n">
        <v>33000</v>
      </c>
      <c r="K806" s="47">
        <f t="array" ref="K806">_xlfn.XLOOKUP(1,(참조!$B$2:$B$15=E806)*(참조!$D$2:$D$15=C806)*(참조!$E$2:$E$15=D806),참조!$C$2:$C$15,"")</f>
        <v/>
      </c>
    </row>
    <row r="807" hidden="1" s="27">
      <c r="A807" s="47" t="inlineStr">
        <is>
          <t>스마텔</t>
        </is>
      </c>
      <c r="B807" s="47" t="inlineStr">
        <is>
          <t>스마일 15GB+</t>
        </is>
      </c>
      <c r="C807" s="47" t="inlineStr">
        <is>
          <t>100분</t>
        </is>
      </c>
      <c r="D807" s="47" t="inlineStr">
        <is>
          <t>100건</t>
        </is>
      </c>
      <c r="E807" s="47" t="inlineStr">
        <is>
          <t>월 15GB + 3Mbps</t>
        </is>
      </c>
      <c r="F807" s="47" t="inlineStr">
        <is>
          <t>SKT</t>
        </is>
      </c>
      <c r="G807" s="47" t="inlineStr">
        <is>
          <t>LTE</t>
        </is>
      </c>
      <c r="H807" s="48" t="n">
        <v>12500</v>
      </c>
      <c r="I807" s="48" t="n">
        <v>7</v>
      </c>
      <c r="J807" s="48" t="n">
        <v>33000</v>
      </c>
      <c r="K807" s="47">
        <f t="array" ref="K807">_xlfn.XLOOKUP(1,(참조!$B$2:$B$15=E807)*(참조!$D$2:$D$15=C807)*(참조!$E$2:$E$15=D807),참조!$C$2:$C$15,"")</f>
        <v/>
      </c>
    </row>
    <row r="808">
      <c r="A808" s="47" t="inlineStr">
        <is>
          <t>스마텔</t>
        </is>
      </c>
      <c r="B808" s="47" t="inlineStr">
        <is>
          <t>5G 스마트 95GB+(24개월)</t>
        </is>
      </c>
      <c r="C808" s="47" t="inlineStr">
        <is>
          <t>무제한</t>
        </is>
      </c>
      <c r="D808" s="47" t="inlineStr">
        <is>
          <t>무제한</t>
        </is>
      </c>
      <c r="E808" s="47" t="inlineStr">
        <is>
          <t>월 95GB + 3Mbps</t>
        </is>
      </c>
      <c r="F808" s="47" t="inlineStr">
        <is>
          <t>LG U+</t>
        </is>
      </c>
      <c r="G808" s="47" t="inlineStr">
        <is>
          <t>5G</t>
        </is>
      </c>
      <c r="H808" s="48" t="n">
        <v>32000</v>
      </c>
      <c r="I808" s="48" t="n">
        <v>24</v>
      </c>
      <c r="J808" s="48" t="n">
        <v>49500</v>
      </c>
      <c r="K808" s="47">
        <f t="array" ref="K808">_xlfn.XLOOKUP(1,(참조!$B$2:$B$15=E808)*(참조!$D$2:$D$15=C808)*(참조!$E$2:$E$15=D808),참조!$C$2:$C$15,"")</f>
        <v/>
      </c>
    </row>
    <row r="809" hidden="1" s="27">
      <c r="A809" s="47" t="inlineStr">
        <is>
          <t>KT스카이라이프</t>
        </is>
      </c>
      <c r="B809" s="47" t="inlineStr">
        <is>
          <t>5G 모두 충분 200GB+</t>
        </is>
      </c>
      <c r="C809" s="47" t="inlineStr">
        <is>
          <t>무제한</t>
        </is>
      </c>
      <c r="D809" s="47" t="inlineStr">
        <is>
          <t>무제한</t>
        </is>
      </c>
      <c r="E809" s="47" t="inlineStr">
        <is>
          <t>월 200GB + 10Mbps</t>
        </is>
      </c>
      <c r="F809" s="47" t="inlineStr">
        <is>
          <t>KT</t>
        </is>
      </c>
      <c r="G809" s="47" t="inlineStr">
        <is>
          <t>5G</t>
        </is>
      </c>
      <c r="H809" s="48" t="n">
        <v>49200</v>
      </c>
      <c r="I809" s="48" t="n"/>
      <c r="J809" s="48" t="n"/>
      <c r="K809" s="47">
        <f t="array" ref="K809">_xlfn.XLOOKUP(1,(참조!$B$2:$B$15=E809)*(참조!$D$2:$D$15=C809)*(참조!$E$2:$E$15=D809),참조!$C$2:$C$15,"")</f>
        <v/>
      </c>
    </row>
    <row r="810" hidden="1" s="27">
      <c r="A810" s="47" t="inlineStr">
        <is>
          <t>위너스텔</t>
        </is>
      </c>
      <c r="B810" s="47" t="inlineStr">
        <is>
          <t>WELL60분+500MB</t>
        </is>
      </c>
      <c r="C810" s="47" t="inlineStr">
        <is>
          <t>60분</t>
        </is>
      </c>
      <c r="D810" s="47" t="inlineStr">
        <is>
          <t>60건</t>
        </is>
      </c>
      <c r="E810" s="47" t="inlineStr">
        <is>
          <t>월 500MB</t>
        </is>
      </c>
      <c r="F810" s="47" t="inlineStr">
        <is>
          <t>KT</t>
        </is>
      </c>
      <c r="G810" s="47" t="inlineStr">
        <is>
          <t>LTE</t>
        </is>
      </c>
      <c r="H810" s="48" t="n">
        <v>3850</v>
      </c>
      <c r="I810" s="48" t="n"/>
      <c r="J810" s="48" t="n"/>
      <c r="K810" s="47">
        <f t="array" ref="K810">_xlfn.XLOOKUP(1,(참조!$B$2:$B$15=E810)*(참조!$D$2:$D$15=C810)*(참조!$E$2:$E$15=D810),참조!$C$2:$C$15,"")</f>
        <v/>
      </c>
    </row>
    <row r="811" hidden="1" s="27">
      <c r="A811" s="47" t="inlineStr">
        <is>
          <t>티플러스</t>
        </is>
      </c>
      <c r="B811" s="47" t="inlineStr">
        <is>
          <t>티플 100G＋(컬쳐랜드)</t>
        </is>
      </c>
      <c r="C811" s="47" t="inlineStr">
        <is>
          <t>무제한</t>
        </is>
      </c>
      <c r="D811" s="47" t="inlineStr">
        <is>
          <t>무제한</t>
        </is>
      </c>
      <c r="E811" s="47" t="inlineStr">
        <is>
          <t>월 100GB + 5Mbps</t>
        </is>
      </c>
      <c r="F811" s="47" t="inlineStr">
        <is>
          <t>KT</t>
        </is>
      </c>
      <c r="G811" s="47" t="inlineStr">
        <is>
          <t>LTE</t>
        </is>
      </c>
      <c r="H811" s="48" t="n">
        <v>15900</v>
      </c>
      <c r="I811" s="48" t="n">
        <v>7</v>
      </c>
      <c r="J811" s="48" t="n">
        <v>55000</v>
      </c>
      <c r="K811" s="47">
        <f t="array" ref="K811">_xlfn.XLOOKUP(1,(참조!$B$2:$B$15=E811)*(참조!$D$2:$D$15=C811)*(참조!$E$2:$E$15=D811),참조!$C$2:$C$15,"")</f>
        <v/>
      </c>
    </row>
    <row r="812" hidden="1" s="27">
      <c r="A812" s="47" t="inlineStr">
        <is>
          <t>KT스카이라이프</t>
        </is>
      </c>
      <c r="B812" s="47" t="inlineStr">
        <is>
          <t>데이터 충분 5GB+/100분</t>
        </is>
      </c>
      <c r="C812" s="47" t="inlineStr">
        <is>
          <t>100분</t>
        </is>
      </c>
      <c r="D812" s="47" t="inlineStr">
        <is>
          <t>100건</t>
        </is>
      </c>
      <c r="E812" s="47" t="inlineStr">
        <is>
          <t>월 5GB + 1Mbps</t>
        </is>
      </c>
      <c r="F812" s="47" t="inlineStr">
        <is>
          <t>KT</t>
        </is>
      </c>
      <c r="G812" s="47" t="inlineStr">
        <is>
          <t>LTE</t>
        </is>
      </c>
      <c r="H812" s="48" t="n">
        <v>14300</v>
      </c>
      <c r="I812" s="48" t="n"/>
      <c r="J812" s="48" t="n"/>
      <c r="K812" s="47">
        <f t="array" ref="K812">_xlfn.XLOOKUP(1,(참조!$B$2:$B$15=E812)*(참조!$D$2:$D$15=C812)*(참조!$E$2:$E$15=D812),참조!$C$2:$C$15,"")</f>
        <v/>
      </c>
    </row>
    <row r="813" hidden="1" s="27">
      <c r="A813" s="47" t="inlineStr">
        <is>
          <t>티플러스</t>
        </is>
      </c>
      <c r="B813" s="47" t="inlineStr">
        <is>
          <t>The 데이터마음껏 15GB＋(100분)</t>
        </is>
      </c>
      <c r="C813" s="47" t="inlineStr">
        <is>
          <t>100분</t>
        </is>
      </c>
      <c r="D813" s="47" t="inlineStr">
        <is>
          <t>100건</t>
        </is>
      </c>
      <c r="E813" s="47" t="inlineStr">
        <is>
          <t>월 15GB + 3Mbps</t>
        </is>
      </c>
      <c r="F813" s="47" t="inlineStr">
        <is>
          <t>SKT</t>
        </is>
      </c>
      <c r="G813" s="47" t="inlineStr">
        <is>
          <t>LTE</t>
        </is>
      </c>
      <c r="H813" s="48" t="n">
        <v>10900</v>
      </c>
      <c r="I813" s="48" t="n">
        <v>7</v>
      </c>
      <c r="J813" s="48" t="n">
        <v>31900</v>
      </c>
      <c r="K813" s="47">
        <f t="array" ref="K813">_xlfn.XLOOKUP(1,(참조!$B$2:$B$15=E813)*(참조!$D$2:$D$15=C813)*(참조!$E$2:$E$15=D813),참조!$C$2:$C$15,"")</f>
        <v/>
      </c>
    </row>
    <row r="814" hidden="1" s="27">
      <c r="A814" s="47" t="inlineStr">
        <is>
          <t>KG모바일</t>
        </is>
      </c>
      <c r="B814" s="47" t="inlineStr">
        <is>
          <t>[일반] 통화, 데이터 마음대로 Pro_24개월</t>
        </is>
      </c>
      <c r="C814" s="47" t="inlineStr">
        <is>
          <t>무제한</t>
        </is>
      </c>
      <c r="D814" s="47" t="inlineStr">
        <is>
          <t>무제한</t>
        </is>
      </c>
      <c r="E814" s="47" t="inlineStr">
        <is>
          <t>매일 5GB + 5Mbps</t>
        </is>
      </c>
      <c r="F814" s="47" t="inlineStr">
        <is>
          <t>LG U+</t>
        </is>
      </c>
      <c r="G814" s="47" t="inlineStr">
        <is>
          <t>LTE</t>
        </is>
      </c>
      <c r="H814" s="48" t="n">
        <v>31000</v>
      </c>
      <c r="I814" s="48" t="n">
        <v>24</v>
      </c>
      <c r="J814" s="48" t="n">
        <v>47300</v>
      </c>
      <c r="K814" s="47">
        <f t="array" ref="K814">_xlfn.XLOOKUP(1,(참조!$B$2:$B$15=E814)*(참조!$D$2:$D$15=C814)*(참조!$E$2:$E$15=D814),참조!$C$2:$C$15,"")</f>
        <v/>
      </c>
    </row>
    <row r="815" hidden="1" s="27">
      <c r="A815" s="47" t="inlineStr">
        <is>
          <t>고고모바일</t>
        </is>
      </c>
      <c r="B815" s="47" t="inlineStr">
        <is>
          <t>고고 LTE 100분+15GB+3M_모요</t>
        </is>
      </c>
      <c r="C815" s="47" t="inlineStr">
        <is>
          <t>100분</t>
        </is>
      </c>
      <c r="D815" s="47" t="inlineStr">
        <is>
          <t>100건</t>
        </is>
      </c>
      <c r="E815" s="47" t="inlineStr">
        <is>
          <t>월 15GB + 3Mbps</t>
        </is>
      </c>
      <c r="F815" s="47" t="inlineStr">
        <is>
          <t>SKT</t>
        </is>
      </c>
      <c r="G815" s="47" t="inlineStr">
        <is>
          <t>LTE</t>
        </is>
      </c>
      <c r="H815" s="48" t="n">
        <v>7000</v>
      </c>
      <c r="I815" s="48" t="n">
        <v>7</v>
      </c>
      <c r="J815" s="48" t="n">
        <v>30800</v>
      </c>
      <c r="K815" s="47">
        <f t="array" ref="K815">_xlfn.XLOOKUP(1,(참조!$B$2:$B$15=E815)*(참조!$D$2:$D$15=C815)*(참조!$E$2:$E$15=D815),참조!$C$2:$C$15,"")</f>
        <v/>
      </c>
    </row>
    <row r="816" hidden="1" s="27">
      <c r="A816" s="47" t="inlineStr">
        <is>
          <t>더원모바일</t>
        </is>
      </c>
      <c r="B816" s="47" t="inlineStr">
        <is>
          <t>TOP 5G 200GB 기본 (지니뮤직)</t>
        </is>
      </c>
      <c r="C816" s="47" t="inlineStr">
        <is>
          <t>무제한</t>
        </is>
      </c>
      <c r="D816" s="47" t="inlineStr">
        <is>
          <t>무제한</t>
        </is>
      </c>
      <c r="E816" s="47" t="inlineStr">
        <is>
          <t>월 200GB + 10Mbps</t>
        </is>
      </c>
      <c r="F816" s="47" t="inlineStr">
        <is>
          <t>KT</t>
        </is>
      </c>
      <c r="G816" s="47" t="inlineStr">
        <is>
          <t>5G</t>
        </is>
      </c>
      <c r="H816" s="48" t="n">
        <v>33000</v>
      </c>
      <c r="I816" s="48" t="n">
        <v>12</v>
      </c>
      <c r="J816" s="48" t="n">
        <v>55000</v>
      </c>
      <c r="K816" s="47">
        <f t="array" ref="K816">_xlfn.XLOOKUP(1,(참조!$B$2:$B$15=E816)*(참조!$D$2:$D$15=C816)*(참조!$E$2:$E$15=D816),참조!$C$2:$C$15,"")</f>
        <v/>
      </c>
    </row>
    <row r="817" hidden="1" s="27">
      <c r="A817" s="47" t="inlineStr">
        <is>
          <t>인스모바일</t>
        </is>
      </c>
      <c r="B817" s="47" t="inlineStr">
        <is>
          <t>[평생할인]인스 유심 음성 120분+1.5GB</t>
        </is>
      </c>
      <c r="C817" s="47" t="inlineStr">
        <is>
          <t>120분</t>
        </is>
      </c>
      <c r="D817" s="47" t="inlineStr">
        <is>
          <t>100건</t>
        </is>
      </c>
      <c r="E817" s="47" t="inlineStr">
        <is>
          <t>월 1.5GB</t>
        </is>
      </c>
      <c r="F817" s="47" t="inlineStr">
        <is>
          <t>LG U+</t>
        </is>
      </c>
      <c r="G817" s="47" t="inlineStr">
        <is>
          <t>LTE</t>
        </is>
      </c>
      <c r="H817" s="48" t="n">
        <v>2430</v>
      </c>
      <c r="I817" s="48" t="n"/>
      <c r="J817" s="48" t="n"/>
      <c r="K817" s="47">
        <f t="array" ref="K817">_xlfn.XLOOKUP(1,(참조!$B$2:$B$15=E817)*(참조!$D$2:$D$15=C817)*(참조!$E$2:$E$15=D817),참조!$C$2:$C$15,"")</f>
        <v/>
      </c>
    </row>
    <row r="818" hidden="1" s="27">
      <c r="A818" s="47" t="inlineStr">
        <is>
          <t>티플러스</t>
        </is>
      </c>
      <c r="B818" s="47" t="inlineStr">
        <is>
          <t>티플 100G＋(쿠팡캐시)</t>
        </is>
      </c>
      <c r="C818" s="47" t="inlineStr">
        <is>
          <t>무제한</t>
        </is>
      </c>
      <c r="D818" s="47" t="inlineStr">
        <is>
          <t>무제한</t>
        </is>
      </c>
      <c r="E818" s="47" t="inlineStr">
        <is>
          <t>월 100GB + 5Mbps</t>
        </is>
      </c>
      <c r="F818" s="47" t="inlineStr">
        <is>
          <t>KT</t>
        </is>
      </c>
      <c r="G818" s="47" t="inlineStr">
        <is>
          <t>LTE</t>
        </is>
      </c>
      <c r="H818" s="48" t="n">
        <v>15900</v>
      </c>
      <c r="I818" s="48" t="n">
        <v>7</v>
      </c>
      <c r="J818" s="48" t="n">
        <v>55000</v>
      </c>
      <c r="K818" s="47">
        <f t="array" ref="K818">_xlfn.XLOOKUP(1,(참조!$B$2:$B$15=E818)*(참조!$D$2:$D$15=C818)*(참조!$E$2:$E$15=D818),참조!$C$2:$C$15,"")</f>
        <v/>
      </c>
    </row>
    <row r="819" hidden="1" s="27">
      <c r="A819" s="47" t="inlineStr">
        <is>
          <t>U+유모바일</t>
        </is>
      </c>
      <c r="B819" s="47" t="inlineStr">
        <is>
          <t>[평생할인] 2.5GB+/200분</t>
        </is>
      </c>
      <c r="C819" s="47" t="inlineStr">
        <is>
          <t>200분</t>
        </is>
      </c>
      <c r="D819" s="47" t="inlineStr">
        <is>
          <t>100건</t>
        </is>
      </c>
      <c r="E819" s="47" t="inlineStr">
        <is>
          <t>월 2.5GB + 1Mbps</t>
        </is>
      </c>
      <c r="F819" s="47" t="inlineStr">
        <is>
          <t>LG U+</t>
        </is>
      </c>
      <c r="G819" s="47" t="inlineStr">
        <is>
          <t>LTE</t>
        </is>
      </c>
      <c r="H819" s="48" t="n">
        <v>9500</v>
      </c>
      <c r="I819" s="48" t="n"/>
      <c r="J819" s="48" t="n"/>
      <c r="K819" s="47">
        <f t="array" ref="K819">_xlfn.XLOOKUP(1,(참조!$B$2:$B$15=E819)*(참조!$D$2:$D$15=C819)*(참조!$E$2:$E$15=D819),참조!$C$2:$C$15,"")</f>
        <v/>
      </c>
    </row>
    <row r="820" hidden="1" s="27">
      <c r="A820" s="47" t="inlineStr">
        <is>
          <t>스마텔</t>
        </is>
      </c>
      <c r="B820" s="47" t="inlineStr">
        <is>
          <t>USIM 스마트 (200분/5GB+)</t>
        </is>
      </c>
      <c r="C820" s="47" t="inlineStr">
        <is>
          <t>200분</t>
        </is>
      </c>
      <c r="D820" s="47" t="inlineStr">
        <is>
          <t>100건</t>
        </is>
      </c>
      <c r="E820" s="47" t="inlineStr">
        <is>
          <t>월 5GB + 1Mbps</t>
        </is>
      </c>
      <c r="F820" s="47" t="inlineStr">
        <is>
          <t>LG U+</t>
        </is>
      </c>
      <c r="G820" s="47" t="inlineStr">
        <is>
          <t>LTE</t>
        </is>
      </c>
      <c r="H820" s="48" t="n">
        <v>3000</v>
      </c>
      <c r="I820" s="48" t="n">
        <v>12</v>
      </c>
      <c r="J820" s="48" t="n">
        <v>15400</v>
      </c>
      <c r="K820" s="47">
        <f t="array" ref="K820">_xlfn.XLOOKUP(1,(참조!$B$2:$B$15=E820)*(참조!$D$2:$D$15=C820)*(참조!$E$2:$E$15=D820),참조!$C$2:$C$15,"")</f>
        <v/>
      </c>
    </row>
    <row r="821" hidden="1" s="27">
      <c r="A821" s="47" t="inlineStr">
        <is>
          <t>핀다이렉트</t>
        </is>
      </c>
      <c r="B821" s="47" t="inlineStr">
        <is>
          <t>[L] 핀다이렉트Z 일5GB+</t>
        </is>
      </c>
      <c r="C821" s="47" t="inlineStr">
        <is>
          <t>무제한</t>
        </is>
      </c>
      <c r="D821" s="47" t="inlineStr">
        <is>
          <t>무제한</t>
        </is>
      </c>
      <c r="E821" s="47" t="inlineStr">
        <is>
          <t>매일 5GB + 5Mbps</t>
        </is>
      </c>
      <c r="F821" s="47" t="inlineStr">
        <is>
          <t>LG U+</t>
        </is>
      </c>
      <c r="G821" s="47" t="inlineStr">
        <is>
          <t>LTE</t>
        </is>
      </c>
      <c r="H821" s="48" t="n">
        <v>17000</v>
      </c>
      <c r="I821" s="48" t="n">
        <v>7</v>
      </c>
      <c r="J821" s="48" t="n">
        <v>44000</v>
      </c>
      <c r="K821" s="47">
        <f t="array" ref="K821">_xlfn.XLOOKUP(1,(참조!$B$2:$B$15=E821)*(참조!$D$2:$D$15=C821)*(참조!$E$2:$E$15=D821),참조!$C$2:$C$15,"")</f>
        <v/>
      </c>
    </row>
    <row r="822" hidden="1" s="27">
      <c r="A822" s="47" t="inlineStr">
        <is>
          <t>핀다이렉트</t>
        </is>
      </c>
      <c r="B822" s="47" t="inlineStr">
        <is>
          <t>[L] 핀다이렉트Z Speed 125GB+</t>
        </is>
      </c>
      <c r="C822" s="47" t="inlineStr">
        <is>
          <t>무제한</t>
        </is>
      </c>
      <c r="D822" s="47" t="inlineStr">
        <is>
          <t>무제한</t>
        </is>
      </c>
      <c r="E822" s="47" t="inlineStr">
        <is>
          <t>월 125GB + 5Mbps</t>
        </is>
      </c>
      <c r="F822" s="47" t="inlineStr">
        <is>
          <t>LG U+</t>
        </is>
      </c>
      <c r="G822" s="47" t="inlineStr">
        <is>
          <t>5G</t>
        </is>
      </c>
      <c r="H822" s="48" t="n">
        <v>17000</v>
      </c>
      <c r="I822" s="48" t="n">
        <v>7</v>
      </c>
      <c r="J822" s="48" t="n">
        <v>46200</v>
      </c>
      <c r="K822" s="47">
        <f t="array" ref="K822">_xlfn.XLOOKUP(1,(참조!$B$2:$B$15=E822)*(참조!$D$2:$D$15=C822)*(참조!$E$2:$E$15=D822),참조!$C$2:$C$15,"")</f>
        <v/>
      </c>
    </row>
    <row r="823" hidden="1" s="27">
      <c r="A823" s="47" t="inlineStr">
        <is>
          <t>KT스카이라이프</t>
        </is>
      </c>
      <c r="B823" s="47" t="inlineStr">
        <is>
          <t>모두 충분 10GB+(CU)</t>
        </is>
      </c>
      <c r="C823" s="47" t="inlineStr">
        <is>
          <t>무제한</t>
        </is>
      </c>
      <c r="D823" s="47" t="inlineStr">
        <is>
          <t>무제한</t>
        </is>
      </c>
      <c r="E823" s="47" t="inlineStr">
        <is>
          <t>월 10GB + 1Mbps</t>
        </is>
      </c>
      <c r="F823" s="47" t="inlineStr">
        <is>
          <t>KT</t>
        </is>
      </c>
      <c r="G823" s="47" t="inlineStr">
        <is>
          <t>LTE</t>
        </is>
      </c>
      <c r="H823" s="48" t="n">
        <v>19700</v>
      </c>
      <c r="I823" s="48" t="n"/>
      <c r="J823" s="48" t="n"/>
      <c r="K823" s="47">
        <f t="array" ref="K823">_xlfn.XLOOKUP(1,(참조!$B$2:$B$15=E823)*(참조!$D$2:$D$15=C823)*(참조!$E$2:$E$15=D823),참조!$C$2:$C$15,"")</f>
        <v/>
      </c>
    </row>
    <row r="824" hidden="1" s="27">
      <c r="A824" s="47" t="inlineStr">
        <is>
          <t>고고모바일</t>
        </is>
      </c>
      <c r="B824" s="47" t="inlineStr">
        <is>
          <t>LTE 300분/10GB_모요</t>
        </is>
      </c>
      <c r="C824" s="47" t="inlineStr">
        <is>
          <t>300분</t>
        </is>
      </c>
      <c r="D824" s="47" t="inlineStr">
        <is>
          <t>100건</t>
        </is>
      </c>
      <c r="E824" s="47" t="inlineStr">
        <is>
          <t>월 10GB</t>
        </is>
      </c>
      <c r="F824" s="47" t="inlineStr">
        <is>
          <t>SKT</t>
        </is>
      </c>
      <c r="G824" s="47" t="inlineStr">
        <is>
          <t>LTE</t>
        </is>
      </c>
      <c r="H824" s="48" t="n">
        <v>1100</v>
      </c>
      <c r="I824" s="48" t="n">
        <v>7</v>
      </c>
      <c r="J824" s="48" t="n">
        <v>16500</v>
      </c>
      <c r="K824" s="47">
        <f t="array" ref="K824">_xlfn.XLOOKUP(1,(참조!$B$2:$B$15=E824)*(참조!$D$2:$D$15=C824)*(참조!$E$2:$E$15=D824),참조!$C$2:$C$15,"")</f>
        <v/>
      </c>
    </row>
    <row r="825" hidden="1" s="27">
      <c r="A825" s="47" t="inlineStr">
        <is>
          <t>티플러스</t>
        </is>
      </c>
      <c r="B825" s="47" t="inlineStr">
        <is>
          <t>티플 10GB(10GB/300분)</t>
        </is>
      </c>
      <c r="C825" s="47" t="inlineStr">
        <is>
          <t>300분</t>
        </is>
      </c>
      <c r="D825" s="47" t="inlineStr">
        <is>
          <t>100건</t>
        </is>
      </c>
      <c r="E825" s="47" t="inlineStr">
        <is>
          <t>월 10GB</t>
        </is>
      </c>
      <c r="F825" s="47" t="inlineStr">
        <is>
          <t>KT</t>
        </is>
      </c>
      <c r="G825" s="47" t="inlineStr">
        <is>
          <t>LTE</t>
        </is>
      </c>
      <c r="H825" s="48" t="n">
        <v>8990</v>
      </c>
      <c r="I825" s="48" t="n"/>
      <c r="J825" s="48" t="n"/>
      <c r="K825" s="47">
        <f t="array" ref="K825">_xlfn.XLOOKUP(1,(참조!$B$2:$B$15=E825)*(참조!$D$2:$D$15=C825)*(참조!$E$2:$E$15=D825),참조!$C$2:$C$15,"")</f>
        <v/>
      </c>
    </row>
    <row r="826" hidden="1" s="27">
      <c r="A826" s="47" t="inlineStr">
        <is>
          <t>KT스카이라이프</t>
        </is>
      </c>
      <c r="B826" s="47" t="inlineStr">
        <is>
          <t>5G 모두 충분 70GB+</t>
        </is>
      </c>
      <c r="C826" s="47" t="inlineStr">
        <is>
          <t>무제한</t>
        </is>
      </c>
      <c r="D826" s="47" t="inlineStr">
        <is>
          <t>무제한</t>
        </is>
      </c>
      <c r="E826" s="47" t="inlineStr">
        <is>
          <t>월 70GB + 1Mbps</t>
        </is>
      </c>
      <c r="F826" s="47" t="inlineStr">
        <is>
          <t>KT</t>
        </is>
      </c>
      <c r="G826" s="47" t="inlineStr">
        <is>
          <t>5G</t>
        </is>
      </c>
      <c r="H826" s="48" t="n">
        <v>39700</v>
      </c>
      <c r="I826" s="48" t="n"/>
      <c r="J826" s="48" t="n"/>
      <c r="K826" s="47">
        <f t="array" ref="K826">_xlfn.XLOOKUP(1,(참조!$B$2:$B$15=E826)*(참조!$D$2:$D$15=C826)*(참조!$E$2:$E$15=D826),참조!$C$2:$C$15,"")</f>
        <v/>
      </c>
    </row>
    <row r="827" hidden="1" s="27">
      <c r="A827" s="47" t="inlineStr">
        <is>
          <t>티플러스</t>
        </is>
      </c>
      <c r="B827" s="47" t="inlineStr">
        <is>
          <t>The 완전마음껏 100G+(스타벅스 매월 5000P)</t>
        </is>
      </c>
      <c r="C827" s="47" t="inlineStr">
        <is>
          <t>무제한</t>
        </is>
      </c>
      <c r="D827" s="47" t="inlineStr">
        <is>
          <t>무제한</t>
        </is>
      </c>
      <c r="E827" s="47" t="inlineStr">
        <is>
          <t>월 100GB + 5Mbps</t>
        </is>
      </c>
      <c r="F827" s="47" t="inlineStr">
        <is>
          <t>LG U+</t>
        </is>
      </c>
      <c r="G827" s="47" t="inlineStr">
        <is>
          <t>LTE</t>
        </is>
      </c>
      <c r="H827" s="48" t="n">
        <v>30900</v>
      </c>
      <c r="I827" s="48" t="n">
        <v>24</v>
      </c>
      <c r="J827" s="48" t="n">
        <v>52800</v>
      </c>
      <c r="K827" s="47">
        <f t="array" ref="K827">_xlfn.XLOOKUP(1,(참조!$B$2:$B$15=E827)*(참조!$D$2:$D$15=C827)*(참조!$E$2:$E$15=D827),참조!$C$2:$C$15,"")</f>
        <v/>
      </c>
    </row>
    <row r="828" hidden="1" s="27">
      <c r="A828" s="47" t="inlineStr">
        <is>
          <t>이야기모바일</t>
        </is>
      </c>
      <c r="B828" s="47" t="inlineStr">
        <is>
          <t>함께이야기해S(100분+30GB)</t>
        </is>
      </c>
      <c r="C828" s="47" t="inlineStr">
        <is>
          <t>100분</t>
        </is>
      </c>
      <c r="D828" s="47" t="inlineStr">
        <is>
          <t>300건</t>
        </is>
      </c>
      <c r="E828" s="47" t="inlineStr">
        <is>
          <t>월 30GB</t>
        </is>
      </c>
      <c r="F828" s="47" t="inlineStr">
        <is>
          <t>SKT</t>
        </is>
      </c>
      <c r="G828" s="47" t="inlineStr">
        <is>
          <t>LTE</t>
        </is>
      </c>
      <c r="H828" s="48" t="n">
        <v>19800</v>
      </c>
      <c r="I828" s="48" t="n"/>
      <c r="J828" s="48" t="n"/>
      <c r="K828" s="47">
        <f t="array" ref="K828">_xlfn.XLOOKUP(1,(참조!$B$2:$B$15=E828)*(참조!$D$2:$D$15=C828)*(참조!$E$2:$E$15=D828),참조!$C$2:$C$15,"")</f>
        <v/>
      </c>
    </row>
    <row r="829" hidden="1" s="27">
      <c r="A829" s="47" t="inlineStr">
        <is>
          <t>티플러스</t>
        </is>
      </c>
      <c r="B829" s="47" t="inlineStr">
        <is>
          <t>티플 10GB(10GB/100분)</t>
        </is>
      </c>
      <c r="C829" s="47" t="inlineStr">
        <is>
          <t>100분</t>
        </is>
      </c>
      <c r="D829" s="47" t="inlineStr">
        <is>
          <t>100건</t>
        </is>
      </c>
      <c r="E829" s="47" t="inlineStr">
        <is>
          <t>월 10GB</t>
        </is>
      </c>
      <c r="F829" s="47" t="inlineStr">
        <is>
          <t>KT</t>
        </is>
      </c>
      <c r="G829" s="47" t="inlineStr">
        <is>
          <t>LTE</t>
        </is>
      </c>
      <c r="H829" s="48" t="n">
        <v>7990</v>
      </c>
      <c r="I829" s="48" t="n"/>
      <c r="J829" s="48" t="n"/>
      <c r="K829" s="47">
        <f t="array" ref="K829">_xlfn.XLOOKUP(1,(참조!$B$2:$B$15=E829)*(참조!$D$2:$D$15=C829)*(참조!$E$2:$E$15=D829),참조!$C$2:$C$15,"")</f>
        <v/>
      </c>
    </row>
    <row r="830" hidden="1" s="27">
      <c r="A830" s="47" t="inlineStr">
        <is>
          <t>KT엠모바일</t>
        </is>
      </c>
      <c r="B830" s="47" t="inlineStr">
        <is>
          <t>모두다 맘껏 100GB+(쿠팡캐시 5000원)</t>
        </is>
      </c>
      <c r="C830" s="47" t="inlineStr">
        <is>
          <t>무제한</t>
        </is>
      </c>
      <c r="D830" s="47" t="inlineStr">
        <is>
          <t>무제한</t>
        </is>
      </c>
      <c r="E830" s="47" t="inlineStr">
        <is>
          <t>월 100GB + 5Mbps</t>
        </is>
      </c>
      <c r="F830" s="47" t="inlineStr">
        <is>
          <t>KT</t>
        </is>
      </c>
      <c r="G830" s="47" t="inlineStr">
        <is>
          <t>LTE</t>
        </is>
      </c>
      <c r="H830" s="48" t="n">
        <v>40500</v>
      </c>
      <c r="I830" s="48" t="n"/>
      <c r="J830" s="48" t="n"/>
      <c r="K830" s="47">
        <f t="array" ref="K830">_xlfn.XLOOKUP(1,(참조!$B$2:$B$15=E830)*(참조!$D$2:$D$15=C830)*(참조!$E$2:$E$15=D830),참조!$C$2:$C$15,"")</f>
        <v/>
      </c>
    </row>
    <row r="831" hidden="1" s="27">
      <c r="A831" s="47" t="inlineStr">
        <is>
          <t>KT스카이라이프</t>
        </is>
      </c>
      <c r="B831" s="47" t="inlineStr">
        <is>
          <t>모두 충분 10GB+(모아진)</t>
        </is>
      </c>
      <c r="C831" s="47" t="inlineStr">
        <is>
          <t>무제한</t>
        </is>
      </c>
      <c r="D831" s="47" t="inlineStr">
        <is>
          <t>무제한</t>
        </is>
      </c>
      <c r="E831" s="47" t="inlineStr">
        <is>
          <t>월 10GB + 1Mbps</t>
        </is>
      </c>
      <c r="F831" s="47" t="inlineStr">
        <is>
          <t>KT</t>
        </is>
      </c>
      <c r="G831" s="47" t="inlineStr">
        <is>
          <t>LTE</t>
        </is>
      </c>
      <c r="H831" s="48" t="n">
        <v>19300</v>
      </c>
      <c r="I831" s="48" t="n"/>
      <c r="J831" s="48" t="n"/>
      <c r="K831" s="47">
        <f t="array" ref="K831">_xlfn.XLOOKUP(1,(참조!$B$2:$B$15=E831)*(참조!$D$2:$D$15=C831)*(참조!$E$2:$E$15=D831),참조!$C$2:$C$15,"")</f>
        <v/>
      </c>
    </row>
    <row r="832" hidden="1" s="27">
      <c r="A832" s="47" t="inlineStr">
        <is>
          <t>티플러스</t>
        </is>
      </c>
      <c r="B832" s="47" t="inlineStr">
        <is>
          <t>The 마음껏 매일5G+(다이소 매월 5000P)</t>
        </is>
      </c>
      <c r="C832" s="47" t="inlineStr">
        <is>
          <t>무제한</t>
        </is>
      </c>
      <c r="D832" s="47" t="inlineStr">
        <is>
          <t>무제한</t>
        </is>
      </c>
      <c r="E832" s="47" t="inlineStr">
        <is>
          <t>매일 5GB + 5Mbps</t>
        </is>
      </c>
      <c r="F832" s="47" t="inlineStr">
        <is>
          <t>LG U+</t>
        </is>
      </c>
      <c r="G832" s="47" t="inlineStr">
        <is>
          <t>LTE</t>
        </is>
      </c>
      <c r="H832" s="48" t="n">
        <v>30900</v>
      </c>
      <c r="I832" s="48" t="n">
        <v>24</v>
      </c>
      <c r="J832" s="48" t="n">
        <v>46200</v>
      </c>
      <c r="K832" s="47">
        <f t="array" ref="K832">_xlfn.XLOOKUP(1,(참조!$B$2:$B$15=E832)*(참조!$D$2:$D$15=C832)*(참조!$E$2:$E$15=D832),참조!$C$2:$C$15,"")</f>
        <v/>
      </c>
    </row>
    <row r="833" hidden="1" s="27">
      <c r="A833" s="47" t="inlineStr">
        <is>
          <t>U+유모바일</t>
        </is>
      </c>
      <c r="B833" s="47" t="inlineStr">
        <is>
          <t>[평생할인] 5G 180GB+/통화기본</t>
        </is>
      </c>
      <c r="C833" s="47" t="inlineStr">
        <is>
          <t>무제한</t>
        </is>
      </c>
      <c r="D833" s="47" t="inlineStr">
        <is>
          <t>무제한</t>
        </is>
      </c>
      <c r="E833" s="47" t="inlineStr">
        <is>
          <t>월 180GB + 10Mbps</t>
        </is>
      </c>
      <c r="F833" s="47" t="inlineStr">
        <is>
          <t>LG U+</t>
        </is>
      </c>
      <c r="G833" s="47" t="inlineStr">
        <is>
          <t>5G</t>
        </is>
      </c>
      <c r="H833" s="48" t="n">
        <v>50500</v>
      </c>
      <c r="I833" s="48" t="n"/>
      <c r="J833" s="48" t="n"/>
      <c r="K833" s="47">
        <f t="array" ref="K833">_xlfn.XLOOKUP(1,(참조!$B$2:$B$15=E833)*(참조!$D$2:$D$15=C833)*(참조!$E$2:$E$15=D833),참조!$C$2:$C$15,"")</f>
        <v/>
      </c>
    </row>
    <row r="834" hidden="1" s="27">
      <c r="A834" s="47" t="inlineStr">
        <is>
          <t>티플러스</t>
        </is>
      </c>
      <c r="B834" s="47" t="inlineStr">
        <is>
          <t>The 완전마음껏 100G+(카톡 이모티콘+예스24e북)</t>
        </is>
      </c>
      <c r="C834" s="47" t="inlineStr">
        <is>
          <t>무제한</t>
        </is>
      </c>
      <c r="D834" s="47" t="inlineStr">
        <is>
          <t>무제한</t>
        </is>
      </c>
      <c r="E834" s="47" t="inlineStr">
        <is>
          <t>월 100GB + 5Mbps</t>
        </is>
      </c>
      <c r="F834" s="47" t="inlineStr">
        <is>
          <t>LG U+</t>
        </is>
      </c>
      <c r="G834" s="47" t="inlineStr">
        <is>
          <t>LTE</t>
        </is>
      </c>
      <c r="H834" s="48" t="n">
        <v>30900</v>
      </c>
      <c r="I834" s="48" t="n">
        <v>24</v>
      </c>
      <c r="J834" s="48" t="n">
        <v>52800</v>
      </c>
      <c r="K834" s="47">
        <f t="array" ref="K834">_xlfn.XLOOKUP(1,(참조!$B$2:$B$15=E834)*(참조!$D$2:$D$15=C834)*(참조!$E$2:$E$15=D834),참조!$C$2:$C$15,"")</f>
        <v/>
      </c>
    </row>
    <row r="835" hidden="1" s="27">
      <c r="A835" s="47" t="inlineStr">
        <is>
          <t>KT스카이라이프</t>
        </is>
      </c>
      <c r="B835" s="47" t="inlineStr">
        <is>
          <t>5G 모두 충분 70GB+(밀리의서재)</t>
        </is>
      </c>
      <c r="C835" s="47" t="inlineStr">
        <is>
          <t>무제한</t>
        </is>
      </c>
      <c r="D835" s="47" t="inlineStr">
        <is>
          <t>무제한</t>
        </is>
      </c>
      <c r="E835" s="47" t="inlineStr">
        <is>
          <t>월 70GB + 1Mbps</t>
        </is>
      </c>
      <c r="F835" s="47" t="inlineStr">
        <is>
          <t>KT</t>
        </is>
      </c>
      <c r="G835" s="47" t="inlineStr">
        <is>
          <t>5G</t>
        </is>
      </c>
      <c r="H835" s="48" t="n">
        <v>39800</v>
      </c>
      <c r="I835" s="48" t="n"/>
      <c r="J835" s="48" t="n"/>
      <c r="K835" s="47">
        <f t="array" ref="K835">_xlfn.XLOOKUP(1,(참조!$B$2:$B$15=E835)*(참조!$D$2:$D$15=C835)*(참조!$E$2:$E$15=D835),참조!$C$2:$C$15,"")</f>
        <v/>
      </c>
    </row>
    <row r="836" hidden="1" s="27">
      <c r="A836" s="47" t="inlineStr">
        <is>
          <t>이야기모바일</t>
        </is>
      </c>
      <c r="B836" s="47" t="inlineStr">
        <is>
          <t>이야기 300분+9GB(5G)</t>
        </is>
      </c>
      <c r="C836" s="47" t="inlineStr">
        <is>
          <t>300분</t>
        </is>
      </c>
      <c r="D836" s="47" t="inlineStr">
        <is>
          <t>50건</t>
        </is>
      </c>
      <c r="E836" s="47" t="inlineStr">
        <is>
          <t>월 9GB</t>
        </is>
      </c>
      <c r="F836" s="47" t="inlineStr">
        <is>
          <t>SKT</t>
        </is>
      </c>
      <c r="G836" s="47" t="inlineStr">
        <is>
          <t>5G</t>
        </is>
      </c>
      <c r="H836" s="48" t="n">
        <v>11000</v>
      </c>
      <c r="I836" s="48" t="n"/>
      <c r="J836" s="48" t="n"/>
      <c r="K836" s="47">
        <f t="array" ref="K836">_xlfn.XLOOKUP(1,(참조!$B$2:$B$15=E836)*(참조!$D$2:$D$15=C836)*(참조!$E$2:$E$15=D836),참조!$C$2:$C$15,"")</f>
        <v/>
      </c>
    </row>
    <row r="837" hidden="1" s="27">
      <c r="A837" s="47" t="inlineStr">
        <is>
          <t>티플러스</t>
        </is>
      </c>
      <c r="B837" s="47" t="inlineStr">
        <is>
          <t>The 완전마음껏 100G+(다이소 매월 5000P)</t>
        </is>
      </c>
      <c r="C837" s="47" t="inlineStr">
        <is>
          <t>무제한</t>
        </is>
      </c>
      <c r="D837" s="47" t="inlineStr">
        <is>
          <t>무제한</t>
        </is>
      </c>
      <c r="E837" s="47" t="inlineStr">
        <is>
          <t>월 100GB + 5Mbps</t>
        </is>
      </c>
      <c r="F837" s="47" t="inlineStr">
        <is>
          <t>LG U+</t>
        </is>
      </c>
      <c r="G837" s="47" t="inlineStr">
        <is>
          <t>LTE</t>
        </is>
      </c>
      <c r="H837" s="48" t="n">
        <v>30900</v>
      </c>
      <c r="I837" s="48" t="n">
        <v>24</v>
      </c>
      <c r="J837" s="48" t="n">
        <v>52800</v>
      </c>
      <c r="K837" s="47">
        <f t="array" ref="K837">_xlfn.XLOOKUP(1,(참조!$B$2:$B$15=E837)*(참조!$D$2:$D$15=C837)*(참조!$E$2:$E$15=D837),참조!$C$2:$C$15,"")</f>
        <v/>
      </c>
    </row>
    <row r="838" hidden="1" s="27">
      <c r="A838" s="47" t="inlineStr">
        <is>
          <t>고고모바일</t>
        </is>
      </c>
      <c r="B838" s="47" t="inlineStr">
        <is>
          <t>[모요only] LTE 무제한 15GB+1M(CU20%할인)</t>
        </is>
      </c>
      <c r="C838" s="47" t="inlineStr">
        <is>
          <t>무제한</t>
        </is>
      </c>
      <c r="D838" s="47" t="inlineStr">
        <is>
          <t>무제한</t>
        </is>
      </c>
      <c r="E838" s="47" t="inlineStr">
        <is>
          <t>월 15GB + 1Mbps</t>
        </is>
      </c>
      <c r="F838" s="47" t="inlineStr">
        <is>
          <t>KT</t>
        </is>
      </c>
      <c r="G838" s="47" t="inlineStr">
        <is>
          <t>LTE</t>
        </is>
      </c>
      <c r="H838" s="48" t="n">
        <v>9000</v>
      </c>
      <c r="I838" s="48" t="n">
        <v>7</v>
      </c>
      <c r="J838" s="48" t="n">
        <v>26400</v>
      </c>
      <c r="K838" s="47">
        <f t="array" ref="K838">_xlfn.XLOOKUP(1,(참조!$B$2:$B$15=E838)*(참조!$D$2:$D$15=C838)*(참조!$E$2:$E$15=D838),참조!$C$2:$C$15,"")</f>
        <v/>
      </c>
    </row>
    <row r="839" hidden="1" s="27">
      <c r="A839" s="47" t="inlineStr">
        <is>
          <t>마블링</t>
        </is>
      </c>
      <c r="B839" s="47" t="inlineStr">
        <is>
          <t>마블링 스탠다드 1GB+1Mbps</t>
        </is>
      </c>
      <c r="C839" s="47" t="inlineStr">
        <is>
          <t>100분</t>
        </is>
      </c>
      <c r="D839" s="47" t="inlineStr">
        <is>
          <t>100건</t>
        </is>
      </c>
      <c r="E839" s="47" t="inlineStr">
        <is>
          <t>월 1GB + 1Mbps</t>
        </is>
      </c>
      <c r="F839" s="47" t="inlineStr">
        <is>
          <t>LG U+</t>
        </is>
      </c>
      <c r="G839" s="47" t="inlineStr">
        <is>
          <t>LTE</t>
        </is>
      </c>
      <c r="H839" s="48" t="n">
        <v>110</v>
      </c>
      <c r="I839" s="48" t="n">
        <v>6</v>
      </c>
      <c r="J839" s="48" t="n">
        <v>9900</v>
      </c>
      <c r="K839" s="47">
        <f t="array" ref="K839">_xlfn.XLOOKUP(1,(참조!$B$2:$B$15=E839)*(참조!$D$2:$D$15=C839)*(참조!$E$2:$E$15=D839),참조!$C$2:$C$15,"")</f>
        <v/>
      </c>
    </row>
    <row r="840" hidden="1" s="27">
      <c r="A840" s="47" t="inlineStr">
        <is>
          <t>티플러스</t>
        </is>
      </c>
      <c r="B840" s="47" t="inlineStr">
        <is>
          <t>티플 10GB(10GB/200분)</t>
        </is>
      </c>
      <c r="C840" s="47" t="inlineStr">
        <is>
          <t>200분</t>
        </is>
      </c>
      <c r="D840" s="47" t="inlineStr">
        <is>
          <t>100건</t>
        </is>
      </c>
      <c r="E840" s="47" t="inlineStr">
        <is>
          <t>월 10GB</t>
        </is>
      </c>
      <c r="F840" s="47" t="inlineStr">
        <is>
          <t>KT</t>
        </is>
      </c>
      <c r="G840" s="47" t="inlineStr">
        <is>
          <t>LTE</t>
        </is>
      </c>
      <c r="H840" s="48" t="n">
        <v>8500</v>
      </c>
      <c r="I840" s="48" t="n"/>
      <c r="J840" s="48" t="n"/>
      <c r="K840" s="47">
        <f t="array" ref="K840">_xlfn.XLOOKUP(1,(참조!$B$2:$B$15=E840)*(참조!$D$2:$D$15=C840)*(참조!$E$2:$E$15=D840),참조!$C$2:$C$15,"")</f>
        <v/>
      </c>
    </row>
    <row r="841" hidden="1" s="27">
      <c r="A841" s="47" t="inlineStr">
        <is>
          <t>티플러스</t>
        </is>
      </c>
      <c r="B841" s="47" t="inlineStr">
        <is>
          <t>티플 10GB(10GB/200분)</t>
        </is>
      </c>
      <c r="C841" s="47" t="inlineStr">
        <is>
          <t>200분</t>
        </is>
      </c>
      <c r="D841" s="47" t="inlineStr">
        <is>
          <t>100건</t>
        </is>
      </c>
      <c r="E841" s="47" t="inlineStr">
        <is>
          <t>월 10GB</t>
        </is>
      </c>
      <c r="F841" s="47" t="inlineStr">
        <is>
          <t>LG U+</t>
        </is>
      </c>
      <c r="G841" s="47" t="inlineStr">
        <is>
          <t>LTE</t>
        </is>
      </c>
      <c r="H841" s="48" t="n">
        <v>8500</v>
      </c>
      <c r="I841" s="48" t="n"/>
      <c r="J841" s="48" t="n"/>
      <c r="K841" s="47">
        <f t="array" ref="K841">_xlfn.XLOOKUP(1,(참조!$B$2:$B$15=E841)*(참조!$D$2:$D$15=C841)*(참조!$E$2:$E$15=D841),참조!$C$2:$C$15,"")</f>
        <v/>
      </c>
    </row>
    <row r="842" hidden="1" s="27">
      <c r="A842" s="47" t="inlineStr">
        <is>
          <t>티플러스</t>
        </is>
      </c>
      <c r="B842" s="47" t="inlineStr">
        <is>
          <t>티플 11G＋(CU멤버십＋매월 5000P)</t>
        </is>
      </c>
      <c r="C842" s="47" t="inlineStr">
        <is>
          <t>무제한</t>
        </is>
      </c>
      <c r="D842" s="47" t="inlineStr">
        <is>
          <t>무제한</t>
        </is>
      </c>
      <c r="E842" s="47" t="inlineStr">
        <is>
          <t>월 11GB + 매일 2GB + 3Mbps</t>
        </is>
      </c>
      <c r="F842" s="47" t="inlineStr">
        <is>
          <t>SKT</t>
        </is>
      </c>
      <c r="G842" s="47" t="inlineStr">
        <is>
          <t>LTE</t>
        </is>
      </c>
      <c r="H842" s="48" t="n">
        <v>14900</v>
      </c>
      <c r="I842" s="48" t="n">
        <v>7</v>
      </c>
      <c r="J842" s="48" t="n">
        <v>48400</v>
      </c>
      <c r="K842" s="47">
        <f t="array" ref="K842">_xlfn.XLOOKUP(1,(참조!$B$2:$B$15=E842)*(참조!$D$2:$D$15=C842)*(참조!$E$2:$E$15=D842),참조!$C$2:$C$15,"")</f>
        <v/>
      </c>
    </row>
    <row r="843" hidden="1" s="27">
      <c r="A843" s="47" t="inlineStr">
        <is>
          <t>티플러스</t>
        </is>
      </c>
      <c r="B843" s="47" t="inlineStr">
        <is>
          <t>The 완전마음껏7G+(다이소 매월 5000P)</t>
        </is>
      </c>
      <c r="C843" s="47" t="inlineStr">
        <is>
          <t>무제한</t>
        </is>
      </c>
      <c r="D843" s="47" t="inlineStr">
        <is>
          <t>무제한</t>
        </is>
      </c>
      <c r="E843" s="47" t="inlineStr">
        <is>
          <t>월 7GB + 1Mbps</t>
        </is>
      </c>
      <c r="F843" s="47" t="inlineStr">
        <is>
          <t>LG U+</t>
        </is>
      </c>
      <c r="G843" s="47" t="inlineStr">
        <is>
          <t>LTE</t>
        </is>
      </c>
      <c r="H843" s="48" t="n">
        <v>13900</v>
      </c>
      <c r="I843" s="48" t="n">
        <v>24</v>
      </c>
      <c r="J843" s="48" t="n">
        <v>22000</v>
      </c>
      <c r="K843" s="47">
        <f t="array" ref="K843">_xlfn.XLOOKUP(1,(참조!$B$2:$B$15=E843)*(참조!$D$2:$D$15=C843)*(참조!$E$2:$E$15=D843),참조!$C$2:$C$15,"")</f>
        <v/>
      </c>
    </row>
    <row r="844" hidden="1" s="27">
      <c r="A844" s="47" t="inlineStr">
        <is>
          <t>고고모바일</t>
        </is>
      </c>
      <c r="B844" s="47" t="inlineStr">
        <is>
          <t>[모요only] 무제한 11GB+3M(올리브영 5000원)</t>
        </is>
      </c>
      <c r="C844" s="47" t="inlineStr">
        <is>
          <t>무제한</t>
        </is>
      </c>
      <c r="D844" s="47" t="inlineStr">
        <is>
          <t>무제한</t>
        </is>
      </c>
      <c r="E844" s="47" t="inlineStr">
        <is>
          <t>월 11GB + 매일 2GB + 3Mbps</t>
        </is>
      </c>
      <c r="F844" s="47" t="inlineStr">
        <is>
          <t>KT</t>
        </is>
      </c>
      <c r="G844" s="47" t="inlineStr">
        <is>
          <t>LTE</t>
        </is>
      </c>
      <c r="H844" s="48" t="n">
        <v>16000</v>
      </c>
      <c r="I844" s="48" t="n">
        <v>7</v>
      </c>
      <c r="J844" s="48" t="n">
        <v>40700</v>
      </c>
      <c r="K844" s="47">
        <f t="array" ref="K844">_xlfn.XLOOKUP(1,(참조!$B$2:$B$15=E844)*(참조!$D$2:$D$15=C844)*(참조!$E$2:$E$15=D844),참조!$C$2:$C$15,"")</f>
        <v/>
      </c>
    </row>
    <row r="845" hidden="1" s="27">
      <c r="A845" s="47" t="inlineStr">
        <is>
          <t>고고모바일</t>
        </is>
      </c>
      <c r="B845" s="47" t="inlineStr">
        <is>
          <t>[모요only] 무제한 100GB+5M(다이소 5000원)</t>
        </is>
      </c>
      <c r="C845" s="47" t="inlineStr">
        <is>
          <t>무제한</t>
        </is>
      </c>
      <c r="D845" s="47" t="inlineStr">
        <is>
          <t>무제한</t>
        </is>
      </c>
      <c r="E845" s="47" t="inlineStr">
        <is>
          <t>월 100GB + 5Mbps</t>
        </is>
      </c>
      <c r="F845" s="47" t="inlineStr">
        <is>
          <t>KT</t>
        </is>
      </c>
      <c r="G845" s="47" t="inlineStr">
        <is>
          <t>LTE</t>
        </is>
      </c>
      <c r="H845" s="48" t="n">
        <v>18000</v>
      </c>
      <c r="I845" s="48" t="n">
        <v>7</v>
      </c>
      <c r="J845" s="48" t="n">
        <v>47300</v>
      </c>
      <c r="K845" s="47">
        <f t="array" ref="K845">_xlfn.XLOOKUP(1,(참조!$B$2:$B$15=E845)*(참조!$D$2:$D$15=C845)*(참조!$E$2:$E$15=D845),참조!$C$2:$C$15,"")</f>
        <v/>
      </c>
    </row>
    <row r="846" hidden="1" s="27">
      <c r="A846" s="47" t="inlineStr">
        <is>
          <t>티플러스</t>
        </is>
      </c>
      <c r="B846" s="47" t="inlineStr">
        <is>
          <t>티플북 100G+(도서문화상품권 매월 5000P)</t>
        </is>
      </c>
      <c r="C846" s="47" t="inlineStr">
        <is>
          <t>무제한</t>
        </is>
      </c>
      <c r="D846" s="47" t="inlineStr">
        <is>
          <t>무제한</t>
        </is>
      </c>
      <c r="E846" s="47" t="inlineStr">
        <is>
          <t>월 100GB + 5Mbps</t>
        </is>
      </c>
      <c r="F846" s="47" t="inlineStr">
        <is>
          <t>SKT</t>
        </is>
      </c>
      <c r="G846" s="47" t="inlineStr">
        <is>
          <t>LTE</t>
        </is>
      </c>
      <c r="H846" s="48" t="n">
        <v>16900</v>
      </c>
      <c r="I846" s="48" t="n">
        <v>7</v>
      </c>
      <c r="J846" s="48" t="n">
        <v>55000</v>
      </c>
      <c r="K846" s="47">
        <f t="array" ref="K846">_xlfn.XLOOKUP(1,(참조!$B$2:$B$15=E846)*(참조!$D$2:$D$15=C846)*(참조!$E$2:$E$15=D846),참조!$C$2:$C$15,"")</f>
        <v/>
      </c>
    </row>
    <row r="847" hidden="1" s="27">
      <c r="A847" s="47" t="inlineStr">
        <is>
          <t>핀다이렉트</t>
        </is>
      </c>
      <c r="B847" s="47" t="inlineStr">
        <is>
          <t>[모요only] [S] 핀다이렉트Z Max _PIN</t>
        </is>
      </c>
      <c r="C847" s="47" t="inlineStr">
        <is>
          <t>무제한</t>
        </is>
      </c>
      <c r="D847" s="47" t="inlineStr">
        <is>
          <t>무제한</t>
        </is>
      </c>
      <c r="E847" s="47" t="inlineStr">
        <is>
          <t>월 100GB + 5Mbps</t>
        </is>
      </c>
      <c r="F847" s="47" t="inlineStr">
        <is>
          <t>SKT</t>
        </is>
      </c>
      <c r="G847" s="47" t="inlineStr">
        <is>
          <t>LTE</t>
        </is>
      </c>
      <c r="H847" s="48" t="n">
        <v>19000</v>
      </c>
      <c r="I847" s="48" t="n">
        <v>7</v>
      </c>
      <c r="J847" s="48" t="n">
        <v>42900</v>
      </c>
      <c r="K847" s="47">
        <f t="array" ref="K847">_xlfn.XLOOKUP(1,(참조!$B$2:$B$15=E847)*(참조!$D$2:$D$15=C847)*(참조!$E$2:$E$15=D847),참조!$C$2:$C$15,"")</f>
        <v/>
      </c>
    </row>
    <row r="848" hidden="1" s="27">
      <c r="A848" s="47" t="inlineStr">
        <is>
          <t>이지모바일</t>
        </is>
      </c>
      <c r="B848" s="47" t="inlineStr">
        <is>
          <t>이지 데이터 10GB+1/100분</t>
        </is>
      </c>
      <c r="C848" s="47" t="inlineStr">
        <is>
          <t>100분</t>
        </is>
      </c>
      <c r="D848" s="47" t="inlineStr">
        <is>
          <t>100건</t>
        </is>
      </c>
      <c r="E848" s="47" t="inlineStr">
        <is>
          <t>월 10GB + 1Mbps</t>
        </is>
      </c>
      <c r="F848" s="47" t="inlineStr">
        <is>
          <t>LG U+</t>
        </is>
      </c>
      <c r="G848" s="47" t="inlineStr">
        <is>
          <t>LTE</t>
        </is>
      </c>
      <c r="H848" s="48" t="n">
        <v>1600</v>
      </c>
      <c r="I848" s="48" t="n">
        <v>6</v>
      </c>
      <c r="J848" s="48" t="n">
        <v>19800</v>
      </c>
      <c r="K848" s="47">
        <f t="array" ref="K848">_xlfn.XLOOKUP(1,(참조!$B$2:$B$15=E848)*(참조!$D$2:$D$15=C848)*(참조!$E$2:$E$15=D848),참조!$C$2:$C$15,"")</f>
        <v/>
      </c>
    </row>
    <row r="849" hidden="1" s="27">
      <c r="A849" s="47" t="inlineStr">
        <is>
          <t>티플러스</t>
        </is>
      </c>
      <c r="B849" s="47" t="inlineStr">
        <is>
          <t>5G 티플 10GB(10GB/300분)_평생요금</t>
        </is>
      </c>
      <c r="C849" s="47" t="inlineStr">
        <is>
          <t>300분</t>
        </is>
      </c>
      <c r="D849" s="47" t="inlineStr">
        <is>
          <t>100건</t>
        </is>
      </c>
      <c r="E849" s="47" t="inlineStr">
        <is>
          <t>월 10GB</t>
        </is>
      </c>
      <c r="F849" s="47" t="inlineStr">
        <is>
          <t>SKT</t>
        </is>
      </c>
      <c r="G849" s="47" t="inlineStr">
        <is>
          <t>5G</t>
        </is>
      </c>
      <c r="H849" s="48" t="n">
        <v>8990</v>
      </c>
      <c r="I849" s="48" t="n"/>
      <c r="J849" s="48" t="n"/>
      <c r="K849" s="47">
        <f t="array" ref="K849">_xlfn.XLOOKUP(1,(참조!$B$2:$B$15=E849)*(참조!$D$2:$D$15=C849)*(참조!$E$2:$E$15=D849),참조!$C$2:$C$15,"")</f>
        <v/>
      </c>
    </row>
    <row r="850" hidden="1" s="27">
      <c r="A850" s="47" t="inlineStr">
        <is>
          <t>KT스카이라이프</t>
        </is>
      </c>
      <c r="B850" s="47" t="inlineStr">
        <is>
          <t>모두 충분 11GB+(멜론뮤직)</t>
        </is>
      </c>
      <c r="C850" s="47" t="inlineStr">
        <is>
          <t>무제한</t>
        </is>
      </c>
      <c r="D850" s="47" t="inlineStr">
        <is>
          <t>무제한</t>
        </is>
      </c>
      <c r="E850" s="47" t="inlineStr">
        <is>
          <t>월 11GB + 매일 2GB + 3Mbps</t>
        </is>
      </c>
      <c r="F850" s="47" t="inlineStr">
        <is>
          <t>KT</t>
        </is>
      </c>
      <c r="G850" s="47" t="inlineStr">
        <is>
          <t>LTE</t>
        </is>
      </c>
      <c r="H850" s="48" t="n">
        <v>37500</v>
      </c>
      <c r="I850" s="48" t="n"/>
      <c r="J850" s="48" t="n"/>
      <c r="K850" s="47">
        <f t="array" ref="K850">_xlfn.XLOOKUP(1,(참조!$B$2:$B$15=E850)*(참조!$D$2:$D$15=C850)*(참조!$E$2:$E$15=D850),참조!$C$2:$C$15,"")</f>
        <v/>
      </c>
    </row>
    <row r="851" hidden="1" s="27">
      <c r="A851" s="47" t="inlineStr">
        <is>
          <t>이야기모바일</t>
        </is>
      </c>
      <c r="B851" s="47" t="inlineStr">
        <is>
          <t>이야기 스페셜 매일5GB+(24개월)</t>
        </is>
      </c>
      <c r="C851" s="47" t="inlineStr">
        <is>
          <t>무제한</t>
        </is>
      </c>
      <c r="D851" s="47" t="inlineStr">
        <is>
          <t>무제한</t>
        </is>
      </c>
      <c r="E851" s="47" t="inlineStr">
        <is>
          <t>매일 5GB + 5Mbps</t>
        </is>
      </c>
      <c r="F851" s="47" t="inlineStr">
        <is>
          <t>LG U+</t>
        </is>
      </c>
      <c r="G851" s="47" t="inlineStr">
        <is>
          <t>LTE</t>
        </is>
      </c>
      <c r="H851" s="48" t="n">
        <v>31350</v>
      </c>
      <c r="I851" s="48" t="n">
        <v>24</v>
      </c>
      <c r="J851" s="48" t="n">
        <v>46200</v>
      </c>
      <c r="K851" s="47">
        <f t="array" ref="K851">_xlfn.XLOOKUP(1,(참조!$B$2:$B$15=E851)*(참조!$D$2:$D$15=C851)*(참조!$E$2:$E$15=D851),참조!$C$2:$C$15,"")</f>
        <v/>
      </c>
    </row>
    <row r="852" hidden="1" s="27">
      <c r="A852" s="47" t="inlineStr">
        <is>
          <t>티플러스</t>
        </is>
      </c>
      <c r="B852" s="47" t="inlineStr">
        <is>
          <t>The 데이터마음껏15G＋(100분)(스타벅스 매월 5000P)</t>
        </is>
      </c>
      <c r="C852" s="47" t="inlineStr">
        <is>
          <t>100분</t>
        </is>
      </c>
      <c r="D852" s="47" t="inlineStr">
        <is>
          <t>100건</t>
        </is>
      </c>
      <c r="E852" s="47" t="inlineStr">
        <is>
          <t>월 15GB + 3Mbps</t>
        </is>
      </c>
      <c r="F852" s="47" t="inlineStr">
        <is>
          <t>LG U+</t>
        </is>
      </c>
      <c r="G852" s="47" t="inlineStr">
        <is>
          <t>LTE</t>
        </is>
      </c>
      <c r="H852" s="48" t="n">
        <v>21500</v>
      </c>
      <c r="I852" s="48" t="n">
        <v>24</v>
      </c>
      <c r="J852" s="48" t="n">
        <v>35090</v>
      </c>
      <c r="K852" s="47">
        <f t="array" ref="K852">_xlfn.XLOOKUP(1,(참조!$B$2:$B$15=E852)*(참조!$D$2:$D$15=C852)*(참조!$E$2:$E$15=D852),참조!$C$2:$C$15,"")</f>
        <v/>
      </c>
    </row>
    <row r="853" hidden="1" s="27">
      <c r="A853" s="47" t="inlineStr">
        <is>
          <t>더원모바일</t>
        </is>
      </c>
      <c r="B853" s="47" t="inlineStr">
        <is>
          <t>TOP 10GB 기본 (밀리의서재)</t>
        </is>
      </c>
      <c r="C853" s="47" t="inlineStr">
        <is>
          <t>무제한</t>
        </is>
      </c>
      <c r="D853" s="47" t="inlineStr">
        <is>
          <t>무제한</t>
        </is>
      </c>
      <c r="E853" s="47" t="inlineStr">
        <is>
          <t>월 10GB + 1Mbps</t>
        </is>
      </c>
      <c r="F853" s="47" t="inlineStr">
        <is>
          <t>KT</t>
        </is>
      </c>
      <c r="G853" s="47" t="inlineStr">
        <is>
          <t>LTE</t>
        </is>
      </c>
      <c r="H853" s="48" t="n">
        <v>3300</v>
      </c>
      <c r="I853" s="48" t="n">
        <v>7</v>
      </c>
      <c r="J853" s="48" t="n">
        <v>27500</v>
      </c>
      <c r="K853" s="47">
        <f t="array" ref="K853">_xlfn.XLOOKUP(1,(참조!$B$2:$B$15=E853)*(참조!$D$2:$D$15=C853)*(참조!$E$2:$E$15=D853),참조!$C$2:$C$15,"")</f>
        <v/>
      </c>
    </row>
    <row r="854" hidden="1" s="27">
      <c r="A854" s="47" t="inlineStr">
        <is>
          <t>티플러스</t>
        </is>
      </c>
      <c r="B854" s="47" t="inlineStr">
        <is>
          <t>The 완전마음껏15G+(100분)(컬쳐랜드 문화상품권 매월 5000P)</t>
        </is>
      </c>
      <c r="C854" s="47" t="inlineStr">
        <is>
          <t>100분</t>
        </is>
      </c>
      <c r="D854" s="47" t="inlineStr">
        <is>
          <t>100건</t>
        </is>
      </c>
      <c r="E854" s="47" t="inlineStr">
        <is>
          <t>월 15GB + 3Mbps</t>
        </is>
      </c>
      <c r="F854" s="47" t="inlineStr">
        <is>
          <t>LG U+</t>
        </is>
      </c>
      <c r="G854" s="47" t="inlineStr">
        <is>
          <t>LTE</t>
        </is>
      </c>
      <c r="H854" s="48" t="n">
        <v>21500</v>
      </c>
      <c r="I854" s="48" t="n">
        <v>24</v>
      </c>
      <c r="J854" s="48" t="n">
        <v>35090</v>
      </c>
      <c r="K854" s="47">
        <f t="array" ref="K854">_xlfn.XLOOKUP(1,(참조!$B$2:$B$15=E854)*(참조!$D$2:$D$15=C854)*(참조!$E$2:$E$15=D854),참조!$C$2:$C$15,"")</f>
        <v/>
      </c>
    </row>
    <row r="855" hidden="1" s="27">
      <c r="A855" s="47" t="inlineStr">
        <is>
          <t>KT엠모바일</t>
        </is>
      </c>
      <c r="B855" s="47" t="inlineStr">
        <is>
          <t>5G 모두다 맘껏 110GB+(밀리의 서재 FREE)</t>
        </is>
      </c>
      <c r="C855" s="47" t="inlineStr">
        <is>
          <t>무제한</t>
        </is>
      </c>
      <c r="D855" s="47" t="inlineStr">
        <is>
          <t>무제한</t>
        </is>
      </c>
      <c r="E855" s="47" t="inlineStr">
        <is>
          <t>월 110GB + 5Mbps</t>
        </is>
      </c>
      <c r="F855" s="47" t="inlineStr">
        <is>
          <t>KT</t>
        </is>
      </c>
      <c r="G855" s="47" t="inlineStr">
        <is>
          <t>5G</t>
        </is>
      </c>
      <c r="H855" s="48" t="n">
        <v>41500</v>
      </c>
      <c r="I855" s="48" t="n"/>
      <c r="J855" s="48" t="n"/>
      <c r="K855" s="47">
        <f t="array" ref="K855">_xlfn.XLOOKUP(1,(참조!$B$2:$B$15=E855)*(참조!$D$2:$D$15=C855)*(참조!$E$2:$E$15=D855),참조!$C$2:$C$15,"")</f>
        <v/>
      </c>
    </row>
    <row r="856" hidden="1" s="27">
      <c r="A856" s="47" t="inlineStr">
        <is>
          <t>고고모바일</t>
        </is>
      </c>
      <c r="B856" s="47" t="inlineStr">
        <is>
          <t>5G100분/1GB-데이터소진후 자동차단</t>
        </is>
      </c>
      <c r="C856" s="47" t="inlineStr">
        <is>
          <t>100분</t>
        </is>
      </c>
      <c r="D856" s="47" t="inlineStr">
        <is>
          <t>100건</t>
        </is>
      </c>
      <c r="E856" s="47" t="inlineStr">
        <is>
          <t>월 1GB</t>
        </is>
      </c>
      <c r="F856" s="47" t="inlineStr">
        <is>
          <t>KT</t>
        </is>
      </c>
      <c r="G856" s="47" t="inlineStr">
        <is>
          <t>5G</t>
        </is>
      </c>
      <c r="H856" s="48" t="n">
        <v>7260</v>
      </c>
      <c r="I856" s="48" t="n"/>
      <c r="J856" s="48" t="n"/>
      <c r="K856" s="47">
        <f t="array" ref="K856">_xlfn.XLOOKUP(1,(참조!$B$2:$B$15=E856)*(참조!$D$2:$D$15=C856)*(참조!$E$2:$E$15=D856),참조!$C$2:$C$15,"")</f>
        <v/>
      </c>
    </row>
    <row r="857" hidden="1" s="27">
      <c r="A857" s="47" t="inlineStr">
        <is>
          <t>KT스카이라이프</t>
        </is>
      </c>
      <c r="B857" s="47" t="inlineStr">
        <is>
          <t>모두 충분 일5GB+(왓챠)</t>
        </is>
      </c>
      <c r="C857" s="47" t="inlineStr">
        <is>
          <t>무제한</t>
        </is>
      </c>
      <c r="D857" s="47" t="inlineStr">
        <is>
          <t>무제한</t>
        </is>
      </c>
      <c r="E857" s="47" t="inlineStr">
        <is>
          <t>매일 5GB + 5Mbps</t>
        </is>
      </c>
      <c r="F857" s="47" t="inlineStr">
        <is>
          <t>KT</t>
        </is>
      </c>
      <c r="G857" s="47" t="inlineStr">
        <is>
          <t>LTE</t>
        </is>
      </c>
      <c r="H857" s="48" t="n">
        <v>41100</v>
      </c>
      <c r="I857" s="48" t="n"/>
      <c r="J857" s="48" t="n"/>
      <c r="K857" s="47">
        <f t="array" ref="K857">_xlfn.XLOOKUP(1,(참조!$B$2:$B$15=E857)*(참조!$D$2:$D$15=C857)*(참조!$E$2:$E$15=D857),참조!$C$2:$C$15,"")</f>
        <v/>
      </c>
    </row>
    <row r="858" hidden="1" s="27">
      <c r="A858" s="47" t="inlineStr">
        <is>
          <t>티플러스</t>
        </is>
      </c>
      <c r="B858" s="47" t="inlineStr">
        <is>
          <t>The 완전마음껏15G+(300분)(카톡 이모티콘+예스24e북)</t>
        </is>
      </c>
      <c r="C858" s="47" t="inlineStr">
        <is>
          <t>300분</t>
        </is>
      </c>
      <c r="D858" s="47" t="inlineStr">
        <is>
          <t>300건</t>
        </is>
      </c>
      <c r="E858" s="47" t="inlineStr">
        <is>
          <t>월 15GB + 3Mbps</t>
        </is>
      </c>
      <c r="F858" s="47" t="inlineStr">
        <is>
          <t>LG U+</t>
        </is>
      </c>
      <c r="G858" s="47" t="inlineStr">
        <is>
          <t>LTE</t>
        </is>
      </c>
      <c r="H858" s="48" t="n">
        <v>23500</v>
      </c>
      <c r="I858" s="48" t="n">
        <v>24</v>
      </c>
      <c r="J858" s="48" t="n">
        <v>33000</v>
      </c>
      <c r="K858" s="47">
        <f t="array" ref="K858">_xlfn.XLOOKUP(1,(참조!$B$2:$B$15=E858)*(참조!$D$2:$D$15=C858)*(참조!$E$2:$E$15=D858),참조!$C$2:$C$15,"")</f>
        <v/>
      </c>
    </row>
    <row r="859" hidden="1" s="27">
      <c r="A859" s="47" t="inlineStr">
        <is>
          <t>이야기모바일</t>
        </is>
      </c>
      <c r="B859" s="47" t="inlineStr">
        <is>
          <t>이야기스페셜 100GB+(24개월)</t>
        </is>
      </c>
      <c r="C859" s="47" t="inlineStr">
        <is>
          <t>무제한</t>
        </is>
      </c>
      <c r="D859" s="47" t="inlineStr">
        <is>
          <t>무제한</t>
        </is>
      </c>
      <c r="E859" s="47" t="inlineStr">
        <is>
          <t>월 100GB + 5Mbps</t>
        </is>
      </c>
      <c r="F859" s="47" t="inlineStr">
        <is>
          <t>LG U+</t>
        </is>
      </c>
      <c r="G859" s="47" t="inlineStr">
        <is>
          <t>LTE</t>
        </is>
      </c>
      <c r="H859" s="48" t="n">
        <v>31350</v>
      </c>
      <c r="I859" s="48" t="n">
        <v>24</v>
      </c>
      <c r="J859" s="48" t="n">
        <v>46200</v>
      </c>
      <c r="K859" s="47">
        <f t="array" ref="K859">_xlfn.XLOOKUP(1,(참조!$B$2:$B$15=E859)*(참조!$D$2:$D$15=C859)*(참조!$E$2:$E$15=D859),참조!$C$2:$C$15,"")</f>
        <v/>
      </c>
    </row>
    <row r="860" hidden="1" s="27">
      <c r="A860" s="47" t="inlineStr">
        <is>
          <t>찬스모바일</t>
        </is>
      </c>
      <c r="B860" s="47" t="inlineStr">
        <is>
          <t>음성기본 매일 5GB+</t>
        </is>
      </c>
      <c r="C860" s="47" t="inlineStr">
        <is>
          <t>무제한</t>
        </is>
      </c>
      <c r="D860" s="47" t="inlineStr">
        <is>
          <t>무제한</t>
        </is>
      </c>
      <c r="E860" s="47" t="inlineStr">
        <is>
          <t>매일 5GB + 5Mbps</t>
        </is>
      </c>
      <c r="F860" s="47" t="inlineStr">
        <is>
          <t>LG U+</t>
        </is>
      </c>
      <c r="G860" s="47" t="inlineStr">
        <is>
          <t>LTE</t>
        </is>
      </c>
      <c r="H860" s="48" t="n">
        <v>16000</v>
      </c>
      <c r="I860" s="48" t="n">
        <v>7</v>
      </c>
      <c r="J860" s="48" t="n">
        <v>46200</v>
      </c>
      <c r="K860" s="47">
        <f t="array" ref="K860">_xlfn.XLOOKUP(1,(참조!$B$2:$B$15=E860)*(참조!$D$2:$D$15=C860)*(참조!$E$2:$E$15=D860),참조!$C$2:$C$15,"")</f>
        <v/>
      </c>
    </row>
    <row r="861" hidden="1" s="27">
      <c r="A861" s="47" t="inlineStr">
        <is>
          <t>KG모바일</t>
        </is>
      </c>
      <c r="B861" s="47" t="inlineStr">
        <is>
          <t>[일반] 실속 (7GB/100분)</t>
        </is>
      </c>
      <c r="C861" s="47" t="inlineStr">
        <is>
          <t>100분</t>
        </is>
      </c>
      <c r="D861" s="47" t="inlineStr">
        <is>
          <t>100건</t>
        </is>
      </c>
      <c r="E861" s="47" t="inlineStr">
        <is>
          <t>월 7GB</t>
        </is>
      </c>
      <c r="F861" s="47" t="inlineStr">
        <is>
          <t>LG U+</t>
        </is>
      </c>
      <c r="G861" s="47" t="inlineStr">
        <is>
          <t>LTE</t>
        </is>
      </c>
      <c r="H861" s="48" t="n">
        <v>2000</v>
      </c>
      <c r="I861" s="48" t="n">
        <v>6</v>
      </c>
      <c r="J861" s="48" t="n">
        <v>13200</v>
      </c>
      <c r="K861" s="47">
        <f t="array" ref="K861">_xlfn.XLOOKUP(1,(참조!$B$2:$B$15=E861)*(참조!$D$2:$D$15=C861)*(참조!$E$2:$E$15=D861),참조!$C$2:$C$15,"")</f>
        <v/>
      </c>
    </row>
    <row r="862" hidden="1" s="27">
      <c r="A862" s="47" t="inlineStr">
        <is>
          <t>핀다이렉트</t>
        </is>
      </c>
      <c r="B862" s="47" t="inlineStr">
        <is>
          <t>[모요only] [K] 핀다이렉트Z Max _PIN</t>
        </is>
      </c>
      <c r="C862" s="47" t="inlineStr">
        <is>
          <t>무제한</t>
        </is>
      </c>
      <c r="D862" s="47" t="inlineStr">
        <is>
          <t>무제한</t>
        </is>
      </c>
      <c r="E862" s="47" t="inlineStr">
        <is>
          <t>매일 5GB + 5Mbps</t>
        </is>
      </c>
      <c r="F862" s="47" t="inlineStr">
        <is>
          <t>KT</t>
        </is>
      </c>
      <c r="G862" s="47" t="inlineStr">
        <is>
          <t>LTE</t>
        </is>
      </c>
      <c r="H862" s="48" t="n">
        <v>15900</v>
      </c>
      <c r="I862" s="48" t="n">
        <v>7</v>
      </c>
      <c r="J862" s="48" t="n">
        <v>42900</v>
      </c>
      <c r="K862" s="47">
        <f t="array" ref="K862">_xlfn.XLOOKUP(1,(참조!$B$2:$B$15=E862)*(참조!$D$2:$D$15=C862)*(참조!$E$2:$E$15=D862),참조!$C$2:$C$15,"")</f>
        <v/>
      </c>
    </row>
    <row r="863" hidden="1" s="27">
      <c r="A863" s="47" t="inlineStr">
        <is>
          <t>티플러스</t>
        </is>
      </c>
      <c r="B863" s="47" t="inlineStr">
        <is>
          <t>티플 위드유 11GB+(G car+세차클링)</t>
        </is>
      </c>
      <c r="C863" s="47" t="inlineStr">
        <is>
          <t>무제한</t>
        </is>
      </c>
      <c r="D863" s="47" t="inlineStr">
        <is>
          <t>무제한</t>
        </is>
      </c>
      <c r="E863" s="47" t="inlineStr">
        <is>
          <t>월 11GB + 매일 2GB + 3Mbps</t>
        </is>
      </c>
      <c r="F863" s="47" t="inlineStr">
        <is>
          <t>SKT</t>
        </is>
      </c>
      <c r="G863" s="47" t="inlineStr">
        <is>
          <t>LTE</t>
        </is>
      </c>
      <c r="H863" s="48" t="n">
        <v>14900</v>
      </c>
      <c r="I863" s="48" t="n">
        <v>7</v>
      </c>
      <c r="J863" s="48" t="n">
        <v>39600</v>
      </c>
      <c r="K863" s="47">
        <f t="array" ref="K863">_xlfn.XLOOKUP(1,(참조!$B$2:$B$15=E863)*(참조!$D$2:$D$15=C863)*(참조!$E$2:$E$15=D863),참조!$C$2:$C$15,"")</f>
        <v/>
      </c>
    </row>
    <row r="864" hidden="1" s="27">
      <c r="A864" s="47" t="inlineStr">
        <is>
          <t>KT스카이라이프</t>
        </is>
      </c>
      <c r="B864" s="47" t="inlineStr">
        <is>
          <t>5G 모두 충분 110GB+</t>
        </is>
      </c>
      <c r="C864" s="47" t="inlineStr">
        <is>
          <t>무제한</t>
        </is>
      </c>
      <c r="D864" s="47" t="inlineStr">
        <is>
          <t>무제한</t>
        </is>
      </c>
      <c r="E864" s="47" t="inlineStr">
        <is>
          <t>월 110GB + 5Mbps</t>
        </is>
      </c>
      <c r="F864" s="47" t="inlineStr">
        <is>
          <t>KT</t>
        </is>
      </c>
      <c r="G864" s="47" t="inlineStr">
        <is>
          <t>5G</t>
        </is>
      </c>
      <c r="H864" s="48" t="n">
        <v>42800</v>
      </c>
      <c r="I864" s="48" t="n"/>
      <c r="J864" s="48" t="n"/>
      <c r="K864" s="47">
        <f t="array" ref="K864">_xlfn.XLOOKUP(1,(참조!$B$2:$B$15=E864)*(참조!$D$2:$D$15=C864)*(참조!$E$2:$E$15=D864),참조!$C$2:$C$15,"")</f>
        <v/>
      </c>
    </row>
    <row r="865" hidden="1" s="27">
      <c r="A865" s="47" t="inlineStr">
        <is>
          <t>이지모바일</t>
        </is>
      </c>
      <c r="B865" s="47" t="inlineStr">
        <is>
          <t>이지 오래쓰는 무제한 4.5GB+1</t>
        </is>
      </c>
      <c r="C865" s="47" t="inlineStr">
        <is>
          <t>무제한</t>
        </is>
      </c>
      <c r="D865" s="47" t="inlineStr">
        <is>
          <t>무제한</t>
        </is>
      </c>
      <c r="E865" s="47" t="inlineStr">
        <is>
          <t>월 4.5GB + 1Mbps</t>
        </is>
      </c>
      <c r="F865" s="47" t="inlineStr">
        <is>
          <t>LG U+</t>
        </is>
      </c>
      <c r="G865" s="47" t="inlineStr">
        <is>
          <t>LTE</t>
        </is>
      </c>
      <c r="H865" s="48" t="n">
        <v>3850</v>
      </c>
      <c r="I865" s="48" t="n">
        <v>12</v>
      </c>
      <c r="J865" s="48" t="n">
        <v>16500</v>
      </c>
      <c r="K865" s="47">
        <f t="array" ref="K865">_xlfn.XLOOKUP(1,(참조!$B$2:$B$15=E865)*(참조!$D$2:$D$15=C865)*(참조!$E$2:$E$15=D865),참조!$C$2:$C$15,"")</f>
        <v/>
      </c>
    </row>
    <row r="866" hidden="1" s="27">
      <c r="A866" s="47" t="inlineStr">
        <is>
          <t>티플러스</t>
        </is>
      </c>
      <c r="B866" s="47" t="inlineStr">
        <is>
          <t>5G 티플 15GB(15GB/300분)</t>
        </is>
      </c>
      <c r="C866" s="47" t="inlineStr">
        <is>
          <t>300분</t>
        </is>
      </c>
      <c r="D866" s="47" t="inlineStr">
        <is>
          <t>100건</t>
        </is>
      </c>
      <c r="E866" s="47" t="inlineStr">
        <is>
          <t>월 15GB</t>
        </is>
      </c>
      <c r="F866" s="47" t="inlineStr">
        <is>
          <t>SKT</t>
        </is>
      </c>
      <c r="G866" s="47" t="inlineStr">
        <is>
          <t>5G</t>
        </is>
      </c>
      <c r="H866" s="48" t="n">
        <v>8800</v>
      </c>
      <c r="I866" s="48" t="n">
        <v>4</v>
      </c>
      <c r="J866" s="48" t="n">
        <v>22000</v>
      </c>
      <c r="K866" s="47">
        <f t="array" ref="K866">_xlfn.XLOOKUP(1,(참조!$B$2:$B$15=E866)*(참조!$D$2:$D$15=C866)*(참조!$E$2:$E$15=D866),참조!$C$2:$C$15,"")</f>
        <v/>
      </c>
    </row>
    <row r="867" hidden="1" s="27">
      <c r="A867" s="47" t="inlineStr">
        <is>
          <t>스마텔</t>
        </is>
      </c>
      <c r="B867" s="47" t="inlineStr">
        <is>
          <t>USIM 스위트 (500분/10GB)</t>
        </is>
      </c>
      <c r="C867" s="47" t="inlineStr">
        <is>
          <t>500분</t>
        </is>
      </c>
      <c r="D867" s="47" t="inlineStr">
        <is>
          <t>100건</t>
        </is>
      </c>
      <c r="E867" s="47" t="inlineStr">
        <is>
          <t>월 10GB</t>
        </is>
      </c>
      <c r="F867" s="47" t="inlineStr">
        <is>
          <t>KT</t>
        </is>
      </c>
      <c r="G867" s="47" t="inlineStr">
        <is>
          <t>LTE</t>
        </is>
      </c>
      <c r="H867" s="48" t="n">
        <v>900</v>
      </c>
      <c r="I867" s="48" t="n">
        <v>7</v>
      </c>
      <c r="J867" s="48" t="n">
        <v>20900</v>
      </c>
      <c r="K867" s="47">
        <f t="array" ref="K867">_xlfn.XLOOKUP(1,(참조!$B$2:$B$15=E867)*(참조!$D$2:$D$15=C867)*(참조!$E$2:$E$15=D867),참조!$C$2:$C$15,"")</f>
        <v/>
      </c>
    </row>
    <row r="868" hidden="1" s="27">
      <c r="A868" s="47" t="inlineStr">
        <is>
          <t>KG모바일</t>
        </is>
      </c>
      <c r="B868" s="47" t="inlineStr">
        <is>
          <t>[일반] 데이터 마음대로 (15GB+/300분)</t>
        </is>
      </c>
      <c r="C868" s="47" t="inlineStr">
        <is>
          <t>300분</t>
        </is>
      </c>
      <c r="D868" s="47" t="inlineStr">
        <is>
          <t>300건</t>
        </is>
      </c>
      <c r="E868" s="47" t="inlineStr">
        <is>
          <t>월 15GB + 3Mbps</t>
        </is>
      </c>
      <c r="F868" s="47" t="inlineStr">
        <is>
          <t>LG U+</t>
        </is>
      </c>
      <c r="G868" s="47" t="inlineStr">
        <is>
          <t>LTE</t>
        </is>
      </c>
      <c r="H868" s="48" t="n">
        <v>23100</v>
      </c>
      <c r="I868" s="48" t="n">
        <v>12</v>
      </c>
      <c r="J868" s="48" t="n">
        <v>35200</v>
      </c>
      <c r="K868" s="47">
        <f t="array" ref="K868">_xlfn.XLOOKUP(1,(참조!$B$2:$B$15=E868)*(참조!$D$2:$D$15=C868)*(참조!$E$2:$E$15=D868),참조!$C$2:$C$15,"")</f>
        <v/>
      </c>
    </row>
    <row r="869" hidden="1" s="27">
      <c r="A869" s="47" t="inlineStr">
        <is>
          <t>고고모바일</t>
        </is>
      </c>
      <c r="B869" s="47" t="inlineStr">
        <is>
          <t>5G무제한 50GB+1Mbps</t>
        </is>
      </c>
      <c r="C869" s="47" t="inlineStr">
        <is>
          <t>무제한</t>
        </is>
      </c>
      <c r="D869" s="47" t="inlineStr">
        <is>
          <t>무제한</t>
        </is>
      </c>
      <c r="E869" s="47" t="inlineStr">
        <is>
          <t>월 50GB + 1Mbps</t>
        </is>
      </c>
      <c r="F869" s="47" t="inlineStr">
        <is>
          <t>KT</t>
        </is>
      </c>
      <c r="G869" s="47" t="inlineStr">
        <is>
          <t>5G</t>
        </is>
      </c>
      <c r="H869" s="48" t="n">
        <v>41580</v>
      </c>
      <c r="I869" s="48" t="n"/>
      <c r="J869" s="48" t="n"/>
      <c r="K869" s="47">
        <f t="array" ref="K869">_xlfn.XLOOKUP(1,(참조!$B$2:$B$15=E869)*(참조!$D$2:$D$15=C869)*(참조!$E$2:$E$15=D869),참조!$C$2:$C$15,"")</f>
        <v/>
      </c>
    </row>
    <row r="870" hidden="1" s="27">
      <c r="A870" s="47" t="inlineStr">
        <is>
          <t>티플러스</t>
        </is>
      </c>
      <c r="B870" s="47" t="inlineStr">
        <is>
          <t>The 완전마음껏 11GB＋</t>
        </is>
      </c>
      <c r="C870" s="47" t="inlineStr">
        <is>
          <t>무제한</t>
        </is>
      </c>
      <c r="D870" s="47" t="inlineStr">
        <is>
          <t>무제한</t>
        </is>
      </c>
      <c r="E870" s="47" t="inlineStr">
        <is>
          <t>월 11GB + 매일 2GB + 3Mbps</t>
        </is>
      </c>
      <c r="F870" s="47" t="inlineStr">
        <is>
          <t>SKT</t>
        </is>
      </c>
      <c r="G870" s="47" t="inlineStr">
        <is>
          <t>LTE</t>
        </is>
      </c>
      <c r="H870" s="48" t="n">
        <v>14900</v>
      </c>
      <c r="I870" s="48" t="n">
        <v>7</v>
      </c>
      <c r="J870" s="48" t="n">
        <v>39600</v>
      </c>
      <c r="K870" s="47">
        <f t="array" ref="K870">_xlfn.XLOOKUP(1,(참조!$B$2:$B$15=E870)*(참조!$D$2:$D$15=C870)*(참조!$E$2:$E$15=D870),참조!$C$2:$C$15,"")</f>
        <v/>
      </c>
    </row>
    <row r="871" hidden="1" s="27">
      <c r="A871" s="47" t="inlineStr">
        <is>
          <t>티플러스</t>
        </is>
      </c>
      <c r="B871" s="47" t="inlineStr">
        <is>
          <t>The 완전마음껏7G＋(올리브영 매월 5000P)</t>
        </is>
      </c>
      <c r="C871" s="47" t="inlineStr">
        <is>
          <t>무제한</t>
        </is>
      </c>
      <c r="D871" s="47" t="inlineStr">
        <is>
          <t>무제한</t>
        </is>
      </c>
      <c r="E871" s="47" t="inlineStr">
        <is>
          <t>월 7GB + 1Mbps</t>
        </is>
      </c>
      <c r="F871" s="47" t="inlineStr">
        <is>
          <t>LG U+</t>
        </is>
      </c>
      <c r="G871" s="47" t="inlineStr">
        <is>
          <t>LTE</t>
        </is>
      </c>
      <c r="H871" s="48" t="n">
        <v>14900</v>
      </c>
      <c r="I871" s="48" t="n">
        <v>24</v>
      </c>
      <c r="J871" s="48" t="n">
        <v>22000</v>
      </c>
      <c r="K871" s="47">
        <f t="array" ref="K871">_xlfn.XLOOKUP(1,(참조!$B$2:$B$15=E871)*(참조!$D$2:$D$15=C871)*(참조!$E$2:$E$15=D871),참조!$C$2:$C$15,"")</f>
        <v/>
      </c>
    </row>
    <row r="872" hidden="1" s="27">
      <c r="A872" s="47" t="inlineStr">
        <is>
          <t>티플러스</t>
        </is>
      </c>
      <c r="B872" s="47" t="inlineStr">
        <is>
          <t>The 완전마음껏7G＋(스타벅스 매월 5000P)</t>
        </is>
      </c>
      <c r="C872" s="47" t="inlineStr">
        <is>
          <t>무제한</t>
        </is>
      </c>
      <c r="D872" s="47" t="inlineStr">
        <is>
          <t>무제한</t>
        </is>
      </c>
      <c r="E872" s="47" t="inlineStr">
        <is>
          <t>월 7GB + 1Mbps</t>
        </is>
      </c>
      <c r="F872" s="47" t="inlineStr">
        <is>
          <t>LG U+</t>
        </is>
      </c>
      <c r="G872" s="47" t="inlineStr">
        <is>
          <t>LTE</t>
        </is>
      </c>
      <c r="H872" s="48" t="n">
        <v>14900</v>
      </c>
      <c r="I872" s="48" t="n">
        <v>24</v>
      </c>
      <c r="J872" s="48" t="n">
        <v>22000</v>
      </c>
      <c r="K872" s="47">
        <f t="array" ref="K872">_xlfn.XLOOKUP(1,(참조!$B$2:$B$15=E872)*(참조!$D$2:$D$15=C872)*(참조!$E$2:$E$15=D872),참조!$C$2:$C$15,"")</f>
        <v/>
      </c>
    </row>
    <row r="873" hidden="1" s="27">
      <c r="A873" s="47" t="inlineStr">
        <is>
          <t>위너스텔</t>
        </is>
      </c>
      <c r="B873" s="47" t="inlineStr">
        <is>
          <t>[KT]WELL 250분+600MB</t>
        </is>
      </c>
      <c r="C873" s="47" t="inlineStr">
        <is>
          <t>250분</t>
        </is>
      </c>
      <c r="D873" s="47" t="inlineStr">
        <is>
          <t>50건</t>
        </is>
      </c>
      <c r="E873" s="47" t="inlineStr">
        <is>
          <t>월 600MB</t>
        </is>
      </c>
      <c r="F873" s="47" t="inlineStr">
        <is>
          <t>KT</t>
        </is>
      </c>
      <c r="G873" s="47" t="inlineStr">
        <is>
          <t>LTE</t>
        </is>
      </c>
      <c r="H873" s="48" t="n">
        <v>4400</v>
      </c>
      <c r="I873" s="48" t="n"/>
      <c r="J873" s="48" t="n"/>
      <c r="K873" s="47">
        <f t="array" ref="K873">_xlfn.XLOOKUP(1,(참조!$B$2:$B$15=E873)*(참조!$D$2:$D$15=C873)*(참조!$E$2:$E$15=D873),참조!$C$2:$C$15,"")</f>
        <v/>
      </c>
    </row>
    <row r="874" hidden="1" s="27">
      <c r="A874" s="47" t="inlineStr">
        <is>
          <t>티플러스</t>
        </is>
      </c>
      <c r="B874" s="47" t="inlineStr">
        <is>
          <t>The 완전마음껏7G+(컬쳐랜드 문화상품권 매월 5000P)</t>
        </is>
      </c>
      <c r="C874" s="47" t="inlineStr">
        <is>
          <t>무제한</t>
        </is>
      </c>
      <c r="D874" s="47" t="inlineStr">
        <is>
          <t>무제한</t>
        </is>
      </c>
      <c r="E874" s="47" t="inlineStr">
        <is>
          <t>월 7GB + 1Mbps</t>
        </is>
      </c>
      <c r="F874" s="47" t="inlineStr">
        <is>
          <t>LG U+</t>
        </is>
      </c>
      <c r="G874" s="47" t="inlineStr">
        <is>
          <t>LTE</t>
        </is>
      </c>
      <c r="H874" s="48" t="n">
        <v>14900</v>
      </c>
      <c r="I874" s="48" t="n">
        <v>24</v>
      </c>
      <c r="J874" s="48" t="n">
        <v>22000</v>
      </c>
      <c r="K874" s="47">
        <f t="array" ref="K874">_xlfn.XLOOKUP(1,(참조!$B$2:$B$15=E874)*(참조!$D$2:$D$15=C874)*(참조!$E$2:$E$15=D874),참조!$C$2:$C$15,"")</f>
        <v/>
      </c>
    </row>
    <row r="875" hidden="1" s="27">
      <c r="A875" s="47" t="inlineStr">
        <is>
          <t>KT스카이라이프</t>
        </is>
      </c>
      <c r="B875" s="47" t="inlineStr">
        <is>
          <t>모두 충분 2.5GB+</t>
        </is>
      </c>
      <c r="C875" s="47" t="inlineStr">
        <is>
          <t>무제한</t>
        </is>
      </c>
      <c r="D875" s="47" t="inlineStr">
        <is>
          <t>무제한</t>
        </is>
      </c>
      <c r="E875" s="47" t="inlineStr">
        <is>
          <t>월 2.5GB + 400Kbps</t>
        </is>
      </c>
      <c r="F875" s="47" t="inlineStr">
        <is>
          <t>KT</t>
        </is>
      </c>
      <c r="G875" s="47" t="inlineStr">
        <is>
          <t>LTE</t>
        </is>
      </c>
      <c r="H875" s="48" t="n">
        <v>11800</v>
      </c>
      <c r="I875" s="48" t="n"/>
      <c r="J875" s="48" t="n"/>
      <c r="K875" s="47">
        <f t="array" ref="K875">_xlfn.XLOOKUP(1,(참조!$B$2:$B$15=E875)*(참조!$D$2:$D$15=C875)*(참조!$E$2:$E$15=D875),참조!$C$2:$C$15,"")</f>
        <v/>
      </c>
    </row>
    <row r="876" hidden="1" s="27">
      <c r="A876" s="47" t="inlineStr">
        <is>
          <t>핀다이렉트</t>
        </is>
      </c>
      <c r="B876" s="47" t="inlineStr">
        <is>
          <t>[L] 핀다이렉트Z Speed 95GB+</t>
        </is>
      </c>
      <c r="C876" s="47" t="inlineStr">
        <is>
          <t>무제한</t>
        </is>
      </c>
      <c r="D876" s="47" t="inlineStr">
        <is>
          <t>무제한</t>
        </is>
      </c>
      <c r="E876" s="47" t="inlineStr">
        <is>
          <t>월 95GB + 3Mbps</t>
        </is>
      </c>
      <c r="F876" s="47" t="inlineStr">
        <is>
          <t>LG U+</t>
        </is>
      </c>
      <c r="G876" s="47" t="inlineStr">
        <is>
          <t>5G</t>
        </is>
      </c>
      <c r="H876" s="48" t="n">
        <v>16000</v>
      </c>
      <c r="I876" s="48" t="n">
        <v>7</v>
      </c>
      <c r="J876" s="48" t="n">
        <v>45100</v>
      </c>
      <c r="K876" s="47">
        <f t="array" ref="K876">_xlfn.XLOOKUP(1,(참조!$B$2:$B$15=E876)*(참조!$D$2:$D$15=C876)*(참조!$E$2:$E$15=D876),참조!$C$2:$C$15,"")</f>
        <v/>
      </c>
    </row>
    <row r="877" hidden="1" s="27">
      <c r="A877" s="47" t="inlineStr">
        <is>
          <t>이지모바일</t>
        </is>
      </c>
      <c r="B877" s="47" t="inlineStr">
        <is>
          <t>이지 무한 일5GB+5</t>
        </is>
      </c>
      <c r="C877" s="47" t="inlineStr">
        <is>
          <t>무제한</t>
        </is>
      </c>
      <c r="D877" s="47" t="inlineStr">
        <is>
          <t>무제한</t>
        </is>
      </c>
      <c r="E877" s="47" t="inlineStr">
        <is>
          <t>매일 5GB + 5Mbps</t>
        </is>
      </c>
      <c r="F877" s="47" t="inlineStr">
        <is>
          <t>LG U+</t>
        </is>
      </c>
      <c r="G877" s="47" t="inlineStr">
        <is>
          <t>LTE</t>
        </is>
      </c>
      <c r="H877" s="48" t="n">
        <v>15950</v>
      </c>
      <c r="I877" s="48" t="n">
        <v>7</v>
      </c>
      <c r="J877" s="48" t="n">
        <v>46200</v>
      </c>
      <c r="K877" s="47">
        <f t="array" ref="K877">_xlfn.XLOOKUP(1,(참조!$B$2:$B$15=E877)*(참조!$D$2:$D$15=C877)*(참조!$E$2:$E$15=D877),참조!$C$2:$C$15,"")</f>
        <v/>
      </c>
    </row>
    <row r="878" hidden="1" s="27">
      <c r="A878" s="47" t="inlineStr">
        <is>
          <t>티플러스</t>
        </is>
      </c>
      <c r="B878" s="47" t="inlineStr">
        <is>
          <t>티플북 15G+(300분)(도서문화상품권 매월 5000P)</t>
        </is>
      </c>
      <c r="C878" s="47" t="inlineStr">
        <is>
          <t>300분</t>
        </is>
      </c>
      <c r="D878" s="47" t="inlineStr">
        <is>
          <t>300건</t>
        </is>
      </c>
      <c r="E878" s="47" t="inlineStr">
        <is>
          <t>월 15GB + 3Mbps</t>
        </is>
      </c>
      <c r="F878" s="47" t="inlineStr">
        <is>
          <t>SKT</t>
        </is>
      </c>
      <c r="G878" s="47" t="inlineStr">
        <is>
          <t>LTE</t>
        </is>
      </c>
      <c r="H878" s="48" t="n">
        <v>12900</v>
      </c>
      <c r="I878" s="48" t="n">
        <v>7</v>
      </c>
      <c r="J878" s="48" t="n">
        <v>41800</v>
      </c>
      <c r="K878" s="47">
        <f t="array" ref="K878">_xlfn.XLOOKUP(1,(참조!$B$2:$B$15=E878)*(참조!$D$2:$D$15=C878)*(참조!$E$2:$E$15=D878),참조!$C$2:$C$15,"")</f>
        <v/>
      </c>
    </row>
    <row r="879" hidden="1" s="27">
      <c r="A879" s="47" t="inlineStr">
        <is>
          <t>고고모바일</t>
        </is>
      </c>
      <c r="B879" s="47" t="inlineStr">
        <is>
          <t>고고 LTE 무제한 7GB+1M_모요</t>
        </is>
      </c>
      <c r="C879" s="47" t="inlineStr">
        <is>
          <t>무제한</t>
        </is>
      </c>
      <c r="D879" s="47" t="inlineStr">
        <is>
          <t>무제한</t>
        </is>
      </c>
      <c r="E879" s="47" t="inlineStr">
        <is>
          <t>월 7GB + 1Mbps</t>
        </is>
      </c>
      <c r="F879" s="47" t="inlineStr">
        <is>
          <t>SKT</t>
        </is>
      </c>
      <c r="G879" s="47" t="inlineStr">
        <is>
          <t>LTE</t>
        </is>
      </c>
      <c r="H879" s="48" t="n">
        <v>4000</v>
      </c>
      <c r="I879" s="48" t="n">
        <v>7</v>
      </c>
      <c r="J879" s="48" t="n">
        <v>23100</v>
      </c>
      <c r="K879" s="47">
        <f t="array" ref="K879">_xlfn.XLOOKUP(1,(참조!$B$2:$B$15=E879)*(참조!$D$2:$D$15=C879)*(참조!$E$2:$E$15=D879),참조!$C$2:$C$15,"")</f>
        <v/>
      </c>
    </row>
    <row r="880" hidden="1" s="27">
      <c r="A880" s="47" t="inlineStr">
        <is>
          <t>스마텔</t>
        </is>
      </c>
      <c r="B880" s="47" t="inlineStr">
        <is>
          <t>스마트 300분/15GB+ (24개월)</t>
        </is>
      </c>
      <c r="C880" s="47" t="inlineStr">
        <is>
          <t>300분</t>
        </is>
      </c>
      <c r="D880" s="47" t="inlineStr">
        <is>
          <t>300건</t>
        </is>
      </c>
      <c r="E880" s="47" t="inlineStr">
        <is>
          <t>월 15GB + 3Mbps</t>
        </is>
      </c>
      <c r="F880" s="47" t="inlineStr">
        <is>
          <t>LG U+</t>
        </is>
      </c>
      <c r="G880" s="47" t="inlineStr">
        <is>
          <t>LTE</t>
        </is>
      </c>
      <c r="H880" s="48" t="n">
        <v>23000</v>
      </c>
      <c r="I880" s="48" t="n">
        <v>24</v>
      </c>
      <c r="J880" s="48" t="n">
        <v>34100</v>
      </c>
      <c r="K880" s="47">
        <f t="array" ref="K880">_xlfn.XLOOKUP(1,(참조!$B$2:$B$15=E880)*(참조!$D$2:$D$15=C880)*(참조!$E$2:$E$15=D880),참조!$C$2:$C$15,"")</f>
        <v/>
      </c>
    </row>
    <row r="881" hidden="1" s="27">
      <c r="A881" s="47" t="inlineStr">
        <is>
          <t>KT스카이라이프</t>
        </is>
      </c>
      <c r="B881" s="47" t="inlineStr">
        <is>
          <t>모두 충분 10GB+</t>
        </is>
      </c>
      <c r="C881" s="47" t="inlineStr">
        <is>
          <t>무제한</t>
        </is>
      </c>
      <c r="D881" s="47" t="inlineStr">
        <is>
          <t>무제한</t>
        </is>
      </c>
      <c r="E881" s="47" t="inlineStr">
        <is>
          <t>월 10GB + 400Kbps</t>
        </is>
      </c>
      <c r="F881" s="47" t="inlineStr">
        <is>
          <t>KT</t>
        </is>
      </c>
      <c r="G881" s="47" t="inlineStr">
        <is>
          <t>LTE</t>
        </is>
      </c>
      <c r="H881" s="48" t="n">
        <v>17900</v>
      </c>
      <c r="I881" s="48" t="n"/>
      <c r="J881" s="48" t="n"/>
      <c r="K881" s="47">
        <f t="array" ref="K881">_xlfn.XLOOKUP(1,(참조!$B$2:$B$15=E881)*(참조!$D$2:$D$15=C881)*(참조!$E$2:$E$15=D881),참조!$C$2:$C$15,"")</f>
        <v/>
      </c>
    </row>
    <row r="882" hidden="1" s="27">
      <c r="A882" s="47" t="inlineStr">
        <is>
          <t>티플러스</t>
        </is>
      </c>
      <c r="B882" s="47" t="inlineStr">
        <is>
          <t>5G 가성비플러스(25GB/350분)</t>
        </is>
      </c>
      <c r="C882" s="47" t="inlineStr">
        <is>
          <t>350분</t>
        </is>
      </c>
      <c r="D882" s="47" t="inlineStr">
        <is>
          <t>100건</t>
        </is>
      </c>
      <c r="E882" s="47" t="inlineStr">
        <is>
          <t>월 25GB</t>
        </is>
      </c>
      <c r="F882" s="47" t="inlineStr">
        <is>
          <t>KT</t>
        </is>
      </c>
      <c r="G882" s="47" t="inlineStr">
        <is>
          <t>5G</t>
        </is>
      </c>
      <c r="H882" s="48" t="n">
        <v>5900</v>
      </c>
      <c r="I882" s="48" t="n">
        <v>7</v>
      </c>
      <c r="J882" s="48" t="n">
        <v>34100</v>
      </c>
      <c r="K882" s="47">
        <f t="array" ref="K882">_xlfn.XLOOKUP(1,(참조!$B$2:$B$15=E882)*(참조!$D$2:$D$15=C882)*(참조!$E$2:$E$15=D882),참조!$C$2:$C$15,"")</f>
        <v/>
      </c>
    </row>
    <row r="883" hidden="1" s="27">
      <c r="A883" s="47" t="inlineStr">
        <is>
          <t>더원모바일</t>
        </is>
      </c>
      <c r="B883" s="47" t="inlineStr">
        <is>
          <t>TOP 5G 200GB 기본 (네이버페이)</t>
        </is>
      </c>
      <c r="C883" s="47" t="inlineStr">
        <is>
          <t>무제한</t>
        </is>
      </c>
      <c r="D883" s="47" t="inlineStr">
        <is>
          <t>무제한</t>
        </is>
      </c>
      <c r="E883" s="47" t="inlineStr">
        <is>
          <t>월 200GB + 10Mbps</t>
        </is>
      </c>
      <c r="F883" s="47" t="inlineStr">
        <is>
          <t>KT</t>
        </is>
      </c>
      <c r="G883" s="47" t="inlineStr">
        <is>
          <t>5G</t>
        </is>
      </c>
      <c r="H883" s="48" t="n">
        <v>33000</v>
      </c>
      <c r="I883" s="48" t="n">
        <v>12</v>
      </c>
      <c r="J883" s="48" t="n">
        <v>55000</v>
      </c>
      <c r="K883" s="47">
        <f t="array" ref="K883">_xlfn.XLOOKUP(1,(참조!$B$2:$B$15=E883)*(참조!$D$2:$D$15=C883)*(참조!$E$2:$E$15=D883),참조!$C$2:$C$15,"")</f>
        <v/>
      </c>
    </row>
    <row r="884" hidden="1" s="27">
      <c r="A884" s="47" t="inlineStr">
        <is>
          <t>KG모바일</t>
        </is>
      </c>
      <c r="B884" s="47" t="inlineStr">
        <is>
          <t>[일반] 통화, 데이터 마음대로 100GB+_24개월</t>
        </is>
      </c>
      <c r="C884" s="47" t="inlineStr">
        <is>
          <t>무제한</t>
        </is>
      </c>
      <c r="D884" s="47" t="inlineStr">
        <is>
          <t>무제한</t>
        </is>
      </c>
      <c r="E884" s="47" t="inlineStr">
        <is>
          <t>월 100GB + 5Mbps</t>
        </is>
      </c>
      <c r="F884" s="47" t="inlineStr">
        <is>
          <t>LG U+</t>
        </is>
      </c>
      <c r="G884" s="47" t="inlineStr">
        <is>
          <t>LTE</t>
        </is>
      </c>
      <c r="H884" s="48" t="n">
        <v>31000</v>
      </c>
      <c r="I884" s="48" t="n">
        <v>24</v>
      </c>
      <c r="J884" s="48" t="n">
        <v>47300</v>
      </c>
      <c r="K884" s="47">
        <f t="array" ref="K884">_xlfn.XLOOKUP(1,(참조!$B$2:$B$15=E884)*(참조!$D$2:$D$15=C884)*(참조!$E$2:$E$15=D884),참조!$C$2:$C$15,"")</f>
        <v/>
      </c>
    </row>
    <row r="885" hidden="1" s="27">
      <c r="A885" s="47" t="inlineStr">
        <is>
          <t>고고모바일</t>
        </is>
      </c>
      <c r="B885" s="47" t="inlineStr">
        <is>
          <t>데이터무제한 100분/100건</t>
        </is>
      </c>
      <c r="C885" s="47" t="inlineStr">
        <is>
          <t>100분</t>
        </is>
      </c>
      <c r="D885" s="47" t="inlineStr">
        <is>
          <t>100건</t>
        </is>
      </c>
      <c r="E885" s="47" t="inlineStr">
        <is>
          <t>데이터 제공안함 + 400Kbps</t>
        </is>
      </c>
      <c r="F885" s="47" t="inlineStr">
        <is>
          <t>KT</t>
        </is>
      </c>
      <c r="G885" s="47" t="inlineStr">
        <is>
          <t>LTE</t>
        </is>
      </c>
      <c r="H885" s="48" t="n">
        <v>6160</v>
      </c>
      <c r="I885" s="48" t="n"/>
      <c r="J885" s="48" t="n"/>
      <c r="K885" s="47">
        <f t="array" ref="K885">_xlfn.XLOOKUP(1,(참조!$B$2:$B$15=E885)*(참조!$D$2:$D$15=C885)*(참조!$E$2:$E$15=D885),참조!$C$2:$C$15,"")</f>
        <v/>
      </c>
    </row>
    <row r="886" hidden="1" s="27">
      <c r="A886" s="47" t="inlineStr">
        <is>
          <t>쉐이크모바일</t>
        </is>
      </c>
      <c r="B886" s="47" t="inlineStr">
        <is>
          <t>[모요only] 쉐이크 LTE 7GB+_다이소 매 월 5,000원</t>
        </is>
      </c>
      <c r="C886" s="47" t="inlineStr">
        <is>
          <t>무제한</t>
        </is>
      </c>
      <c r="D886" s="47" t="inlineStr">
        <is>
          <t>무제한</t>
        </is>
      </c>
      <c r="E886" s="47" t="inlineStr">
        <is>
          <t>월 7GB + 1Mbps</t>
        </is>
      </c>
      <c r="F886" s="47" t="inlineStr">
        <is>
          <t>KT</t>
        </is>
      </c>
      <c r="G886" s="47" t="inlineStr">
        <is>
          <t>LTE</t>
        </is>
      </c>
      <c r="H886" s="48" t="n">
        <v>15000</v>
      </c>
      <c r="I886" s="48" t="n">
        <v>12</v>
      </c>
      <c r="J886" s="48" t="n">
        <v>25300</v>
      </c>
      <c r="K886" s="47">
        <f t="array" ref="K886">_xlfn.XLOOKUP(1,(참조!$B$2:$B$15=E886)*(참조!$D$2:$D$15=C886)*(참조!$E$2:$E$15=D886),참조!$C$2:$C$15,"")</f>
        <v/>
      </c>
    </row>
    <row r="887" hidden="1" s="27">
      <c r="A887" s="47" t="inlineStr">
        <is>
          <t>KT엠모바일</t>
        </is>
      </c>
      <c r="B887" s="47" t="inlineStr">
        <is>
          <t>5G 모두다 맘껏 70GB+(밀리의 서재 FREE)</t>
        </is>
      </c>
      <c r="C887" s="47" t="inlineStr">
        <is>
          <t>무제한</t>
        </is>
      </c>
      <c r="D887" s="47" t="inlineStr">
        <is>
          <t>무제한</t>
        </is>
      </c>
      <c r="E887" s="47" t="inlineStr">
        <is>
          <t>월 70GB + 1Mbps</t>
        </is>
      </c>
      <c r="F887" s="47" t="inlineStr">
        <is>
          <t>KT</t>
        </is>
      </c>
      <c r="G887" s="47" t="inlineStr">
        <is>
          <t>5G</t>
        </is>
      </c>
      <c r="H887" s="48" t="n">
        <v>39100</v>
      </c>
      <c r="I887" s="48" t="n"/>
      <c r="J887" s="48" t="n"/>
      <c r="K887" s="47">
        <f t="array" ref="K887">_xlfn.XLOOKUP(1,(참조!$B$2:$B$15=E887)*(참조!$D$2:$D$15=C887)*(참조!$E$2:$E$15=D887),참조!$C$2:$C$15,"")</f>
        <v/>
      </c>
    </row>
    <row r="888" hidden="1" s="27">
      <c r="A888" s="47" t="inlineStr">
        <is>
          <t>핀다이렉트</t>
        </is>
      </c>
      <c r="B888" s="47" t="inlineStr">
        <is>
          <t>[L] 핀다이렉트Z 11GB+</t>
        </is>
      </c>
      <c r="C888" s="47" t="inlineStr">
        <is>
          <t>무제한</t>
        </is>
      </c>
      <c r="D888" s="47" t="inlineStr">
        <is>
          <t>무제한</t>
        </is>
      </c>
      <c r="E888" s="47" t="inlineStr">
        <is>
          <t>월 11GB + 매일 2GB + 3Mbps</t>
        </is>
      </c>
      <c r="F888" s="47" t="inlineStr">
        <is>
          <t>LG U+</t>
        </is>
      </c>
      <c r="G888" s="47" t="inlineStr">
        <is>
          <t>LTE</t>
        </is>
      </c>
      <c r="H888" s="48" t="n">
        <v>15000</v>
      </c>
      <c r="I888" s="48" t="n">
        <v>7</v>
      </c>
      <c r="J888" s="48" t="n">
        <v>39600</v>
      </c>
      <c r="K888" s="47">
        <f t="array" ref="K888">_xlfn.XLOOKUP(1,(참조!$B$2:$B$15=E888)*(참조!$D$2:$D$15=C888)*(참조!$E$2:$E$15=D888),참조!$C$2:$C$15,"")</f>
        <v/>
      </c>
    </row>
    <row r="889" hidden="1" s="27">
      <c r="A889" s="47" t="inlineStr">
        <is>
          <t>쉐이크모바일</t>
        </is>
      </c>
      <c r="B889" s="47" t="inlineStr">
        <is>
          <t>[모요only] 쉐이크 LTE 7GB+_올리브영 5000원</t>
        </is>
      </c>
      <c r="C889" s="47" t="inlineStr">
        <is>
          <t>무제한</t>
        </is>
      </c>
      <c r="D889" s="47" t="inlineStr">
        <is>
          <t>무제한</t>
        </is>
      </c>
      <c r="E889" s="47" t="inlineStr">
        <is>
          <t>월 7GB + 1Mbps</t>
        </is>
      </c>
      <c r="F889" s="47" t="inlineStr">
        <is>
          <t>KT</t>
        </is>
      </c>
      <c r="G889" s="47" t="inlineStr">
        <is>
          <t>LTE</t>
        </is>
      </c>
      <c r="H889" s="48" t="n">
        <v>15000</v>
      </c>
      <c r="I889" s="48" t="n">
        <v>12</v>
      </c>
      <c r="J889" s="48" t="n">
        <v>25300</v>
      </c>
      <c r="K889" s="47">
        <f t="array" ref="K889">_xlfn.XLOOKUP(1,(참조!$B$2:$B$15=E889)*(참조!$D$2:$D$15=C889)*(참조!$E$2:$E$15=D889),참조!$C$2:$C$15,"")</f>
        <v/>
      </c>
    </row>
    <row r="890" hidden="1" s="27">
      <c r="A890" s="47" t="inlineStr">
        <is>
          <t>이지모바일</t>
        </is>
      </c>
      <c r="B890" s="47" t="inlineStr">
        <is>
          <t>[5G]이지 평생 2.5GB</t>
        </is>
      </c>
      <c r="C890" s="47" t="inlineStr">
        <is>
          <t>200분</t>
        </is>
      </c>
      <c r="D890" s="47" t="inlineStr">
        <is>
          <t>100건</t>
        </is>
      </c>
      <c r="E890" s="47" t="inlineStr">
        <is>
          <t>월 2.5GB</t>
        </is>
      </c>
      <c r="F890" s="47" t="inlineStr">
        <is>
          <t>LG U+</t>
        </is>
      </c>
      <c r="G890" s="47" t="inlineStr">
        <is>
          <t>5G</t>
        </is>
      </c>
      <c r="H890" s="48" t="n">
        <v>2750</v>
      </c>
      <c r="I890" s="48" t="n"/>
      <c r="J890" s="48" t="n"/>
      <c r="K890" s="47">
        <f t="array" ref="K890">_xlfn.XLOOKUP(1,(참조!$B$2:$B$15=E890)*(참조!$D$2:$D$15=C890)*(참조!$E$2:$E$15=D890),참조!$C$2:$C$15,"")</f>
        <v/>
      </c>
    </row>
    <row r="891" hidden="1" s="27">
      <c r="A891" s="47" t="inlineStr">
        <is>
          <t>스마텔</t>
        </is>
      </c>
      <c r="B891" s="47" t="inlineStr">
        <is>
          <t>후후 스마일 15GB+</t>
        </is>
      </c>
      <c r="C891" s="47" t="inlineStr">
        <is>
          <t>100분</t>
        </is>
      </c>
      <c r="D891" s="47" t="inlineStr">
        <is>
          <t>100건</t>
        </is>
      </c>
      <c r="E891" s="47" t="inlineStr">
        <is>
          <t>월 15GB + 3Mbps</t>
        </is>
      </c>
      <c r="F891" s="47" t="inlineStr">
        <is>
          <t>SKT</t>
        </is>
      </c>
      <c r="G891" s="47" t="inlineStr">
        <is>
          <t>LTE</t>
        </is>
      </c>
      <c r="H891" s="48" t="n">
        <v>12830</v>
      </c>
      <c r="I891" s="48" t="n">
        <v>7</v>
      </c>
      <c r="J891" s="48" t="n">
        <v>33330</v>
      </c>
      <c r="K891" s="47">
        <f t="array" ref="K891">_xlfn.XLOOKUP(1,(참조!$B$2:$B$15=E891)*(참조!$D$2:$D$15=C891)*(참조!$E$2:$E$15=D891),참조!$C$2:$C$15,"")</f>
        <v/>
      </c>
    </row>
    <row r="892" hidden="1" s="27">
      <c r="A892" s="47" t="inlineStr">
        <is>
          <t>KT스카이라이프</t>
        </is>
      </c>
      <c r="B892" s="47" t="inlineStr">
        <is>
          <t>모두 충분 100GB+(웨이브)</t>
        </is>
      </c>
      <c r="C892" s="47" t="inlineStr">
        <is>
          <t>무제한</t>
        </is>
      </c>
      <c r="D892" s="47" t="inlineStr">
        <is>
          <t>무제한</t>
        </is>
      </c>
      <c r="E892" s="47" t="inlineStr">
        <is>
          <t>월 100GB + 5Mbps</t>
        </is>
      </c>
      <c r="F892" s="47" t="inlineStr">
        <is>
          <t>KT</t>
        </is>
      </c>
      <c r="G892" s="47" t="inlineStr">
        <is>
          <t>LTE</t>
        </is>
      </c>
      <c r="H892" s="48" t="n">
        <v>43000</v>
      </c>
      <c r="I892" s="48" t="n"/>
      <c r="J892" s="48" t="n"/>
      <c r="K892" s="47">
        <f t="array" ref="K892">_xlfn.XLOOKUP(1,(참조!$B$2:$B$15=E892)*(참조!$D$2:$D$15=C892)*(참조!$E$2:$E$15=D892),참조!$C$2:$C$15,"")</f>
        <v/>
      </c>
    </row>
    <row r="893" hidden="1" s="27">
      <c r="A893" s="47" t="inlineStr">
        <is>
          <t>에이모바일</t>
        </is>
      </c>
      <c r="B893" s="47" t="inlineStr">
        <is>
          <t>A 5G 스페셜 150GB+ (24개월)</t>
        </is>
      </c>
      <c r="C893" s="47" t="inlineStr">
        <is>
          <t>무제한</t>
        </is>
      </c>
      <c r="D893" s="47" t="inlineStr">
        <is>
          <t>무제한</t>
        </is>
      </c>
      <c r="E893" s="47" t="inlineStr">
        <is>
          <t>월 150GB + 5Mbps</t>
        </is>
      </c>
      <c r="F893" s="47" t="inlineStr">
        <is>
          <t>LG U+</t>
        </is>
      </c>
      <c r="G893" s="47" t="inlineStr">
        <is>
          <t>5G</t>
        </is>
      </c>
      <c r="H893" s="48" t="n">
        <v>23000</v>
      </c>
      <c r="I893" s="48" t="n">
        <v>24</v>
      </c>
      <c r="J893" s="48" t="n">
        <v>52800</v>
      </c>
      <c r="K893" s="47">
        <f t="array" ref="K893">_xlfn.XLOOKUP(1,(참조!$B$2:$B$15=E893)*(참조!$D$2:$D$15=C893)*(참조!$E$2:$E$15=D893),참조!$C$2:$C$15,"")</f>
        <v/>
      </c>
    </row>
    <row r="894" hidden="1" s="27">
      <c r="A894" s="47" t="inlineStr">
        <is>
          <t>U+유모바일</t>
        </is>
      </c>
      <c r="B894" s="47" t="inlineStr">
        <is>
          <t>빽다방 100잔 5G 5GB</t>
        </is>
      </c>
      <c r="C894" s="47" t="inlineStr">
        <is>
          <t>무제한</t>
        </is>
      </c>
      <c r="D894" s="47" t="inlineStr">
        <is>
          <t>무제한</t>
        </is>
      </c>
      <c r="E894" s="47" t="inlineStr">
        <is>
          <t>월 5GB</t>
        </is>
      </c>
      <c r="F894" s="47" t="inlineStr">
        <is>
          <t>LG U+</t>
        </is>
      </c>
      <c r="G894" s="47" t="inlineStr">
        <is>
          <t>5G</t>
        </is>
      </c>
      <c r="H894" s="48" t="n">
        <v>12400</v>
      </c>
      <c r="I894" s="48" t="n"/>
      <c r="J894" s="48" t="n"/>
      <c r="K894" s="47">
        <f t="array" ref="K894">_xlfn.XLOOKUP(1,(참조!$B$2:$B$15=E894)*(참조!$D$2:$D$15=C894)*(참조!$E$2:$E$15=D894),참조!$C$2:$C$15,"")</f>
        <v/>
      </c>
    </row>
    <row r="895" hidden="1" s="27">
      <c r="A895" s="47" t="inlineStr">
        <is>
          <t>티플러스</t>
        </is>
      </c>
      <c r="B895" s="47" t="inlineStr">
        <is>
          <t>The 완전마음껏15G+(300분)(컬쳐랜드 문화상품권 매월 5000P)</t>
        </is>
      </c>
      <c r="C895" s="47" t="inlineStr">
        <is>
          <t>300분</t>
        </is>
      </c>
      <c r="D895" s="47" t="inlineStr">
        <is>
          <t>300건</t>
        </is>
      </c>
      <c r="E895" s="47" t="inlineStr">
        <is>
          <t>월 15GB + 3Mbps</t>
        </is>
      </c>
      <c r="F895" s="47" t="inlineStr">
        <is>
          <t>LG U+</t>
        </is>
      </c>
      <c r="G895" s="47" t="inlineStr">
        <is>
          <t>LTE</t>
        </is>
      </c>
      <c r="H895" s="48" t="n">
        <v>23500</v>
      </c>
      <c r="I895" s="48" t="n">
        <v>24</v>
      </c>
      <c r="J895" s="48" t="n">
        <v>33000</v>
      </c>
      <c r="K895" s="47">
        <f t="array" ref="K895">_xlfn.XLOOKUP(1,(참조!$B$2:$B$15=E895)*(참조!$D$2:$D$15=C895)*(참조!$E$2:$E$15=D895),참조!$C$2:$C$15,"")</f>
        <v/>
      </c>
    </row>
    <row r="896" hidden="1" s="27">
      <c r="A896" s="47" t="inlineStr">
        <is>
          <t>티플러스</t>
        </is>
      </c>
      <c r="B896" s="47" t="inlineStr">
        <is>
          <t>The 데이터마음껏15G＋(300분)(올리브영 매월 5000P)</t>
        </is>
      </c>
      <c r="C896" s="47" t="inlineStr">
        <is>
          <t>300분</t>
        </is>
      </c>
      <c r="D896" s="47" t="inlineStr">
        <is>
          <t>300건</t>
        </is>
      </c>
      <c r="E896" s="47" t="inlineStr">
        <is>
          <t>월 15GB + 3Mbps</t>
        </is>
      </c>
      <c r="F896" s="47" t="inlineStr">
        <is>
          <t>LG U+</t>
        </is>
      </c>
      <c r="G896" s="47" t="inlineStr">
        <is>
          <t>LTE</t>
        </is>
      </c>
      <c r="H896" s="48" t="n">
        <v>23500</v>
      </c>
      <c r="I896" s="48" t="n">
        <v>24</v>
      </c>
      <c r="J896" s="48" t="n">
        <v>33000</v>
      </c>
      <c r="K896" s="47">
        <f t="array" ref="K896">_xlfn.XLOOKUP(1,(참조!$B$2:$B$15=E896)*(참조!$D$2:$D$15=C896)*(참조!$E$2:$E$15=D896),참조!$C$2:$C$15,"")</f>
        <v/>
      </c>
    </row>
    <row r="897" hidden="1" s="27">
      <c r="A897" s="47" t="inlineStr">
        <is>
          <t>아이즈모바일</t>
        </is>
      </c>
      <c r="B897" s="47" t="inlineStr">
        <is>
          <t>[L]5G 아이즈팩 150GB+</t>
        </is>
      </c>
      <c r="C897" s="47" t="inlineStr">
        <is>
          <t>무제한</t>
        </is>
      </c>
      <c r="D897" s="47" t="inlineStr">
        <is>
          <t>무제한</t>
        </is>
      </c>
      <c r="E897" s="47" t="inlineStr">
        <is>
          <t>월 150GB + 5Mbps</t>
        </is>
      </c>
      <c r="F897" s="47" t="inlineStr">
        <is>
          <t>LG U+</t>
        </is>
      </c>
      <c r="G897" s="47" t="inlineStr">
        <is>
          <t>5G</t>
        </is>
      </c>
      <c r="H897" s="48" t="n">
        <v>23000</v>
      </c>
      <c r="I897" s="48" t="n">
        <v>24</v>
      </c>
      <c r="J897" s="48" t="n">
        <v>62700</v>
      </c>
      <c r="K897" s="47">
        <f t="array" ref="K897">_xlfn.XLOOKUP(1,(참조!$B$2:$B$15=E897)*(참조!$D$2:$D$15=C897)*(참조!$E$2:$E$15=D897),참조!$C$2:$C$15,"")</f>
        <v/>
      </c>
    </row>
    <row r="898" hidden="1" s="27">
      <c r="A898" s="47" t="inlineStr">
        <is>
          <t>고고모바일</t>
        </is>
      </c>
      <c r="B898" s="47" t="inlineStr">
        <is>
          <t>LTE200분/ 10GB</t>
        </is>
      </c>
      <c r="C898" s="47" t="inlineStr">
        <is>
          <t>200분</t>
        </is>
      </c>
      <c r="D898" s="47" t="inlineStr">
        <is>
          <t>100건</t>
        </is>
      </c>
      <c r="E898" s="47" t="inlineStr">
        <is>
          <t>월 10GB</t>
        </is>
      </c>
      <c r="F898" s="47" t="inlineStr">
        <is>
          <t>KT</t>
        </is>
      </c>
      <c r="G898" s="47" t="inlineStr">
        <is>
          <t>LTE</t>
        </is>
      </c>
      <c r="H898" s="48" t="n">
        <v>16170</v>
      </c>
      <c r="I898" s="48" t="n"/>
      <c r="J898" s="48" t="n"/>
      <c r="K898" s="47">
        <f t="array" ref="K898">_xlfn.XLOOKUP(1,(참조!$B$2:$B$15=E898)*(참조!$D$2:$D$15=C898)*(참조!$E$2:$E$15=D898),참조!$C$2:$C$15,"")</f>
        <v/>
      </c>
    </row>
    <row r="899" hidden="1" s="27">
      <c r="A899" s="47" t="inlineStr">
        <is>
          <t>티플러스</t>
        </is>
      </c>
      <c r="B899" s="47" t="inlineStr">
        <is>
          <t>티플 10GB(10GB/100분)</t>
        </is>
      </c>
      <c r="C899" s="47" t="inlineStr">
        <is>
          <t>100분</t>
        </is>
      </c>
      <c r="D899" s="47" t="inlineStr">
        <is>
          <t>100건</t>
        </is>
      </c>
      <c r="E899" s="47" t="inlineStr">
        <is>
          <t>월 10GB</t>
        </is>
      </c>
      <c r="F899" s="47" t="inlineStr">
        <is>
          <t>SKT</t>
        </is>
      </c>
      <c r="G899" s="47" t="inlineStr">
        <is>
          <t>LTE</t>
        </is>
      </c>
      <c r="H899" s="48" t="n">
        <v>7990</v>
      </c>
      <c r="I899" s="48" t="n"/>
      <c r="J899" s="48" t="n"/>
      <c r="K899" s="47">
        <f t="array" ref="K899">_xlfn.XLOOKUP(1,(참조!$B$2:$B$15=E899)*(참조!$D$2:$D$15=C899)*(참조!$E$2:$E$15=D899),참조!$C$2:$C$15,"")</f>
        <v/>
      </c>
    </row>
    <row r="900" hidden="1" s="27">
      <c r="A900" s="47" t="inlineStr">
        <is>
          <t>스마텔</t>
        </is>
      </c>
      <c r="B900" s="47" t="inlineStr">
        <is>
          <t>스마트 7GB+ (24개월)</t>
        </is>
      </c>
      <c r="C900" s="47" t="inlineStr">
        <is>
          <t>무제한</t>
        </is>
      </c>
      <c r="D900" s="47" t="inlineStr">
        <is>
          <t>무제한</t>
        </is>
      </c>
      <c r="E900" s="47" t="inlineStr">
        <is>
          <t>월 7GB + 1Mbps</t>
        </is>
      </c>
      <c r="F900" s="47" t="inlineStr">
        <is>
          <t>LG U+</t>
        </is>
      </c>
      <c r="G900" s="47" t="inlineStr">
        <is>
          <t>LTE</t>
        </is>
      </c>
      <c r="H900" s="48" t="n">
        <v>15000</v>
      </c>
      <c r="I900" s="48" t="n">
        <v>24</v>
      </c>
      <c r="J900" s="48" t="n">
        <v>24200</v>
      </c>
      <c r="K900" s="47">
        <f t="array" ref="K900">_xlfn.XLOOKUP(1,(참조!$B$2:$B$15=E900)*(참조!$D$2:$D$15=C900)*(참조!$E$2:$E$15=D900),참조!$C$2:$C$15,"")</f>
        <v/>
      </c>
    </row>
    <row r="901" hidden="1" s="27">
      <c r="A901" s="47" t="inlineStr">
        <is>
          <t>스마텔</t>
        </is>
      </c>
      <c r="B901" s="47" t="inlineStr">
        <is>
          <t>스마트 매일 5GB+ (24개월)</t>
        </is>
      </c>
      <c r="C901" s="47" t="inlineStr">
        <is>
          <t>무제한</t>
        </is>
      </c>
      <c r="D901" s="47" t="inlineStr">
        <is>
          <t>무제한</t>
        </is>
      </c>
      <c r="E901" s="47" t="inlineStr">
        <is>
          <t>매일 5GB + 5Mbps</t>
        </is>
      </c>
      <c r="F901" s="47" t="inlineStr">
        <is>
          <t>LG U+</t>
        </is>
      </c>
      <c r="G901" s="47" t="inlineStr">
        <is>
          <t>LTE</t>
        </is>
      </c>
      <c r="H901" s="48" t="n">
        <v>32000</v>
      </c>
      <c r="I901" s="48" t="n">
        <v>24</v>
      </c>
      <c r="J901" s="48" t="n">
        <v>47300</v>
      </c>
      <c r="K901" s="47">
        <f t="array" ref="K901">_xlfn.XLOOKUP(1,(참조!$B$2:$B$15=E901)*(참조!$D$2:$D$15=C901)*(참조!$E$2:$E$15=D901),참조!$C$2:$C$15,"")</f>
        <v/>
      </c>
    </row>
    <row r="902" hidden="1" s="27">
      <c r="A902" s="47" t="inlineStr">
        <is>
          <t>모빙</t>
        </is>
      </c>
      <c r="B902" s="47" t="inlineStr">
        <is>
          <t>[S] 5G 모빙 300분15GB</t>
        </is>
      </c>
      <c r="C902" s="47" t="inlineStr">
        <is>
          <t>300분</t>
        </is>
      </c>
      <c r="D902" s="47" t="inlineStr">
        <is>
          <t>100건</t>
        </is>
      </c>
      <c r="E902" s="47" t="inlineStr">
        <is>
          <t>월 15GB</t>
        </is>
      </c>
      <c r="F902" s="47" t="inlineStr">
        <is>
          <t>SKT</t>
        </is>
      </c>
      <c r="G902" s="47" t="inlineStr">
        <is>
          <t>5G</t>
        </is>
      </c>
      <c r="H902" s="48" t="n">
        <v>11000</v>
      </c>
      <c r="I902" s="48" t="n"/>
      <c r="J902" s="48" t="n"/>
      <c r="K902" s="47">
        <f t="array" ref="K902">_xlfn.XLOOKUP(1,(참조!$B$2:$B$15=E902)*(참조!$D$2:$D$15=C902)*(참조!$E$2:$E$15=D902),참조!$C$2:$C$15,"")</f>
        <v/>
      </c>
    </row>
    <row r="903" hidden="1" s="27">
      <c r="A903" s="47" t="inlineStr">
        <is>
          <t>고고모바일</t>
        </is>
      </c>
      <c r="B903" s="47" t="inlineStr">
        <is>
          <t>[모요only] 무제한 15GB+1M(밀리의서재 Free)</t>
        </is>
      </c>
      <c r="C903" s="47" t="inlineStr">
        <is>
          <t>무제한</t>
        </is>
      </c>
      <c r="D903" s="47" t="inlineStr">
        <is>
          <t>무제한</t>
        </is>
      </c>
      <c r="E903" s="47" t="inlineStr">
        <is>
          <t>월 15GB + 1Mbps</t>
        </is>
      </c>
      <c r="F903" s="47" t="inlineStr">
        <is>
          <t>KT</t>
        </is>
      </c>
      <c r="G903" s="47" t="inlineStr">
        <is>
          <t>LTE</t>
        </is>
      </c>
      <c r="H903" s="48" t="n">
        <v>9000</v>
      </c>
      <c r="I903" s="48" t="n">
        <v>7</v>
      </c>
      <c r="J903" s="48" t="n">
        <v>26400</v>
      </c>
      <c r="K903" s="47">
        <f t="array" ref="K903">_xlfn.XLOOKUP(1,(참조!$B$2:$B$15=E903)*(참조!$D$2:$D$15=C903)*(참조!$E$2:$E$15=D903),참조!$C$2:$C$15,"")</f>
        <v/>
      </c>
    </row>
    <row r="904" hidden="1" s="27">
      <c r="A904" s="47" t="inlineStr">
        <is>
          <t>KT스카이라이프</t>
        </is>
      </c>
      <c r="B904" s="47" t="inlineStr">
        <is>
          <t>모두 충분 10GB+(다이소_5000)</t>
        </is>
      </c>
      <c r="C904" s="47" t="inlineStr">
        <is>
          <t>무제한</t>
        </is>
      </c>
      <c r="D904" s="47" t="inlineStr">
        <is>
          <t>무제한</t>
        </is>
      </c>
      <c r="E904" s="47" t="inlineStr">
        <is>
          <t>월 10GB + 1Mbps</t>
        </is>
      </c>
      <c r="F904" s="47" t="inlineStr">
        <is>
          <t>KT</t>
        </is>
      </c>
      <c r="G904" s="47" t="inlineStr">
        <is>
          <t>LTE</t>
        </is>
      </c>
      <c r="H904" s="48" t="n">
        <v>21500</v>
      </c>
      <c r="I904" s="48" t="n"/>
      <c r="J904" s="48" t="n"/>
      <c r="K904" s="47">
        <f t="array" ref="K904">_xlfn.XLOOKUP(1,(참조!$B$2:$B$15=E904)*(참조!$D$2:$D$15=C904)*(참조!$E$2:$E$15=D904),참조!$C$2:$C$15,"")</f>
        <v/>
      </c>
    </row>
    <row r="905" hidden="1" s="27">
      <c r="A905" s="47" t="inlineStr">
        <is>
          <t>찬스모바일</t>
        </is>
      </c>
      <c r="B905" s="47" t="inlineStr">
        <is>
          <t>[모요only] 알찬 100분 15GB+3Mbps</t>
        </is>
      </c>
      <c r="C905" s="47" t="inlineStr">
        <is>
          <t>100분</t>
        </is>
      </c>
      <c r="D905" s="47" t="inlineStr">
        <is>
          <t>100건</t>
        </is>
      </c>
      <c r="E905" s="47" t="inlineStr">
        <is>
          <t>월 15GB + 3Mbps</t>
        </is>
      </c>
      <c r="F905" s="47" t="inlineStr">
        <is>
          <t>LG U+</t>
        </is>
      </c>
      <c r="G905" s="47" t="inlineStr">
        <is>
          <t>LTE</t>
        </is>
      </c>
      <c r="H905" s="48" t="n">
        <v>14000</v>
      </c>
      <c r="I905" s="48" t="n">
        <v>7</v>
      </c>
      <c r="J905" s="48" t="n">
        <v>28600</v>
      </c>
      <c r="K905" s="47">
        <f t="array" ref="K905">_xlfn.XLOOKUP(1,(참조!$B$2:$B$15=E905)*(참조!$D$2:$D$15=C905)*(참조!$E$2:$E$15=D905),참조!$C$2:$C$15,"")</f>
        <v/>
      </c>
    </row>
    <row r="906" hidden="1" s="27">
      <c r="A906" s="47" t="inlineStr">
        <is>
          <t>티플러스</t>
        </is>
      </c>
      <c r="B906" s="47" t="inlineStr">
        <is>
          <t>티플 10GB(10GB/300분)</t>
        </is>
      </c>
      <c r="C906" s="47" t="inlineStr">
        <is>
          <t>300분</t>
        </is>
      </c>
      <c r="D906" s="47" t="inlineStr">
        <is>
          <t>100건</t>
        </is>
      </c>
      <c r="E906" s="47" t="inlineStr">
        <is>
          <t>월 10GB</t>
        </is>
      </c>
      <c r="F906" s="47" t="inlineStr">
        <is>
          <t>LG U+</t>
        </is>
      </c>
      <c r="G906" s="47" t="inlineStr">
        <is>
          <t>LTE</t>
        </is>
      </c>
      <c r="H906" s="48" t="n">
        <v>8990</v>
      </c>
      <c r="I906" s="48" t="n"/>
      <c r="J906" s="48" t="n"/>
      <c r="K906" s="47">
        <f t="array" ref="K906">_xlfn.XLOOKUP(1,(참조!$B$2:$B$15=E906)*(참조!$D$2:$D$15=C906)*(참조!$E$2:$E$15=D906),참조!$C$2:$C$15,"")</f>
        <v/>
      </c>
    </row>
    <row r="907" hidden="1" s="27">
      <c r="A907" s="47" t="inlineStr">
        <is>
          <t>더원모바일</t>
        </is>
      </c>
      <c r="B907" s="47" t="inlineStr">
        <is>
          <t>TOP 5G 200GB 기본 (쿠팡캐시)</t>
        </is>
      </c>
      <c r="C907" s="47" t="inlineStr">
        <is>
          <t>무제한</t>
        </is>
      </c>
      <c r="D907" s="47" t="inlineStr">
        <is>
          <t>무제한</t>
        </is>
      </c>
      <c r="E907" s="47" t="inlineStr">
        <is>
          <t>월 200GB + 10Mbps</t>
        </is>
      </c>
      <c r="F907" s="47" t="inlineStr">
        <is>
          <t>KT</t>
        </is>
      </c>
      <c r="G907" s="47" t="inlineStr">
        <is>
          <t>5G</t>
        </is>
      </c>
      <c r="H907" s="48" t="n">
        <v>33000</v>
      </c>
      <c r="I907" s="48" t="n">
        <v>12</v>
      </c>
      <c r="J907" s="48" t="n">
        <v>55000</v>
      </c>
      <c r="K907" s="47">
        <f t="array" ref="K907">_xlfn.XLOOKUP(1,(참조!$B$2:$B$15=E907)*(참조!$D$2:$D$15=C907)*(참조!$E$2:$E$15=D907),참조!$C$2:$C$15,"")</f>
        <v/>
      </c>
    </row>
    <row r="908" hidden="1" s="27">
      <c r="A908" s="47" t="inlineStr">
        <is>
          <t>티플러스</t>
        </is>
      </c>
      <c r="B908" s="47" t="inlineStr">
        <is>
          <t>티플 10GB(10GB/100분)</t>
        </is>
      </c>
      <c r="C908" s="47" t="inlineStr">
        <is>
          <t>100분</t>
        </is>
      </c>
      <c r="D908" s="47" t="inlineStr">
        <is>
          <t>100건</t>
        </is>
      </c>
      <c r="E908" s="47" t="inlineStr">
        <is>
          <t>월 10GB</t>
        </is>
      </c>
      <c r="F908" s="47" t="inlineStr">
        <is>
          <t>LG U+</t>
        </is>
      </c>
      <c r="G908" s="47" t="inlineStr">
        <is>
          <t>LTE</t>
        </is>
      </c>
      <c r="H908" s="48" t="n">
        <v>7990</v>
      </c>
      <c r="I908" s="48" t="n"/>
      <c r="J908" s="48" t="n"/>
      <c r="K908" s="47">
        <f t="array" ref="K908">_xlfn.XLOOKUP(1,(참조!$B$2:$B$15=E908)*(참조!$D$2:$D$15=C908)*(참조!$E$2:$E$15=D908),참조!$C$2:$C$15,"")</f>
        <v/>
      </c>
    </row>
    <row r="909" hidden="1" s="27">
      <c r="A909" s="47" t="inlineStr">
        <is>
          <t>찬스모바일</t>
        </is>
      </c>
      <c r="B909" s="47" t="inlineStr">
        <is>
          <t>[모요only] 알찬 음성기본7GB+</t>
        </is>
      </c>
      <c r="C909" s="47" t="inlineStr">
        <is>
          <t>무제한</t>
        </is>
      </c>
      <c r="D909" s="47" t="inlineStr">
        <is>
          <t>무제한</t>
        </is>
      </c>
      <c r="E909" s="47" t="inlineStr">
        <is>
          <t>월 7GB + 1Mbps</t>
        </is>
      </c>
      <c r="F909" s="47" t="inlineStr">
        <is>
          <t>LG U+</t>
        </is>
      </c>
      <c r="G909" s="47" t="inlineStr">
        <is>
          <t>LTE</t>
        </is>
      </c>
      <c r="H909" s="48" t="n">
        <v>4620</v>
      </c>
      <c r="I909" s="48" t="n">
        <v>7</v>
      </c>
      <c r="J909" s="48" t="n">
        <v>19800</v>
      </c>
      <c r="K909" s="47">
        <f t="array" ref="K909">_xlfn.XLOOKUP(1,(참조!$B$2:$B$15=E909)*(참조!$D$2:$D$15=C909)*(참조!$E$2:$E$15=D909),참조!$C$2:$C$15,"")</f>
        <v/>
      </c>
    </row>
    <row r="910" hidden="1" s="27">
      <c r="A910" s="47" t="inlineStr">
        <is>
          <t>모나</t>
        </is>
      </c>
      <c r="B910" s="47" t="inlineStr">
        <is>
          <t>더중앙+모나_11G+일2G</t>
        </is>
      </c>
      <c r="C910" s="47" t="inlineStr">
        <is>
          <t>무제한</t>
        </is>
      </c>
      <c r="D910" s="47" t="inlineStr">
        <is>
          <t>무제한</t>
        </is>
      </c>
      <c r="E910" s="47" t="inlineStr">
        <is>
          <t>월 11GB + 매일 2GB + 3Mbps</t>
        </is>
      </c>
      <c r="F910" s="47" t="inlineStr">
        <is>
          <t>LG U+</t>
        </is>
      </c>
      <c r="G910" s="47" t="inlineStr">
        <is>
          <t>LTE</t>
        </is>
      </c>
      <c r="H910" s="48" t="n">
        <v>16700</v>
      </c>
      <c r="I910" s="48" t="n">
        <v>7</v>
      </c>
      <c r="J910" s="48" t="n">
        <v>39600</v>
      </c>
      <c r="K910" s="47">
        <f t="array" ref="K910">_xlfn.XLOOKUP(1,(참조!$B$2:$B$15=E910)*(참조!$D$2:$D$15=C910)*(참조!$E$2:$E$15=D910),참조!$C$2:$C$15,"")</f>
        <v/>
      </c>
    </row>
    <row r="911" hidden="1" s="27">
      <c r="A911" s="47" t="inlineStr">
        <is>
          <t>스마텔</t>
        </is>
      </c>
      <c r="B911" s="47" t="inlineStr">
        <is>
          <t>스위트 15GB+(후후) (+10GB 24개월간 추가 제공)</t>
        </is>
      </c>
      <c r="C911" s="47" t="inlineStr">
        <is>
          <t>무제한</t>
        </is>
      </c>
      <c r="D911" s="47" t="inlineStr">
        <is>
          <t>무제한</t>
        </is>
      </c>
      <c r="E911" s="47" t="inlineStr">
        <is>
          <t>월 15GB + 1Mbps</t>
        </is>
      </c>
      <c r="F911" s="47" t="inlineStr">
        <is>
          <t>KT</t>
        </is>
      </c>
      <c r="G911" s="47" t="inlineStr">
        <is>
          <t>LTE</t>
        </is>
      </c>
      <c r="H911" s="48" t="n">
        <v>23100</v>
      </c>
      <c r="I911" s="48" t="n">
        <v>36</v>
      </c>
      <c r="J911" s="48" t="n">
        <v>30800</v>
      </c>
      <c r="K911" s="47">
        <f t="array" ref="K911">_xlfn.XLOOKUP(1,(참조!$B$2:$B$15=E911)*(참조!$D$2:$D$15=C911)*(참조!$E$2:$E$15=D911),참조!$C$2:$C$15,"")</f>
        <v/>
      </c>
    </row>
    <row r="912" hidden="1" s="27">
      <c r="A912" s="47" t="inlineStr">
        <is>
          <t>고고모바일</t>
        </is>
      </c>
      <c r="B912" s="47" t="inlineStr">
        <is>
          <t>LTE300분/5GB-데이터소진후 자동차단</t>
        </is>
      </c>
      <c r="C912" s="47" t="inlineStr">
        <is>
          <t>300분</t>
        </is>
      </c>
      <c r="D912" s="47" t="inlineStr">
        <is>
          <t>300건</t>
        </is>
      </c>
      <c r="E912" s="47" t="inlineStr">
        <is>
          <t>월 5GB</t>
        </is>
      </c>
      <c r="F912" s="47" t="inlineStr">
        <is>
          <t>KT</t>
        </is>
      </c>
      <c r="G912" s="47" t="inlineStr">
        <is>
          <t>LTE</t>
        </is>
      </c>
      <c r="H912" s="48" t="n">
        <v>13640</v>
      </c>
      <c r="I912" s="48" t="n"/>
      <c r="J912" s="48" t="n"/>
      <c r="K912" s="47">
        <f t="array" ref="K912">_xlfn.XLOOKUP(1,(참조!$B$2:$B$15=E912)*(참조!$D$2:$D$15=C912)*(참조!$E$2:$E$15=D912),참조!$C$2:$C$15,"")</f>
        <v/>
      </c>
    </row>
    <row r="913" hidden="1" s="27">
      <c r="A913" s="47" t="inlineStr">
        <is>
          <t>이지모바일</t>
        </is>
      </c>
      <c r="B913" s="47" t="inlineStr">
        <is>
          <t>이지 더 오래쓰는 무제한 10G+1</t>
        </is>
      </c>
      <c r="C913" s="47" t="inlineStr">
        <is>
          <t>무제한</t>
        </is>
      </c>
      <c r="D913" s="47" t="inlineStr">
        <is>
          <t>무제한</t>
        </is>
      </c>
      <c r="E913" s="47" t="inlineStr">
        <is>
          <t>월 10GB + 1Mbps</t>
        </is>
      </c>
      <c r="F913" s="47" t="inlineStr">
        <is>
          <t>LG U+</t>
        </is>
      </c>
      <c r="G913" s="47" t="inlineStr">
        <is>
          <t>LTE</t>
        </is>
      </c>
      <c r="H913" s="48" t="n">
        <v>13200</v>
      </c>
      <c r="I913" s="48" t="n">
        <v>24</v>
      </c>
      <c r="J913" s="48" t="n">
        <v>24200</v>
      </c>
      <c r="K913" s="47">
        <f t="array" ref="K913">_xlfn.XLOOKUP(1,(참조!$B$2:$B$15=E913)*(참조!$D$2:$D$15=C913)*(참조!$E$2:$E$15=D913),참조!$C$2:$C$15,"")</f>
        <v/>
      </c>
    </row>
    <row r="914" hidden="1" s="27">
      <c r="A914" s="47" t="inlineStr">
        <is>
          <t>이지모바일</t>
        </is>
      </c>
      <c r="B914" s="47" t="inlineStr">
        <is>
          <t>[선착순 특가]EG 7무제한 10G+1(매월10GB+CU할인)</t>
        </is>
      </c>
      <c r="C914" s="47" t="inlineStr">
        <is>
          <t>무제한</t>
        </is>
      </c>
      <c r="D914" s="47" t="inlineStr">
        <is>
          <t>무제한</t>
        </is>
      </c>
      <c r="E914" s="47" t="inlineStr">
        <is>
          <t>월 10GB + 1Mbps</t>
        </is>
      </c>
      <c r="F914" s="47" t="inlineStr">
        <is>
          <t>KT</t>
        </is>
      </c>
      <c r="G914" s="47" t="inlineStr">
        <is>
          <t>LTE</t>
        </is>
      </c>
      <c r="H914" s="48" t="n">
        <v>2900</v>
      </c>
      <c r="I914" s="48" t="n">
        <v>7</v>
      </c>
      <c r="J914" s="48" t="n">
        <v>24860</v>
      </c>
      <c r="K914" s="47">
        <f t="array" ref="K914">_xlfn.XLOOKUP(1,(참조!$B$2:$B$15=E914)*(참조!$D$2:$D$15=C914)*(참조!$E$2:$E$15=D914),참조!$C$2:$C$15,"")</f>
        <v/>
      </c>
    </row>
    <row r="915" hidden="1" s="27">
      <c r="A915" s="47" t="inlineStr">
        <is>
          <t>더원모바일</t>
        </is>
      </c>
      <c r="B915" s="47" t="inlineStr">
        <is>
          <t>TOP 10GB 기본 (올리브영)</t>
        </is>
      </c>
      <c r="C915" s="47" t="inlineStr">
        <is>
          <t>무제한</t>
        </is>
      </c>
      <c r="D915" s="47" t="inlineStr">
        <is>
          <t>무제한</t>
        </is>
      </c>
      <c r="E915" s="47" t="inlineStr">
        <is>
          <t>월 10GB + 1Mbps</t>
        </is>
      </c>
      <c r="F915" s="47" t="inlineStr">
        <is>
          <t>KT</t>
        </is>
      </c>
      <c r="G915" s="47" t="inlineStr">
        <is>
          <t>LTE</t>
        </is>
      </c>
      <c r="H915" s="48" t="n">
        <v>9900</v>
      </c>
      <c r="I915" s="48" t="n">
        <v>12</v>
      </c>
      <c r="J915" s="48" t="n">
        <v>28600</v>
      </c>
      <c r="K915" s="47">
        <f t="array" ref="K915">_xlfn.XLOOKUP(1,(참조!$B$2:$B$15=E915)*(참조!$D$2:$D$15=C915)*(참조!$E$2:$E$15=D915),참조!$C$2:$C$15,"")</f>
        <v/>
      </c>
    </row>
    <row r="916" hidden="1" s="27">
      <c r="A916" s="47" t="inlineStr">
        <is>
          <t>고고모바일</t>
        </is>
      </c>
      <c r="B916" s="47" t="inlineStr">
        <is>
          <t>[모요only] 5G 무제한 110GB+5Mbps(밀리의서재)(모요Only)</t>
        </is>
      </c>
      <c r="C916" s="47" t="inlineStr">
        <is>
          <t>무제한</t>
        </is>
      </c>
      <c r="D916" s="47" t="inlineStr">
        <is>
          <t>무제한</t>
        </is>
      </c>
      <c r="E916" s="47" t="inlineStr">
        <is>
          <t>월 110GB + 5Mbps</t>
        </is>
      </c>
      <c r="F916" s="47" t="inlineStr">
        <is>
          <t>KT</t>
        </is>
      </c>
      <c r="G916" s="47" t="inlineStr">
        <is>
          <t>5G</t>
        </is>
      </c>
      <c r="H916" s="48" t="n">
        <v>33000</v>
      </c>
      <c r="I916" s="48" t="n">
        <v>12</v>
      </c>
      <c r="J916" s="48" t="n">
        <v>49500</v>
      </c>
      <c r="K916" s="47">
        <f t="array" ref="K916">_xlfn.XLOOKUP(1,(참조!$B$2:$B$15=E916)*(참조!$D$2:$D$15=C916)*(참조!$E$2:$E$15=D916),참조!$C$2:$C$15,"")</f>
        <v/>
      </c>
    </row>
    <row r="917" hidden="1" s="27">
      <c r="A917" s="47" t="inlineStr">
        <is>
          <t>슈가모바일</t>
        </is>
      </c>
      <c r="B917" s="47" t="inlineStr">
        <is>
          <t>슈가안심차단50분1.5G</t>
        </is>
      </c>
      <c r="C917" s="47" t="inlineStr">
        <is>
          <t>50분</t>
        </is>
      </c>
      <c r="D917" s="47" t="inlineStr">
        <is>
          <t>50건</t>
        </is>
      </c>
      <c r="E917" s="47" t="inlineStr">
        <is>
          <t>월 1.5GB</t>
        </is>
      </c>
      <c r="F917" s="47" t="inlineStr">
        <is>
          <t>LG U+</t>
        </is>
      </c>
      <c r="G917" s="47" t="inlineStr">
        <is>
          <t>LTE</t>
        </is>
      </c>
      <c r="H917" s="48" t="n">
        <v>2800</v>
      </c>
      <c r="I917" s="48" t="n"/>
      <c r="J917" s="48" t="n"/>
      <c r="K917" s="47">
        <f t="array" ref="K917">_xlfn.XLOOKUP(1,(참조!$B$2:$B$15=E917)*(참조!$D$2:$D$15=C917)*(참조!$E$2:$E$15=D917),참조!$C$2:$C$15,"")</f>
        <v/>
      </c>
    </row>
    <row r="918" hidden="1" s="27">
      <c r="A918" s="47" t="inlineStr">
        <is>
          <t>아이즈모바일</t>
        </is>
      </c>
      <c r="B918" s="47" t="inlineStr">
        <is>
          <t>[L]아이즈팩 11GB+일2GB</t>
        </is>
      </c>
      <c r="C918" s="47" t="inlineStr">
        <is>
          <t>무제한</t>
        </is>
      </c>
      <c r="D918" s="47" t="inlineStr">
        <is>
          <t>무제한</t>
        </is>
      </c>
      <c r="E918" s="47" t="inlineStr">
        <is>
          <t>월 11GB + 매일 2GB + 3Mbps</t>
        </is>
      </c>
      <c r="F918" s="47" t="inlineStr">
        <is>
          <t>LG U+</t>
        </is>
      </c>
      <c r="G918" s="47" t="inlineStr">
        <is>
          <t>LTE</t>
        </is>
      </c>
      <c r="H918" s="48" t="n">
        <v>22900</v>
      </c>
      <c r="I918" s="48" t="n"/>
      <c r="J918" s="48" t="n"/>
      <c r="K918" s="47">
        <f t="array" ref="K918">_xlfn.XLOOKUP(1,(참조!$B$2:$B$15=E918)*(참조!$D$2:$D$15=C918)*(참조!$E$2:$E$15=D918),참조!$C$2:$C$15,"")</f>
        <v/>
      </c>
    </row>
    <row r="919" hidden="1" s="27">
      <c r="A919" s="47" t="inlineStr">
        <is>
          <t>슈가모바일</t>
        </is>
      </c>
      <c r="B919" s="47" t="inlineStr">
        <is>
          <t>슈가안심차단200분100M</t>
        </is>
      </c>
      <c r="C919" s="47" t="inlineStr">
        <is>
          <t>200분</t>
        </is>
      </c>
      <c r="D919" s="47" t="inlineStr">
        <is>
          <t>50건</t>
        </is>
      </c>
      <c r="E919" s="47" t="inlineStr">
        <is>
          <t>월 100MB</t>
        </is>
      </c>
      <c r="F919" s="47" t="inlineStr">
        <is>
          <t>LG U+</t>
        </is>
      </c>
      <c r="G919" s="47" t="inlineStr">
        <is>
          <t>LTE</t>
        </is>
      </c>
      <c r="H919" s="48" t="n">
        <v>2800</v>
      </c>
      <c r="I919" s="48" t="n"/>
      <c r="J919" s="48" t="n"/>
      <c r="K919" s="47">
        <f t="array" ref="K919">_xlfn.XLOOKUP(1,(참조!$B$2:$B$15=E919)*(참조!$D$2:$D$15=C919)*(참조!$E$2:$E$15=D919),참조!$C$2:$C$15,"")</f>
        <v/>
      </c>
    </row>
    <row r="920" hidden="1" s="27">
      <c r="A920" s="47" t="inlineStr">
        <is>
          <t>이야기모바일</t>
        </is>
      </c>
      <c r="B920" s="47" t="inlineStr">
        <is>
          <t>함께이야기해S(500분+20GB)</t>
        </is>
      </c>
      <c r="C920" s="47" t="inlineStr">
        <is>
          <t>500분</t>
        </is>
      </c>
      <c r="D920" s="47" t="inlineStr">
        <is>
          <t>200건</t>
        </is>
      </c>
      <c r="E920" s="47" t="inlineStr">
        <is>
          <t>월 20GB</t>
        </is>
      </c>
      <c r="F920" s="47" t="inlineStr">
        <is>
          <t>SKT</t>
        </is>
      </c>
      <c r="G920" s="47" t="inlineStr">
        <is>
          <t>LTE</t>
        </is>
      </c>
      <c r="H920" s="48" t="n">
        <v>19800</v>
      </c>
      <c r="I920" s="48" t="n"/>
      <c r="J920" s="48" t="n"/>
      <c r="K920" s="47">
        <f t="array" ref="K920">_xlfn.XLOOKUP(1,(참조!$B$2:$B$15=E920)*(참조!$D$2:$D$15=C920)*(참조!$E$2:$E$15=D920),참조!$C$2:$C$15,"")</f>
        <v/>
      </c>
    </row>
    <row r="921" hidden="1" s="27">
      <c r="A921" s="47" t="inlineStr">
        <is>
          <t>찬스모바일</t>
        </is>
      </c>
      <c r="B921" s="47" t="inlineStr">
        <is>
          <t>모두무제한 15GB+</t>
        </is>
      </c>
      <c r="C921" s="47" t="inlineStr">
        <is>
          <t>무제한</t>
        </is>
      </c>
      <c r="D921" s="47" t="inlineStr">
        <is>
          <t>무제한</t>
        </is>
      </c>
      <c r="E921" s="47" t="inlineStr">
        <is>
          <t>월 15GB + 1Mbps</t>
        </is>
      </c>
      <c r="F921" s="47" t="inlineStr">
        <is>
          <t>LG U+</t>
        </is>
      </c>
      <c r="G921" s="47" t="inlineStr">
        <is>
          <t>LTE</t>
        </is>
      </c>
      <c r="H921" s="48" t="n">
        <v>12000</v>
      </c>
      <c r="I921" s="48" t="n">
        <v>7</v>
      </c>
      <c r="J921" s="48" t="n">
        <v>37400</v>
      </c>
      <c r="K921" s="47">
        <f t="array" ref="K921">_xlfn.XLOOKUP(1,(참조!$B$2:$B$15=E921)*(참조!$D$2:$D$15=C921)*(참조!$E$2:$E$15=D921),참조!$C$2:$C$15,"")</f>
        <v/>
      </c>
    </row>
    <row r="922" hidden="1" s="27">
      <c r="A922" s="47" t="inlineStr">
        <is>
          <t>티플러스</t>
        </is>
      </c>
      <c r="B922" s="47" t="inlineStr">
        <is>
          <t>데이터통화안심 10GB+</t>
        </is>
      </c>
      <c r="C922" s="47" t="inlineStr">
        <is>
          <t>무제한</t>
        </is>
      </c>
      <c r="D922" s="47" t="inlineStr">
        <is>
          <t>100건</t>
        </is>
      </c>
      <c r="E922" s="47" t="inlineStr">
        <is>
          <t>월 10GB + 400Kbps</t>
        </is>
      </c>
      <c r="F922" s="47" t="inlineStr">
        <is>
          <t>KT</t>
        </is>
      </c>
      <c r="G922" s="47" t="inlineStr">
        <is>
          <t>LTE</t>
        </is>
      </c>
      <c r="H922" s="48" t="n">
        <v>12900</v>
      </c>
      <c r="I922" s="48" t="n"/>
      <c r="J922" s="48" t="n"/>
      <c r="K922" s="47">
        <f t="array" ref="K922">_xlfn.XLOOKUP(1,(참조!$B$2:$B$15=E922)*(참조!$D$2:$D$15=C922)*(참조!$E$2:$E$15=D922),참조!$C$2:$C$15,"")</f>
        <v/>
      </c>
    </row>
    <row r="923" hidden="1" s="27">
      <c r="A923" s="47" t="inlineStr">
        <is>
          <t>티플러스</t>
        </is>
      </c>
      <c r="B923" s="47" t="inlineStr">
        <is>
          <t>티플 위드유 7GB＋(G car)</t>
        </is>
      </c>
      <c r="C923" s="47" t="inlineStr">
        <is>
          <t>무제한</t>
        </is>
      </c>
      <c r="D923" s="47" t="inlineStr">
        <is>
          <t>무제한</t>
        </is>
      </c>
      <c r="E923" s="47" t="inlineStr">
        <is>
          <t>월 7GB + 1Mbps</t>
        </is>
      </c>
      <c r="F923" s="47" t="inlineStr">
        <is>
          <t>SKT</t>
        </is>
      </c>
      <c r="G923" s="47" t="inlineStr">
        <is>
          <t>LTE</t>
        </is>
      </c>
      <c r="H923" s="48" t="n">
        <v>3000</v>
      </c>
      <c r="I923" s="48" t="n">
        <v>7</v>
      </c>
      <c r="J923" s="48" t="n">
        <v>25300</v>
      </c>
      <c r="K923" s="47">
        <f t="array" ref="K923">_xlfn.XLOOKUP(1,(참조!$B$2:$B$15=E923)*(참조!$D$2:$D$15=C923)*(참조!$E$2:$E$15=D923),참조!$C$2:$C$15,"")</f>
        <v/>
      </c>
    </row>
    <row r="924" hidden="1" s="27">
      <c r="A924" s="47" t="inlineStr">
        <is>
          <t>스마텔</t>
        </is>
      </c>
      <c r="B924" s="47" t="inlineStr">
        <is>
          <t>후후 스마일 11GB+</t>
        </is>
      </c>
      <c r="C924" s="47" t="inlineStr">
        <is>
          <t>무제한</t>
        </is>
      </c>
      <c r="D924" s="47" t="inlineStr">
        <is>
          <t>무제한</t>
        </is>
      </c>
      <c r="E924" s="47" t="inlineStr">
        <is>
          <t>월 11GB + 매일 2GB + 3Mbps</t>
        </is>
      </c>
      <c r="F924" s="47" t="inlineStr">
        <is>
          <t>SKT</t>
        </is>
      </c>
      <c r="G924" s="47" t="inlineStr">
        <is>
          <t>LTE</t>
        </is>
      </c>
      <c r="H924" s="48" t="n">
        <v>15830</v>
      </c>
      <c r="I924" s="48" t="n">
        <v>7</v>
      </c>
      <c r="J924" s="48" t="n">
        <v>41030</v>
      </c>
      <c r="K924" s="47">
        <f t="array" ref="K924">_xlfn.XLOOKUP(1,(참조!$B$2:$B$15=E924)*(참조!$D$2:$D$15=C924)*(참조!$E$2:$E$15=D924),참조!$C$2:$C$15,"")</f>
        <v/>
      </c>
    </row>
    <row r="925" hidden="1" s="27">
      <c r="A925" s="47" t="inlineStr">
        <is>
          <t>스마텔</t>
        </is>
      </c>
      <c r="B925" s="47" t="inlineStr">
        <is>
          <t>USIM스마트 심플(100분+2.5GB)</t>
        </is>
      </c>
      <c r="C925" s="47" t="inlineStr">
        <is>
          <t>100분</t>
        </is>
      </c>
      <c r="D925" s="47" t="inlineStr">
        <is>
          <t>100건</t>
        </is>
      </c>
      <c r="E925" s="47" t="inlineStr">
        <is>
          <t>월 2.5GB</t>
        </is>
      </c>
      <c r="F925" s="47" t="inlineStr">
        <is>
          <t>LG U+</t>
        </is>
      </c>
      <c r="G925" s="47" t="inlineStr">
        <is>
          <t>LTE</t>
        </is>
      </c>
      <c r="H925" s="48" t="n">
        <v>2800</v>
      </c>
      <c r="I925" s="48" t="n">
        <v>12</v>
      </c>
      <c r="J925" s="48" t="n">
        <v>7500</v>
      </c>
      <c r="K925" s="47">
        <f t="array" ref="K925">_xlfn.XLOOKUP(1,(참조!$B$2:$B$15=E925)*(참조!$D$2:$D$15=C925)*(참조!$E$2:$E$15=D925),참조!$C$2:$C$15,"")</f>
        <v/>
      </c>
    </row>
    <row r="926" hidden="1" s="27">
      <c r="A926" s="47" t="inlineStr">
        <is>
          <t>핀다이렉트</t>
        </is>
      </c>
      <c r="B926" s="47" t="inlineStr">
        <is>
          <t>[L] 핀다이렉트Z 100GB+</t>
        </is>
      </c>
      <c r="C926" s="47" t="inlineStr">
        <is>
          <t>무제한</t>
        </is>
      </c>
      <c r="D926" s="47" t="inlineStr">
        <is>
          <t>무제한</t>
        </is>
      </c>
      <c r="E926" s="47" t="inlineStr">
        <is>
          <t>월 100GB + 5Mbps</t>
        </is>
      </c>
      <c r="F926" s="47" t="inlineStr">
        <is>
          <t>LG U+</t>
        </is>
      </c>
      <c r="G926" s="47" t="inlineStr">
        <is>
          <t>LTE</t>
        </is>
      </c>
      <c r="H926" s="48" t="n">
        <v>17000</v>
      </c>
      <c r="I926" s="48" t="n">
        <v>7</v>
      </c>
      <c r="J926" s="48" t="n">
        <v>44000</v>
      </c>
      <c r="K926" s="47">
        <f t="array" ref="K926">_xlfn.XLOOKUP(1,(참조!$B$2:$B$15=E926)*(참조!$D$2:$D$15=C926)*(참조!$E$2:$E$15=D926),참조!$C$2:$C$15,"")</f>
        <v/>
      </c>
    </row>
    <row r="927" hidden="1" s="27">
      <c r="A927" s="47" t="inlineStr">
        <is>
          <t>이야기모바일</t>
        </is>
      </c>
      <c r="B927" s="47" t="inlineStr">
        <is>
          <t>이야기 라이트 7GB+(24개월)</t>
        </is>
      </c>
      <c r="C927" s="47" t="inlineStr">
        <is>
          <t>무제한</t>
        </is>
      </c>
      <c r="D927" s="47" t="inlineStr">
        <is>
          <t>무제한</t>
        </is>
      </c>
      <c r="E927" s="47" t="inlineStr">
        <is>
          <t>월 7GB + 1Mbps</t>
        </is>
      </c>
      <c r="F927" s="47" t="inlineStr">
        <is>
          <t>LG U+</t>
        </is>
      </c>
      <c r="G927" s="47" t="inlineStr">
        <is>
          <t>LTE</t>
        </is>
      </c>
      <c r="H927" s="48" t="n">
        <v>16000</v>
      </c>
      <c r="I927" s="48" t="n">
        <v>24</v>
      </c>
      <c r="J927" s="48" t="n">
        <v>23100</v>
      </c>
      <c r="K927" s="47">
        <f t="array" ref="K927">_xlfn.XLOOKUP(1,(참조!$B$2:$B$15=E927)*(참조!$D$2:$D$15=C927)*(참조!$E$2:$E$15=D927),참조!$C$2:$C$15,"")</f>
        <v/>
      </c>
    </row>
    <row r="928" hidden="1" s="27">
      <c r="A928" s="47" t="inlineStr">
        <is>
          <t>인스모바일</t>
        </is>
      </c>
      <c r="B928" s="47" t="inlineStr">
        <is>
          <t>[평생할인]실속 300분+3GB(USIM)</t>
        </is>
      </c>
      <c r="C928" s="47" t="inlineStr">
        <is>
          <t>300분</t>
        </is>
      </c>
      <c r="D928" s="47" t="inlineStr">
        <is>
          <t>100건</t>
        </is>
      </c>
      <c r="E928" s="47" t="inlineStr">
        <is>
          <t>월 3GB</t>
        </is>
      </c>
      <c r="F928" s="47" t="inlineStr">
        <is>
          <t>LG U+</t>
        </is>
      </c>
      <c r="G928" s="47" t="inlineStr">
        <is>
          <t>LTE</t>
        </is>
      </c>
      <c r="H928" s="48" t="n">
        <v>2640</v>
      </c>
      <c r="I928" s="48" t="n"/>
      <c r="J928" s="48" t="n"/>
      <c r="K928" s="47">
        <f t="array" ref="K928">_xlfn.XLOOKUP(1,(참조!$B$2:$B$15=E928)*(참조!$D$2:$D$15=C928)*(참조!$E$2:$E$15=D928),참조!$C$2:$C$15,"")</f>
        <v/>
      </c>
    </row>
    <row r="929" hidden="1" s="27">
      <c r="A929" s="47" t="inlineStr">
        <is>
          <t>스마텔</t>
        </is>
      </c>
      <c r="B929" s="47" t="inlineStr">
        <is>
          <t>스마일 11GB+</t>
        </is>
      </c>
      <c r="C929" s="47" t="inlineStr">
        <is>
          <t>무제한</t>
        </is>
      </c>
      <c r="D929" s="47" t="inlineStr">
        <is>
          <t>무제한</t>
        </is>
      </c>
      <c r="E929" s="47" t="inlineStr">
        <is>
          <t>월 11GB + 매일 2GB + 3Mbps</t>
        </is>
      </c>
      <c r="F929" s="47" t="inlineStr">
        <is>
          <t>SKT</t>
        </is>
      </c>
      <c r="G929" s="47" t="inlineStr">
        <is>
          <t>LTE</t>
        </is>
      </c>
      <c r="H929" s="48" t="n">
        <v>15500</v>
      </c>
      <c r="I929" s="48" t="n">
        <v>7</v>
      </c>
      <c r="J929" s="48" t="n">
        <v>40700</v>
      </c>
      <c r="K929" s="47">
        <f t="array" ref="K929">_xlfn.XLOOKUP(1,(참조!$B$2:$B$15=E929)*(참조!$D$2:$D$15=C929)*(참조!$E$2:$E$15=D929),참조!$C$2:$C$15,"")</f>
        <v/>
      </c>
    </row>
    <row r="930" hidden="1" s="27">
      <c r="A930" s="47" t="inlineStr">
        <is>
          <t>에이모바일</t>
        </is>
      </c>
      <c r="B930" s="47" t="inlineStr">
        <is>
          <t>A 스페셜 11GB+</t>
        </is>
      </c>
      <c r="C930" s="47" t="inlineStr">
        <is>
          <t>무제한</t>
        </is>
      </c>
      <c r="D930" s="47" t="inlineStr">
        <is>
          <t>무제한</t>
        </is>
      </c>
      <c r="E930" s="47" t="inlineStr">
        <is>
          <t>월 11GB + 매일 2GB + 3Mbps</t>
        </is>
      </c>
      <c r="F930" s="47" t="inlineStr">
        <is>
          <t>LG U+</t>
        </is>
      </c>
      <c r="G930" s="47" t="inlineStr">
        <is>
          <t>LTE</t>
        </is>
      </c>
      <c r="H930" s="48" t="n">
        <v>4500</v>
      </c>
      <c r="I930" s="48" t="n">
        <v>7</v>
      </c>
      <c r="J930" s="48" t="n">
        <v>36300</v>
      </c>
      <c r="K930" s="47">
        <f t="array" ref="K930">_xlfn.XLOOKUP(1,(참조!$B$2:$B$15=E930)*(참조!$D$2:$D$15=C930)*(참조!$E$2:$E$15=D930),참조!$C$2:$C$15,"")</f>
        <v/>
      </c>
    </row>
    <row r="931" hidden="1" s="27">
      <c r="A931" s="47" t="inlineStr">
        <is>
          <t>티플러스</t>
        </is>
      </c>
      <c r="B931" s="47" t="inlineStr">
        <is>
          <t>티플 위드유 15GB＋(300분)(G car)</t>
        </is>
      </c>
      <c r="C931" s="47" t="inlineStr">
        <is>
          <t>300분</t>
        </is>
      </c>
      <c r="D931" s="47" t="inlineStr">
        <is>
          <t>300건</t>
        </is>
      </c>
      <c r="E931" s="47" t="inlineStr">
        <is>
          <t>월 15GB + 3Mbps</t>
        </is>
      </c>
      <c r="F931" s="47" t="inlineStr">
        <is>
          <t>SKT</t>
        </is>
      </c>
      <c r="G931" s="47" t="inlineStr">
        <is>
          <t>LTE</t>
        </is>
      </c>
      <c r="H931" s="48" t="n">
        <v>9900</v>
      </c>
      <c r="I931" s="48" t="n">
        <v>7</v>
      </c>
      <c r="J931" s="48" t="n">
        <v>37400</v>
      </c>
      <c r="K931" s="47">
        <f t="array" ref="K931">_xlfn.XLOOKUP(1,(참조!$B$2:$B$15=E931)*(참조!$D$2:$D$15=C931)*(참조!$E$2:$E$15=D931),참조!$C$2:$C$15,"")</f>
        <v/>
      </c>
    </row>
    <row r="932" hidden="1" s="27">
      <c r="A932" s="47" t="inlineStr">
        <is>
          <t>핀다이렉트</t>
        </is>
      </c>
      <c r="B932" s="47" t="inlineStr">
        <is>
          <t>[L] 핀다이렉트Z Speed 150GB+</t>
        </is>
      </c>
      <c r="C932" s="47" t="inlineStr">
        <is>
          <t>무제한</t>
        </is>
      </c>
      <c r="D932" s="47" t="inlineStr">
        <is>
          <t>무제한</t>
        </is>
      </c>
      <c r="E932" s="47" t="inlineStr">
        <is>
          <t>월 150GB + 5Mbps</t>
        </is>
      </c>
      <c r="F932" s="47" t="inlineStr">
        <is>
          <t>LG U+</t>
        </is>
      </c>
      <c r="G932" s="47" t="inlineStr">
        <is>
          <t>5G</t>
        </is>
      </c>
      <c r="H932" s="48" t="n">
        <v>18000</v>
      </c>
      <c r="I932" s="48" t="n">
        <v>7</v>
      </c>
      <c r="J932" s="48" t="n">
        <v>51700</v>
      </c>
      <c r="K932" s="47">
        <f t="array" ref="K932">_xlfn.XLOOKUP(1,(참조!$B$2:$B$15=E932)*(참조!$D$2:$D$15=C932)*(참조!$E$2:$E$15=D932),참조!$C$2:$C$15,"")</f>
        <v/>
      </c>
    </row>
    <row r="933" hidden="1" s="27">
      <c r="A933" s="47" t="inlineStr">
        <is>
          <t>고고모바일</t>
        </is>
      </c>
      <c r="B933" s="47" t="inlineStr">
        <is>
          <t>5G무제한 30GB+1Mbps</t>
        </is>
      </c>
      <c r="C933" s="47" t="inlineStr">
        <is>
          <t>무제한</t>
        </is>
      </c>
      <c r="D933" s="47" t="inlineStr">
        <is>
          <t>무제한</t>
        </is>
      </c>
      <c r="E933" s="47" t="inlineStr">
        <is>
          <t>월 30GB + 1Mbps</t>
        </is>
      </c>
      <c r="F933" s="47" t="inlineStr">
        <is>
          <t>KT</t>
        </is>
      </c>
      <c r="G933" s="47" t="inlineStr">
        <is>
          <t>5G</t>
        </is>
      </c>
      <c r="H933" s="48" t="n">
        <v>40040</v>
      </c>
      <c r="I933" s="48" t="n"/>
      <c r="J933" s="48" t="n"/>
      <c r="K933" s="47">
        <f t="array" ref="K933">_xlfn.XLOOKUP(1,(참조!$B$2:$B$15=E933)*(참조!$D$2:$D$15=C933)*(참조!$E$2:$E$15=D933),참조!$C$2:$C$15,"")</f>
        <v/>
      </c>
    </row>
    <row r="934" hidden="1" s="27">
      <c r="A934" s="47" t="inlineStr">
        <is>
          <t>고고모바일</t>
        </is>
      </c>
      <c r="B934" s="47" t="inlineStr">
        <is>
          <t>[모요only] 무제한 100GB+5M(올리브영 5000원)</t>
        </is>
      </c>
      <c r="C934" s="47" t="inlineStr">
        <is>
          <t>무제한</t>
        </is>
      </c>
      <c r="D934" s="47" t="inlineStr">
        <is>
          <t>무제한</t>
        </is>
      </c>
      <c r="E934" s="47" t="inlineStr">
        <is>
          <t>월 100GB + 5Mbps</t>
        </is>
      </c>
      <c r="F934" s="47" t="inlineStr">
        <is>
          <t>KT</t>
        </is>
      </c>
      <c r="G934" s="47" t="inlineStr">
        <is>
          <t>LTE</t>
        </is>
      </c>
      <c r="H934" s="48" t="n">
        <v>18000</v>
      </c>
      <c r="I934" s="48" t="n">
        <v>7</v>
      </c>
      <c r="J934" s="48" t="n">
        <v>47300</v>
      </c>
      <c r="K934" s="47">
        <f t="array" ref="K934">_xlfn.XLOOKUP(1,(참조!$B$2:$B$15=E934)*(참조!$D$2:$D$15=C934)*(참조!$E$2:$E$15=D934),참조!$C$2:$C$15,"")</f>
        <v/>
      </c>
    </row>
    <row r="935" hidden="1" s="27">
      <c r="A935" s="47" t="inlineStr">
        <is>
          <t>티플러스</t>
        </is>
      </c>
      <c r="B935" s="47" t="inlineStr">
        <is>
          <t>티플온 15G＋(300분)</t>
        </is>
      </c>
      <c r="C935" s="47" t="inlineStr">
        <is>
          <t>300분</t>
        </is>
      </c>
      <c r="D935" s="47" t="inlineStr">
        <is>
          <t>300건</t>
        </is>
      </c>
      <c r="E935" s="47" t="inlineStr">
        <is>
          <t>월 15GB + 3Mbps</t>
        </is>
      </c>
      <c r="F935" s="47" t="inlineStr">
        <is>
          <t>LG U+</t>
        </is>
      </c>
      <c r="G935" s="47" t="inlineStr">
        <is>
          <t>LTE</t>
        </is>
      </c>
      <c r="H935" s="48" t="n">
        <v>12900</v>
      </c>
      <c r="I935" s="48" t="n">
        <v>7</v>
      </c>
      <c r="J935" s="48" t="n">
        <v>41800</v>
      </c>
      <c r="K935" s="47">
        <f t="array" ref="K935">_xlfn.XLOOKUP(1,(참조!$B$2:$B$15=E935)*(참조!$D$2:$D$15=C935)*(참조!$E$2:$E$15=D935),참조!$C$2:$C$15,"")</f>
        <v/>
      </c>
    </row>
    <row r="936" hidden="1" s="27">
      <c r="A936" s="47" t="inlineStr">
        <is>
          <t>에이모바일</t>
        </is>
      </c>
      <c r="B936" s="47" t="inlineStr">
        <is>
          <t>A 스페셜 4.5GB+</t>
        </is>
      </c>
      <c r="C936" s="47" t="inlineStr">
        <is>
          <t>무제한</t>
        </is>
      </c>
      <c r="D936" s="47" t="inlineStr">
        <is>
          <t>무제한</t>
        </is>
      </c>
      <c r="E936" s="47" t="inlineStr">
        <is>
          <t>월 4.5GB + 1Mbps</t>
        </is>
      </c>
      <c r="F936" s="47" t="inlineStr">
        <is>
          <t>LG U+</t>
        </is>
      </c>
      <c r="G936" s="47" t="inlineStr">
        <is>
          <t>LTE</t>
        </is>
      </c>
      <c r="H936" s="48" t="n">
        <v>10</v>
      </c>
      <c r="I936" s="48" t="n">
        <v>7</v>
      </c>
      <c r="J936" s="48" t="n">
        <v>11000</v>
      </c>
      <c r="K936" s="47">
        <f t="array" ref="K936">_xlfn.XLOOKUP(1,(참조!$B$2:$B$15=E936)*(참조!$D$2:$D$15=C936)*(참조!$E$2:$E$15=D936),참조!$C$2:$C$15,"")</f>
        <v/>
      </c>
    </row>
    <row r="937" hidden="1" s="27">
      <c r="A937" s="47" t="inlineStr">
        <is>
          <t>고고모바일</t>
        </is>
      </c>
      <c r="B937" s="47" t="inlineStr">
        <is>
          <t>LTE200분/5GB+1M</t>
        </is>
      </c>
      <c r="C937" s="47" t="inlineStr">
        <is>
          <t>200분</t>
        </is>
      </c>
      <c r="D937" s="47" t="inlineStr">
        <is>
          <t>100건</t>
        </is>
      </c>
      <c r="E937" s="47" t="inlineStr">
        <is>
          <t>월 5GB + 1Mbps</t>
        </is>
      </c>
      <c r="F937" s="47" t="inlineStr">
        <is>
          <t>KT</t>
        </is>
      </c>
      <c r="G937" s="47" t="inlineStr">
        <is>
          <t>LTE</t>
        </is>
      </c>
      <c r="H937" s="48" t="n">
        <v>11660</v>
      </c>
      <c r="I937" s="48" t="n"/>
      <c r="J937" s="48" t="n"/>
      <c r="K937" s="47">
        <f t="array" ref="K937">_xlfn.XLOOKUP(1,(참조!$B$2:$B$15=E937)*(참조!$D$2:$D$15=C937)*(참조!$E$2:$E$15=D937),참조!$C$2:$C$15,"")</f>
        <v/>
      </c>
    </row>
    <row r="938" hidden="1" s="27">
      <c r="A938" s="47" t="inlineStr">
        <is>
          <t>KT스카이라이프</t>
        </is>
      </c>
      <c r="B938" s="47" t="inlineStr">
        <is>
          <t>모두 충분 10GB+(지니뮤직)</t>
        </is>
      </c>
      <c r="C938" s="47" t="inlineStr">
        <is>
          <t>무제한</t>
        </is>
      </c>
      <c r="D938" s="47" t="inlineStr">
        <is>
          <t>무제한</t>
        </is>
      </c>
      <c r="E938" s="47" t="inlineStr">
        <is>
          <t>월 10GB + 1Mbps</t>
        </is>
      </c>
      <c r="F938" s="47" t="inlineStr">
        <is>
          <t>KT</t>
        </is>
      </c>
      <c r="G938" s="47" t="inlineStr">
        <is>
          <t>LTE</t>
        </is>
      </c>
      <c r="H938" s="48" t="n">
        <v>22000</v>
      </c>
      <c r="I938" s="48" t="n"/>
      <c r="J938" s="48" t="n"/>
      <c r="K938" s="47">
        <f t="array" ref="K938">_xlfn.XLOOKUP(1,(참조!$B$2:$B$15=E938)*(참조!$D$2:$D$15=C938)*(참조!$E$2:$E$15=D938),참조!$C$2:$C$15,"")</f>
        <v/>
      </c>
    </row>
    <row r="939" hidden="1" s="27">
      <c r="A939" s="47" t="inlineStr">
        <is>
          <t>찬스모바일</t>
        </is>
      </c>
      <c r="B939" s="47" t="inlineStr">
        <is>
          <t>모두무제한 15GB+</t>
        </is>
      </c>
      <c r="C939" s="47" t="inlineStr">
        <is>
          <t>무제한</t>
        </is>
      </c>
      <c r="D939" s="47" t="inlineStr">
        <is>
          <t>무제한</t>
        </is>
      </c>
      <c r="E939" s="47" t="inlineStr">
        <is>
          <t>월 15GB + 1Mbps</t>
        </is>
      </c>
      <c r="F939" s="47" t="inlineStr">
        <is>
          <t>LG U+</t>
        </is>
      </c>
      <c r="G939" s="47" t="inlineStr">
        <is>
          <t>LTE</t>
        </is>
      </c>
      <c r="H939" s="48" t="n">
        <v>9600</v>
      </c>
      <c r="I939" s="48" t="n">
        <v>7</v>
      </c>
      <c r="J939" s="48" t="n">
        <v>25500</v>
      </c>
      <c r="K939" s="47">
        <f t="array" ref="K939">_xlfn.XLOOKUP(1,(참조!$B$2:$B$15=E939)*(참조!$D$2:$D$15=C939)*(참조!$E$2:$E$15=D939),참조!$C$2:$C$15,"")</f>
        <v/>
      </c>
    </row>
    <row r="940" hidden="1" s="27">
      <c r="A940" s="47" t="inlineStr">
        <is>
          <t>티플러스</t>
        </is>
      </c>
      <c r="B940" s="47" t="inlineStr">
        <is>
          <t>5G 통화안심 15GB</t>
        </is>
      </c>
      <c r="C940" s="47" t="inlineStr">
        <is>
          <t>무제한</t>
        </is>
      </c>
      <c r="D940" s="47" t="inlineStr">
        <is>
          <t>100건</t>
        </is>
      </c>
      <c r="E940" s="47" t="inlineStr">
        <is>
          <t>월 15GB</t>
        </is>
      </c>
      <c r="F940" s="47" t="inlineStr">
        <is>
          <t>SKT</t>
        </is>
      </c>
      <c r="G940" s="47" t="inlineStr">
        <is>
          <t>5G</t>
        </is>
      </c>
      <c r="H940" s="48" t="n">
        <v>10900</v>
      </c>
      <c r="I940" s="48" t="n">
        <v>4</v>
      </c>
      <c r="J940" s="48" t="n">
        <v>24200</v>
      </c>
      <c r="K940" s="47">
        <f t="array" ref="K940">_xlfn.XLOOKUP(1,(참조!$B$2:$B$15=E940)*(참조!$D$2:$D$15=C940)*(참조!$E$2:$E$15=D940),참조!$C$2:$C$15,"")</f>
        <v/>
      </c>
    </row>
    <row r="941" hidden="1" s="27">
      <c r="A941" s="47" t="inlineStr">
        <is>
          <t>KT엠모바일</t>
        </is>
      </c>
      <c r="B941" s="47" t="inlineStr">
        <is>
          <t>모두다 맘껏 10GB+(CU 20%할인)</t>
        </is>
      </c>
      <c r="C941" s="47" t="inlineStr">
        <is>
          <t>무제한</t>
        </is>
      </c>
      <c r="D941" s="47" t="inlineStr">
        <is>
          <t>무제한</t>
        </is>
      </c>
      <c r="E941" s="47" t="inlineStr">
        <is>
          <t>월 10GB + 1Mbps</t>
        </is>
      </c>
      <c r="F941" s="47" t="inlineStr">
        <is>
          <t>KT</t>
        </is>
      </c>
      <c r="G941" s="47" t="inlineStr">
        <is>
          <t>LTE</t>
        </is>
      </c>
      <c r="H941" s="48" t="n">
        <v>19400</v>
      </c>
      <c r="I941" s="48" t="n"/>
      <c r="J941" s="48" t="n"/>
      <c r="K941" s="47">
        <f t="array" ref="K941">_xlfn.XLOOKUP(1,(참조!$B$2:$B$15=E941)*(참조!$D$2:$D$15=C941)*(참조!$E$2:$E$15=D941),참조!$C$2:$C$15,"")</f>
        <v/>
      </c>
    </row>
    <row r="942" hidden="1" s="27">
      <c r="A942" s="47" t="inlineStr">
        <is>
          <t>티플러스</t>
        </is>
      </c>
      <c r="B942" s="47" t="inlineStr">
        <is>
          <t>티플 100G＋(CU멤버십＋매월 5000P)</t>
        </is>
      </c>
      <c r="C942" s="47" t="inlineStr">
        <is>
          <t>무제한</t>
        </is>
      </c>
      <c r="D942" s="47" t="inlineStr">
        <is>
          <t>무제한</t>
        </is>
      </c>
      <c r="E942" s="47" t="inlineStr">
        <is>
          <t>월 100GB + 5Mbps</t>
        </is>
      </c>
      <c r="F942" s="47" t="inlineStr">
        <is>
          <t>SKT</t>
        </is>
      </c>
      <c r="G942" s="47" t="inlineStr">
        <is>
          <t>LTE</t>
        </is>
      </c>
      <c r="H942" s="48" t="n">
        <v>17900</v>
      </c>
      <c r="I942" s="48" t="n">
        <v>7</v>
      </c>
      <c r="J942" s="48" t="n">
        <v>55000</v>
      </c>
      <c r="K942" s="47">
        <f t="array" ref="K942">_xlfn.XLOOKUP(1,(참조!$B$2:$B$15=E942)*(참조!$D$2:$D$15=C942)*(참조!$E$2:$E$15=D942),참조!$C$2:$C$15,"")</f>
        <v/>
      </c>
    </row>
    <row r="943" hidden="1" s="27">
      <c r="A943" s="47" t="inlineStr">
        <is>
          <t>티플러스</t>
        </is>
      </c>
      <c r="B943" s="47" t="inlineStr">
        <is>
          <t>The 완전마음껏7G+(카톡 이모티콘+예스24e북)</t>
        </is>
      </c>
      <c r="C943" s="47" t="inlineStr">
        <is>
          <t>무제한</t>
        </is>
      </c>
      <c r="D943" s="47" t="inlineStr">
        <is>
          <t>무제한</t>
        </is>
      </c>
      <c r="E943" s="47" t="inlineStr">
        <is>
          <t>월 7GB + 1Mbps</t>
        </is>
      </c>
      <c r="F943" s="47" t="inlineStr">
        <is>
          <t>LG U+</t>
        </is>
      </c>
      <c r="G943" s="47" t="inlineStr">
        <is>
          <t>LTE</t>
        </is>
      </c>
      <c r="H943" s="48" t="n">
        <v>14900</v>
      </c>
      <c r="I943" s="48" t="n">
        <v>24</v>
      </c>
      <c r="J943" s="48" t="n">
        <v>22000</v>
      </c>
      <c r="K943" s="47">
        <f t="array" ref="K943">_xlfn.XLOOKUP(1,(참조!$B$2:$B$15=E943)*(참조!$D$2:$D$15=C943)*(참조!$E$2:$E$15=D943),참조!$C$2:$C$15,"")</f>
        <v/>
      </c>
    </row>
    <row r="944" hidden="1" s="27">
      <c r="A944" s="47" t="inlineStr">
        <is>
          <t>에이모바일</t>
        </is>
      </c>
      <c r="B944" s="47" t="inlineStr">
        <is>
          <t>A 스탠다드 10GB/200분</t>
        </is>
      </c>
      <c r="C944" s="47" t="inlineStr">
        <is>
          <t>200분</t>
        </is>
      </c>
      <c r="D944" s="47" t="inlineStr">
        <is>
          <t>100건</t>
        </is>
      </c>
      <c r="E944" s="47" t="inlineStr">
        <is>
          <t>월 10GB</t>
        </is>
      </c>
      <c r="F944" s="47" t="inlineStr">
        <is>
          <t>KT</t>
        </is>
      </c>
      <c r="G944" s="47" t="inlineStr">
        <is>
          <t>LTE</t>
        </is>
      </c>
      <c r="H944" s="48" t="n">
        <v>10</v>
      </c>
      <c r="I944" s="48" t="n">
        <v>12</v>
      </c>
      <c r="J944" s="48" t="n">
        <v>17600</v>
      </c>
      <c r="K944" s="47">
        <f t="array" ref="K944">_xlfn.XLOOKUP(1,(참조!$B$2:$B$15=E944)*(참조!$D$2:$D$15=C944)*(참조!$E$2:$E$15=D944),참조!$C$2:$C$15,"")</f>
        <v/>
      </c>
    </row>
    <row r="945" hidden="1" s="27">
      <c r="A945" s="47" t="inlineStr">
        <is>
          <t>더원모바일</t>
        </is>
      </c>
      <c r="B945" s="47" t="inlineStr">
        <is>
          <t>TOP 10GB 기본 (CU할인)</t>
        </is>
      </c>
      <c r="C945" s="47" t="inlineStr">
        <is>
          <t>무제한</t>
        </is>
      </c>
      <c r="D945" s="47" t="inlineStr">
        <is>
          <t>무제한</t>
        </is>
      </c>
      <c r="E945" s="47" t="inlineStr">
        <is>
          <t>월 10GB + 1Mbps</t>
        </is>
      </c>
      <c r="F945" s="47" t="inlineStr">
        <is>
          <t>KT</t>
        </is>
      </c>
      <c r="G945" s="47" t="inlineStr">
        <is>
          <t>LTE</t>
        </is>
      </c>
      <c r="H945" s="48" t="n">
        <v>3300</v>
      </c>
      <c r="I945" s="48" t="n">
        <v>7</v>
      </c>
      <c r="J945" s="48" t="n">
        <v>28600</v>
      </c>
      <c r="K945" s="47">
        <f t="array" ref="K945">_xlfn.XLOOKUP(1,(참조!$B$2:$B$15=E945)*(참조!$D$2:$D$15=C945)*(참조!$E$2:$E$15=D945),참조!$C$2:$C$15,"")</f>
        <v/>
      </c>
    </row>
    <row r="946" hidden="1" s="27">
      <c r="A946" s="47" t="inlineStr">
        <is>
          <t>더원모바일</t>
        </is>
      </c>
      <c r="B946" s="47" t="inlineStr">
        <is>
          <t>TOP 5G 200GB 기본 (다이소)</t>
        </is>
      </c>
      <c r="C946" s="47" t="inlineStr">
        <is>
          <t>무제한</t>
        </is>
      </c>
      <c r="D946" s="47" t="inlineStr">
        <is>
          <t>무제한</t>
        </is>
      </c>
      <c r="E946" s="47" t="inlineStr">
        <is>
          <t>월 200GB + 10Mbps</t>
        </is>
      </c>
      <c r="F946" s="47" t="inlineStr">
        <is>
          <t>KT</t>
        </is>
      </c>
      <c r="G946" s="47" t="inlineStr">
        <is>
          <t>5G</t>
        </is>
      </c>
      <c r="H946" s="48" t="n">
        <v>33000</v>
      </c>
      <c r="I946" s="48" t="n">
        <v>12</v>
      </c>
      <c r="J946" s="48" t="n">
        <v>55000</v>
      </c>
      <c r="K946" s="47">
        <f t="array" ref="K946">_xlfn.XLOOKUP(1,(참조!$B$2:$B$15=E946)*(참조!$D$2:$D$15=C946)*(참조!$E$2:$E$15=D946),참조!$C$2:$C$15,"")</f>
        <v/>
      </c>
    </row>
    <row r="947" hidden="1" s="27">
      <c r="A947" s="47" t="inlineStr">
        <is>
          <t>티플러스</t>
        </is>
      </c>
      <c r="B947" s="47" t="inlineStr">
        <is>
          <t>티플 CGV 11GB＋</t>
        </is>
      </c>
      <c r="C947" s="47" t="inlineStr">
        <is>
          <t>무제한</t>
        </is>
      </c>
      <c r="D947" s="47" t="inlineStr">
        <is>
          <t>무제한</t>
        </is>
      </c>
      <c r="E947" s="47" t="inlineStr">
        <is>
          <t>월 11GB + 매일 2GB + 3Mbps</t>
        </is>
      </c>
      <c r="F947" s="47" t="inlineStr">
        <is>
          <t>SKT</t>
        </is>
      </c>
      <c r="G947" s="47" t="inlineStr">
        <is>
          <t>LTE</t>
        </is>
      </c>
      <c r="H947" s="48" t="n">
        <v>15900</v>
      </c>
      <c r="I947" s="48" t="n">
        <v>7</v>
      </c>
      <c r="J947" s="48" t="n">
        <v>51700</v>
      </c>
      <c r="K947" s="47">
        <f t="array" ref="K947">_xlfn.XLOOKUP(1,(참조!$B$2:$B$15=E947)*(참조!$D$2:$D$15=C947)*(참조!$E$2:$E$15=D947),참조!$C$2:$C$15,"")</f>
        <v/>
      </c>
    </row>
    <row r="948" hidden="1" s="27">
      <c r="A948" s="47" t="inlineStr">
        <is>
          <t>KT스카이라이프</t>
        </is>
      </c>
      <c r="B948" s="47" t="inlineStr">
        <is>
          <t>모두 충분 4.5GB+</t>
        </is>
      </c>
      <c r="C948" s="47" t="inlineStr">
        <is>
          <t>무제한</t>
        </is>
      </c>
      <c r="D948" s="47" t="inlineStr">
        <is>
          <t>무제한</t>
        </is>
      </c>
      <c r="E948" s="47" t="inlineStr">
        <is>
          <t>월 4.5GB + 400Kbps</t>
        </is>
      </c>
      <c r="F948" s="47" t="inlineStr">
        <is>
          <t>KT</t>
        </is>
      </c>
      <c r="G948" s="47" t="inlineStr">
        <is>
          <t>LTE</t>
        </is>
      </c>
      <c r="H948" s="48" t="n">
        <v>13200</v>
      </c>
      <c r="I948" s="48" t="n"/>
      <c r="J948" s="48" t="n"/>
      <c r="K948" s="47">
        <f t="array" ref="K948">_xlfn.XLOOKUP(1,(참조!$B$2:$B$15=E948)*(참조!$D$2:$D$15=C948)*(참조!$E$2:$E$15=D948),참조!$C$2:$C$15,"")</f>
        <v/>
      </c>
    </row>
    <row r="949" hidden="1" s="27">
      <c r="A949" s="47" t="inlineStr">
        <is>
          <t>스마텔</t>
        </is>
      </c>
      <c r="B949" s="47" t="inlineStr">
        <is>
          <t>5G스마트플러스(100분 + 3GB)</t>
        </is>
      </c>
      <c r="C949" s="47" t="inlineStr">
        <is>
          <t>100분</t>
        </is>
      </c>
      <c r="D949" s="47" t="inlineStr">
        <is>
          <t>100건</t>
        </is>
      </c>
      <c r="E949" s="47" t="inlineStr">
        <is>
          <t>월 3GB</t>
        </is>
      </c>
      <c r="F949" s="47" t="inlineStr">
        <is>
          <t>LG U+</t>
        </is>
      </c>
      <c r="G949" s="47" t="inlineStr">
        <is>
          <t>5G</t>
        </is>
      </c>
      <c r="H949" s="48" t="n">
        <v>3000</v>
      </c>
      <c r="I949" s="48" t="n">
        <v>12</v>
      </c>
      <c r="J949" s="48" t="n">
        <v>9000</v>
      </c>
      <c r="K949" s="47">
        <f t="array" ref="K949">_xlfn.XLOOKUP(1,(참조!$B$2:$B$15=E949)*(참조!$D$2:$D$15=C949)*(참조!$E$2:$E$15=D949),참조!$C$2:$C$15,"")</f>
        <v/>
      </c>
    </row>
    <row r="950" hidden="1" s="27">
      <c r="A950" s="47" t="inlineStr">
        <is>
          <t>티플러스</t>
        </is>
      </c>
      <c r="B950" s="47" t="inlineStr">
        <is>
          <t>티플북 15G+(100분)(도서문화상품권 매월 5000P)</t>
        </is>
      </c>
      <c r="C950" s="47" t="inlineStr">
        <is>
          <t>100분</t>
        </is>
      </c>
      <c r="D950" s="47" t="inlineStr">
        <is>
          <t>100건</t>
        </is>
      </c>
      <c r="E950" s="47" t="inlineStr">
        <is>
          <t>월 15GB + 3Mbps</t>
        </is>
      </c>
      <c r="F950" s="47" t="inlineStr">
        <is>
          <t>SKT</t>
        </is>
      </c>
      <c r="G950" s="47" t="inlineStr">
        <is>
          <t>LTE</t>
        </is>
      </c>
      <c r="H950" s="48" t="n">
        <v>8900</v>
      </c>
      <c r="I950" s="48" t="n">
        <v>7</v>
      </c>
      <c r="J950" s="48" t="n">
        <v>39600</v>
      </c>
      <c r="K950" s="47">
        <f t="array" ref="K950">_xlfn.XLOOKUP(1,(참조!$B$2:$B$15=E950)*(참조!$D$2:$D$15=C950)*(참조!$E$2:$E$15=D950),참조!$C$2:$C$15,"")</f>
        <v/>
      </c>
    </row>
    <row r="951" hidden="1" s="27">
      <c r="A951" s="47" t="inlineStr">
        <is>
          <t>슈가모바일</t>
        </is>
      </c>
      <c r="B951" s="47" t="inlineStr">
        <is>
          <t>Sugar 9GB+1Mbps(R)</t>
        </is>
      </c>
      <c r="C951" s="47" t="inlineStr">
        <is>
          <t>1,000분</t>
        </is>
      </c>
      <c r="D951" s="47" t="inlineStr">
        <is>
          <t>200건</t>
        </is>
      </c>
      <c r="E951" s="47" t="inlineStr">
        <is>
          <t>월 9GB + 1Mbps</t>
        </is>
      </c>
      <c r="F951" s="47" t="inlineStr">
        <is>
          <t>LG U+</t>
        </is>
      </c>
      <c r="G951" s="47" t="inlineStr">
        <is>
          <t>LTE</t>
        </is>
      </c>
      <c r="H951" s="48" t="n">
        <v>1100</v>
      </c>
      <c r="I951" s="48" t="n">
        <v>6</v>
      </c>
      <c r="J951" s="48" t="n">
        <v>26400</v>
      </c>
      <c r="K951" s="47">
        <f t="array" ref="K951">_xlfn.XLOOKUP(1,(참조!$B$2:$B$15=E951)*(참조!$D$2:$D$15=C951)*(참조!$E$2:$E$15=D951),참조!$C$2:$C$15,"")</f>
        <v/>
      </c>
    </row>
    <row r="952" hidden="1" s="27">
      <c r="A952" s="47" t="inlineStr">
        <is>
          <t>이야기모바일</t>
        </is>
      </c>
      <c r="B952" s="47" t="inlineStr">
        <is>
          <t>함께이야기해S 무한 30GB</t>
        </is>
      </c>
      <c r="C952" s="47" t="inlineStr">
        <is>
          <t>무제한</t>
        </is>
      </c>
      <c r="D952" s="47" t="inlineStr">
        <is>
          <t>무제한</t>
        </is>
      </c>
      <c r="E952" s="47" t="inlineStr">
        <is>
          <t>월 30GB</t>
        </is>
      </c>
      <c r="F952" s="47" t="inlineStr">
        <is>
          <t>SKT</t>
        </is>
      </c>
      <c r="G952" s="47" t="inlineStr">
        <is>
          <t>LTE</t>
        </is>
      </c>
      <c r="H952" s="48" t="n">
        <v>25400</v>
      </c>
      <c r="I952" s="48" t="n">
        <v>12</v>
      </c>
      <c r="J952" s="48" t="n">
        <v>29700</v>
      </c>
      <c r="K952" s="47">
        <f t="array" ref="K952">_xlfn.XLOOKUP(1,(참조!$B$2:$B$15=E952)*(참조!$D$2:$D$15=C952)*(참조!$E$2:$E$15=D952),참조!$C$2:$C$15,"")</f>
        <v/>
      </c>
    </row>
    <row r="953" hidden="1" s="27">
      <c r="A953" s="47" t="inlineStr">
        <is>
          <t>스마텔</t>
        </is>
      </c>
      <c r="B953" s="47" t="inlineStr">
        <is>
          <t>5G 스마트 125GB+</t>
        </is>
      </c>
      <c r="C953" s="47" t="inlineStr">
        <is>
          <t>무제한</t>
        </is>
      </c>
      <c r="D953" s="47" t="inlineStr">
        <is>
          <t>무제한</t>
        </is>
      </c>
      <c r="E953" s="47" t="inlineStr">
        <is>
          <t>월 125GB + 5Mbps</t>
        </is>
      </c>
      <c r="F953" s="47" t="inlineStr">
        <is>
          <t>LG U+</t>
        </is>
      </c>
      <c r="G953" s="47" t="inlineStr">
        <is>
          <t>5G</t>
        </is>
      </c>
      <c r="H953" s="48" t="n">
        <v>17500</v>
      </c>
      <c r="I953" s="48" t="n">
        <v>7</v>
      </c>
      <c r="J953" s="48" t="n">
        <v>52800</v>
      </c>
      <c r="K953" s="47">
        <f t="array" ref="K953">_xlfn.XLOOKUP(1,(참조!$B$2:$B$15=E953)*(참조!$D$2:$D$15=C953)*(참조!$E$2:$E$15=D953),참조!$C$2:$C$15,"")</f>
        <v/>
      </c>
    </row>
    <row r="954" hidden="1" s="27">
      <c r="A954" s="47" t="inlineStr">
        <is>
          <t>인스모바일</t>
        </is>
      </c>
      <c r="B954" s="47" t="inlineStr">
        <is>
          <t>[평생할인]인스 유심 올프리 7GB+</t>
        </is>
      </c>
      <c r="C954" s="47" t="inlineStr">
        <is>
          <t>무제한</t>
        </is>
      </c>
      <c r="D954" s="47" t="inlineStr">
        <is>
          <t>무제한</t>
        </is>
      </c>
      <c r="E954" s="47" t="inlineStr">
        <is>
          <t>월 7GB + 1Mbps</t>
        </is>
      </c>
      <c r="F954" s="47" t="inlineStr">
        <is>
          <t>LG U+</t>
        </is>
      </c>
      <c r="G954" s="47" t="inlineStr">
        <is>
          <t>LTE</t>
        </is>
      </c>
      <c r="H954" s="48" t="n">
        <v>15400</v>
      </c>
      <c r="I954" s="48" t="n"/>
      <c r="J954" s="48" t="n"/>
      <c r="K954" s="47">
        <f t="array" ref="K954">_xlfn.XLOOKUP(1,(참조!$B$2:$B$15=E954)*(참조!$D$2:$D$15=C954)*(참조!$E$2:$E$15=D954),참조!$C$2:$C$15,"")</f>
        <v/>
      </c>
    </row>
    <row r="955" hidden="1" s="27">
      <c r="A955" s="47" t="inlineStr">
        <is>
          <t>KG모바일</t>
        </is>
      </c>
      <c r="B955" s="47" t="inlineStr">
        <is>
          <t>[모빌카드 스페셜] 데이터 마음대로 (15GB+/100분)</t>
        </is>
      </c>
      <c r="C955" s="47" t="inlineStr">
        <is>
          <t>100분</t>
        </is>
      </c>
      <c r="D955" s="47" t="inlineStr">
        <is>
          <t>100건</t>
        </is>
      </c>
      <c r="E955" s="47" t="inlineStr">
        <is>
          <t>월 15GB + 3Mbps</t>
        </is>
      </c>
      <c r="F955" s="47" t="inlineStr">
        <is>
          <t>LG U+</t>
        </is>
      </c>
      <c r="G955" s="47" t="inlineStr">
        <is>
          <t>LTE</t>
        </is>
      </c>
      <c r="H955" s="48" t="n">
        <v>15000</v>
      </c>
      <c r="I955" s="48" t="n">
        <v>7</v>
      </c>
      <c r="J955" s="48" t="n">
        <v>33000</v>
      </c>
      <c r="K955" s="47">
        <f t="array" ref="K955">_xlfn.XLOOKUP(1,(참조!$B$2:$B$15=E955)*(참조!$D$2:$D$15=C955)*(참조!$E$2:$E$15=D955),참조!$C$2:$C$15,"")</f>
        <v/>
      </c>
    </row>
    <row r="956" hidden="1" s="27">
      <c r="A956" s="47" t="inlineStr">
        <is>
          <t>이야기모바일</t>
        </is>
      </c>
      <c r="B956" s="47" t="inlineStr">
        <is>
          <t>[모요only] 내맘대로 (100분+1GB)</t>
        </is>
      </c>
      <c r="C956" s="47" t="inlineStr">
        <is>
          <t>100분</t>
        </is>
      </c>
      <c r="D956" s="47" t="inlineStr">
        <is>
          <t>50건</t>
        </is>
      </c>
      <c r="E956" s="47" t="inlineStr">
        <is>
          <t>월 1GB</t>
        </is>
      </c>
      <c r="F956" s="47" t="inlineStr">
        <is>
          <t>LG U+</t>
        </is>
      </c>
      <c r="G956" s="47" t="inlineStr">
        <is>
          <t>LTE</t>
        </is>
      </c>
      <c r="H956" s="48" t="n">
        <v>5390</v>
      </c>
      <c r="I956" s="48" t="n"/>
      <c r="J956" s="48" t="n"/>
      <c r="K956" s="47">
        <f t="array" ref="K956">_xlfn.XLOOKUP(1,(참조!$B$2:$B$15=E956)*(참조!$D$2:$D$15=C956)*(참조!$E$2:$E$15=D956),참조!$C$2:$C$15,"")</f>
        <v/>
      </c>
    </row>
    <row r="957" hidden="1" s="27">
      <c r="A957" s="47" t="inlineStr">
        <is>
          <t>에이모바일</t>
        </is>
      </c>
      <c r="B957" s="47" t="inlineStr">
        <is>
          <t>A 넥스트 71GB+</t>
        </is>
      </c>
      <c r="C957" s="47" t="inlineStr">
        <is>
          <t>무제한</t>
        </is>
      </c>
      <c r="D957" s="47" t="inlineStr">
        <is>
          <t>무제한</t>
        </is>
      </c>
      <c r="E957" s="47" t="inlineStr">
        <is>
          <t>월 11GB + 매일 2GB + 3Mbps</t>
        </is>
      </c>
      <c r="F957" s="47" t="inlineStr">
        <is>
          <t>SKT</t>
        </is>
      </c>
      <c r="G957" s="47" t="inlineStr">
        <is>
          <t>LTE</t>
        </is>
      </c>
      <c r="H957" s="48" t="n">
        <v>5000</v>
      </c>
      <c r="I957" s="48" t="n">
        <v>7</v>
      </c>
      <c r="J957" s="48" t="n">
        <v>36300</v>
      </c>
      <c r="K957" s="47">
        <f t="array" ref="K957">_xlfn.XLOOKUP(1,(참조!$B$2:$B$15=E957)*(참조!$D$2:$D$15=C957)*(참조!$E$2:$E$15=D957),참조!$C$2:$C$15,"")</f>
        <v/>
      </c>
    </row>
    <row r="958" hidden="1" s="27">
      <c r="A958" s="47" t="inlineStr">
        <is>
          <t>티플러스</t>
        </is>
      </c>
      <c r="B958" s="47" t="inlineStr">
        <is>
          <t>티플 외국인 7GB＋3Mbps_평생요금</t>
        </is>
      </c>
      <c r="C958" s="47" t="inlineStr">
        <is>
          <t>500분</t>
        </is>
      </c>
      <c r="D958" s="47" t="inlineStr">
        <is>
          <t>500건</t>
        </is>
      </c>
      <c r="E958" s="47" t="inlineStr">
        <is>
          <t>월 7GB + 3Mbps</t>
        </is>
      </c>
      <c r="F958" s="47" t="inlineStr">
        <is>
          <t>LG U+</t>
        </is>
      </c>
      <c r="G958" s="47" t="inlineStr">
        <is>
          <t>LTE</t>
        </is>
      </c>
      <c r="H958" s="48" t="n">
        <v>16500</v>
      </c>
      <c r="I958" s="48" t="n"/>
      <c r="J958" s="48" t="n"/>
      <c r="K958" s="47">
        <f t="array" ref="K958">_xlfn.XLOOKUP(1,(참조!$B$2:$B$15=E958)*(참조!$D$2:$D$15=C958)*(참조!$E$2:$E$15=D958),참조!$C$2:$C$15,"")</f>
        <v/>
      </c>
    </row>
    <row r="959" hidden="1" s="27">
      <c r="A959" s="47" t="inlineStr">
        <is>
          <t>이야기모바일</t>
        </is>
      </c>
      <c r="B959" s="47" t="inlineStr">
        <is>
          <t>내맘대로 차단형 (50분+500MB)</t>
        </is>
      </c>
      <c r="C959" s="47" t="inlineStr">
        <is>
          <t>50분</t>
        </is>
      </c>
      <c r="D959" s="47" t="inlineStr">
        <is>
          <t>50건</t>
        </is>
      </c>
      <c r="E959" s="47" t="inlineStr">
        <is>
          <t>월 500MB</t>
        </is>
      </c>
      <c r="F959" s="47" t="inlineStr">
        <is>
          <t>LG U+</t>
        </is>
      </c>
      <c r="G959" s="47" t="inlineStr">
        <is>
          <t>LTE</t>
        </is>
      </c>
      <c r="H959" s="48" t="n">
        <v>4950</v>
      </c>
      <c r="I959" s="48" t="n"/>
      <c r="J959" s="48" t="n"/>
      <c r="K959" s="47">
        <f t="array" ref="K959">_xlfn.XLOOKUP(1,(참조!$B$2:$B$15=E959)*(참조!$D$2:$D$15=C959)*(참조!$E$2:$E$15=D959),참조!$C$2:$C$15,"")</f>
        <v/>
      </c>
    </row>
    <row r="960" hidden="1" s="27">
      <c r="A960" s="47" t="inlineStr">
        <is>
          <t>스마텔</t>
        </is>
      </c>
      <c r="B960" s="47" t="inlineStr">
        <is>
          <t>LTE 음성무제한 15GB</t>
        </is>
      </c>
      <c r="C960" s="47" t="inlineStr">
        <is>
          <t>무제한</t>
        </is>
      </c>
      <c r="D960" s="47" t="inlineStr">
        <is>
          <t>200건</t>
        </is>
      </c>
      <c r="E960" s="47" t="inlineStr">
        <is>
          <t>월 15GB</t>
        </is>
      </c>
      <c r="F960" s="47" t="inlineStr">
        <is>
          <t>SKT</t>
        </is>
      </c>
      <c r="G960" s="47" t="inlineStr">
        <is>
          <t>LTE</t>
        </is>
      </c>
      <c r="H960" s="48" t="n">
        <v>8200</v>
      </c>
      <c r="I960" s="48" t="n">
        <v>7</v>
      </c>
      <c r="J960" s="48" t="n">
        <v>23100</v>
      </c>
      <c r="K960" s="47">
        <f t="array" ref="K960">_xlfn.XLOOKUP(1,(참조!$B$2:$B$15=E960)*(참조!$D$2:$D$15=C960)*(참조!$E$2:$E$15=D960),참조!$C$2:$C$15,"")</f>
        <v/>
      </c>
    </row>
    <row r="961" hidden="1" s="27">
      <c r="A961" s="47" t="inlineStr">
        <is>
          <t>티플러스</t>
        </is>
      </c>
      <c r="B961" s="47" t="inlineStr">
        <is>
          <t>티플 15GB+(100분)(이디야커피)</t>
        </is>
      </c>
      <c r="C961" s="47" t="inlineStr">
        <is>
          <t>100분</t>
        </is>
      </c>
      <c r="D961" s="47" t="inlineStr">
        <is>
          <t>100건</t>
        </is>
      </c>
      <c r="E961" s="47" t="inlineStr">
        <is>
          <t>월 15GB + 3Mbps</t>
        </is>
      </c>
      <c r="F961" s="47" t="inlineStr">
        <is>
          <t>SKT</t>
        </is>
      </c>
      <c r="G961" s="47" t="inlineStr">
        <is>
          <t>LTE</t>
        </is>
      </c>
      <c r="H961" s="48" t="n">
        <v>7900</v>
      </c>
      <c r="I961" s="48" t="n">
        <v>7</v>
      </c>
      <c r="J961" s="48" t="n">
        <v>37400</v>
      </c>
      <c r="K961" s="47">
        <f t="array" ref="K961">_xlfn.XLOOKUP(1,(참조!$B$2:$B$15=E961)*(참조!$D$2:$D$15=C961)*(참조!$E$2:$E$15=D961),참조!$C$2:$C$15,"")</f>
        <v/>
      </c>
    </row>
    <row r="962" hidden="1" s="27">
      <c r="A962" s="47" t="inlineStr">
        <is>
          <t>핀다이렉트</t>
        </is>
      </c>
      <c r="B962" s="47" t="inlineStr">
        <is>
          <t>[L] 핀다이렉트Z Speed 180GB+</t>
        </is>
      </c>
      <c r="C962" s="47" t="inlineStr">
        <is>
          <t>무제한</t>
        </is>
      </c>
      <c r="D962" s="47" t="inlineStr">
        <is>
          <t>무제한</t>
        </is>
      </c>
      <c r="E962" s="47" t="inlineStr">
        <is>
          <t>월 180GB + 10Mbps</t>
        </is>
      </c>
      <c r="F962" s="47" t="inlineStr">
        <is>
          <t>LG U+</t>
        </is>
      </c>
      <c r="G962" s="47" t="inlineStr">
        <is>
          <t>5G</t>
        </is>
      </c>
      <c r="H962" s="48" t="n">
        <v>19000</v>
      </c>
      <c r="I962" s="48" t="n">
        <v>7</v>
      </c>
      <c r="J962" s="48" t="n">
        <v>56100</v>
      </c>
      <c r="K962" s="47">
        <f t="array" ref="K962">_xlfn.XLOOKUP(1,(참조!$B$2:$B$15=E962)*(참조!$D$2:$D$15=C962)*(참조!$E$2:$E$15=D962),참조!$C$2:$C$15,"")</f>
        <v/>
      </c>
    </row>
    <row r="963" hidden="1" s="27">
      <c r="A963" s="47" t="inlineStr">
        <is>
          <t>찬스모바일</t>
        </is>
      </c>
      <c r="B963" s="47" t="inlineStr">
        <is>
          <t>실속데이터 100분 10GB</t>
        </is>
      </c>
      <c r="C963" s="47" t="inlineStr">
        <is>
          <t>100분</t>
        </is>
      </c>
      <c r="D963" s="47" t="inlineStr">
        <is>
          <t>100건</t>
        </is>
      </c>
      <c r="E963" s="47" t="inlineStr">
        <is>
          <t>월 10GB</t>
        </is>
      </c>
      <c r="F963" s="47" t="inlineStr">
        <is>
          <t>LG U+</t>
        </is>
      </c>
      <c r="G963" s="47" t="inlineStr">
        <is>
          <t>LTE</t>
        </is>
      </c>
      <c r="H963" s="48" t="n">
        <v>1890</v>
      </c>
      <c r="I963" s="48" t="n">
        <v>6</v>
      </c>
      <c r="J963" s="48" t="n">
        <v>13200</v>
      </c>
      <c r="K963" s="47">
        <f t="array" ref="K963">_xlfn.XLOOKUP(1,(참조!$B$2:$B$15=E963)*(참조!$D$2:$D$15=C963)*(참조!$E$2:$E$15=D963),참조!$C$2:$C$15,"")</f>
        <v/>
      </c>
    </row>
    <row r="964" hidden="1" s="27">
      <c r="A964" s="47" t="inlineStr">
        <is>
          <t>KT스카이라이프</t>
        </is>
      </c>
      <c r="B964" s="47" t="inlineStr">
        <is>
          <t>모두 충분 11GB+(요기요)</t>
        </is>
      </c>
      <c r="C964" s="47" t="inlineStr">
        <is>
          <t>무제한</t>
        </is>
      </c>
      <c r="D964" s="47" t="inlineStr">
        <is>
          <t>무제한</t>
        </is>
      </c>
      <c r="E964" s="47" t="inlineStr">
        <is>
          <t>월 11GB + 매일 2GB + 3Mbps</t>
        </is>
      </c>
      <c r="F964" s="47" t="inlineStr">
        <is>
          <t>KT</t>
        </is>
      </c>
      <c r="G964" s="47" t="inlineStr">
        <is>
          <t>LTE</t>
        </is>
      </c>
      <c r="H964" s="48" t="n">
        <v>36600</v>
      </c>
      <c r="I964" s="48" t="n"/>
      <c r="J964" s="48" t="n"/>
      <c r="K964" s="47">
        <f t="array" ref="K964">_xlfn.XLOOKUP(1,(참조!$B$2:$B$15=E964)*(참조!$D$2:$D$15=C964)*(참조!$E$2:$E$15=D964),참조!$C$2:$C$15,"")</f>
        <v/>
      </c>
    </row>
    <row r="965" hidden="1" s="27">
      <c r="A965" s="47" t="inlineStr">
        <is>
          <t>에이모바일</t>
        </is>
      </c>
      <c r="B965" s="47" t="inlineStr">
        <is>
          <t>A 스페셜 11GB+ (24개월)</t>
        </is>
      </c>
      <c r="C965" s="47" t="inlineStr">
        <is>
          <t>무제한</t>
        </is>
      </c>
      <c r="D965" s="47" t="inlineStr">
        <is>
          <t>무제한</t>
        </is>
      </c>
      <c r="E965" s="47" t="inlineStr">
        <is>
          <t>월 11GB + 매일 2GB + 3Mbps</t>
        </is>
      </c>
      <c r="F965" s="47" t="inlineStr">
        <is>
          <t>LG U+</t>
        </is>
      </c>
      <c r="G965" s="47" t="inlineStr">
        <is>
          <t>LTE</t>
        </is>
      </c>
      <c r="H965" s="48" t="n">
        <v>23990</v>
      </c>
      <c r="I965" s="48" t="n">
        <v>24</v>
      </c>
      <c r="J965" s="48" t="n">
        <v>36300</v>
      </c>
      <c r="K965" s="47">
        <f t="array" ref="K965">_xlfn.XLOOKUP(1,(참조!$B$2:$B$15=E965)*(참조!$D$2:$D$15=C965)*(참조!$E$2:$E$15=D965),참조!$C$2:$C$15,"")</f>
        <v/>
      </c>
    </row>
    <row r="966" hidden="1" s="27">
      <c r="A966" s="47" t="inlineStr">
        <is>
          <t>슈가모바일</t>
        </is>
      </c>
      <c r="B966" s="47" t="inlineStr">
        <is>
          <t>슈가안심차단150분500M</t>
        </is>
      </c>
      <c r="C966" s="47" t="inlineStr">
        <is>
          <t>150분</t>
        </is>
      </c>
      <c r="D966" s="47" t="inlineStr">
        <is>
          <t>50건</t>
        </is>
      </c>
      <c r="E966" s="47" t="inlineStr">
        <is>
          <t>월 500MB</t>
        </is>
      </c>
      <c r="F966" s="47" t="inlineStr">
        <is>
          <t>LG U+</t>
        </is>
      </c>
      <c r="G966" s="47" t="inlineStr">
        <is>
          <t>LTE</t>
        </is>
      </c>
      <c r="H966" s="48" t="n">
        <v>2800</v>
      </c>
      <c r="I966" s="48" t="n"/>
      <c r="J966" s="48" t="n"/>
      <c r="K966" s="47">
        <f t="array" ref="K966">_xlfn.XLOOKUP(1,(참조!$B$2:$B$15=E966)*(참조!$D$2:$D$15=C966)*(참조!$E$2:$E$15=D966),참조!$C$2:$C$15,"")</f>
        <v/>
      </c>
    </row>
    <row r="967" hidden="1" s="27">
      <c r="A967" s="47" t="inlineStr">
        <is>
          <t>이지모바일</t>
        </is>
      </c>
      <c r="B967" s="47" t="inlineStr">
        <is>
          <t>이지 오래쓰는 무제한 5G+1</t>
        </is>
      </c>
      <c r="C967" s="47" t="inlineStr">
        <is>
          <t>무제한</t>
        </is>
      </c>
      <c r="D967" s="47" t="inlineStr">
        <is>
          <t>무제한</t>
        </is>
      </c>
      <c r="E967" s="47" t="inlineStr">
        <is>
          <t>월 5GB + 1Mbps</t>
        </is>
      </c>
      <c r="F967" s="47" t="inlineStr">
        <is>
          <t>LG U+</t>
        </is>
      </c>
      <c r="G967" s="47" t="inlineStr">
        <is>
          <t>LTE</t>
        </is>
      </c>
      <c r="H967" s="48" t="n">
        <v>4620</v>
      </c>
      <c r="I967" s="48" t="n">
        <v>12</v>
      </c>
      <c r="J967" s="48" t="n">
        <v>16500</v>
      </c>
      <c r="K967" s="47">
        <f t="array" ref="K967">_xlfn.XLOOKUP(1,(참조!$B$2:$B$15=E967)*(참조!$D$2:$D$15=C967)*(참조!$E$2:$E$15=D967),참조!$C$2:$C$15,"")</f>
        <v/>
      </c>
    </row>
    <row r="968" hidden="1" s="27">
      <c r="A968" s="47" t="inlineStr">
        <is>
          <t>인스모바일</t>
        </is>
      </c>
      <c r="B968" s="47" t="inlineStr">
        <is>
          <t>[평생할인]실속 200분+2GB(USIM)</t>
        </is>
      </c>
      <c r="C968" s="47" t="inlineStr">
        <is>
          <t>200분</t>
        </is>
      </c>
      <c r="D968" s="47" t="inlineStr">
        <is>
          <t>50건</t>
        </is>
      </c>
      <c r="E968" s="47" t="inlineStr">
        <is>
          <t>월 2GB</t>
        </is>
      </c>
      <c r="F968" s="47" t="inlineStr">
        <is>
          <t>LG U+</t>
        </is>
      </c>
      <c r="G968" s="47" t="inlineStr">
        <is>
          <t>LTE</t>
        </is>
      </c>
      <c r="H968" s="48" t="n">
        <v>2530</v>
      </c>
      <c r="I968" s="48" t="n"/>
      <c r="J968" s="48" t="n"/>
      <c r="K968" s="47">
        <f t="array" ref="K968">_xlfn.XLOOKUP(1,(참조!$B$2:$B$15=E968)*(참조!$D$2:$D$15=C968)*(참조!$E$2:$E$15=D968),참조!$C$2:$C$15,"")</f>
        <v/>
      </c>
    </row>
    <row r="969" hidden="1" s="27">
      <c r="A969" s="47" t="inlineStr">
        <is>
          <t>이야기모바일</t>
        </is>
      </c>
      <c r="B969" s="47" t="inlineStr">
        <is>
          <t>이야기S 쇼핑케어 100GB+</t>
        </is>
      </c>
      <c r="C969" s="47" t="inlineStr">
        <is>
          <t>무제한</t>
        </is>
      </c>
      <c r="D969" s="47" t="inlineStr">
        <is>
          <t>무제한</t>
        </is>
      </c>
      <c r="E969" s="47" t="inlineStr">
        <is>
          <t>월 100GB + 5Mbps</t>
        </is>
      </c>
      <c r="F969" s="47" t="inlineStr">
        <is>
          <t>SKT</t>
        </is>
      </c>
      <c r="G969" s="47" t="inlineStr">
        <is>
          <t>LTE</t>
        </is>
      </c>
      <c r="H969" s="48" t="n">
        <v>18700</v>
      </c>
      <c r="I969" s="48" t="n">
        <v>7</v>
      </c>
      <c r="J969" s="48" t="n">
        <v>49500</v>
      </c>
      <c r="K969" s="47">
        <f t="array" ref="K969">_xlfn.XLOOKUP(1,(참조!$B$2:$B$15=E969)*(참조!$D$2:$D$15=C969)*(참조!$E$2:$E$15=D969),참조!$C$2:$C$15,"")</f>
        <v/>
      </c>
    </row>
    <row r="970" hidden="1" s="27">
      <c r="A970" s="47" t="inlineStr">
        <is>
          <t>티플러스</t>
        </is>
      </c>
      <c r="B970" s="47" t="inlineStr">
        <is>
          <t>The 완전마음껏 15GB＋</t>
        </is>
      </c>
      <c r="C970" s="47" t="inlineStr">
        <is>
          <t>무제한</t>
        </is>
      </c>
      <c r="D970" s="47" t="inlineStr">
        <is>
          <t>무제한</t>
        </is>
      </c>
      <c r="E970" s="47" t="inlineStr">
        <is>
          <t>월 15GB + 1Mbps</t>
        </is>
      </c>
      <c r="F970" s="47" t="inlineStr">
        <is>
          <t>KT</t>
        </is>
      </c>
      <c r="G970" s="47" t="inlineStr">
        <is>
          <t>LTE</t>
        </is>
      </c>
      <c r="H970" s="48" t="n">
        <v>13900</v>
      </c>
      <c r="I970" s="48" t="n">
        <v>7</v>
      </c>
      <c r="J970" s="48" t="n">
        <v>29700</v>
      </c>
      <c r="K970" s="47">
        <f t="array" ref="K970">_xlfn.XLOOKUP(1,(참조!$B$2:$B$15=E970)*(참조!$D$2:$D$15=C970)*(참조!$E$2:$E$15=D970),참조!$C$2:$C$15,"")</f>
        <v/>
      </c>
    </row>
    <row r="971" hidden="1" s="27">
      <c r="A971" s="47" t="inlineStr">
        <is>
          <t>티플러스</t>
        </is>
      </c>
      <c r="B971" s="47" t="inlineStr">
        <is>
          <t>티플온 15G＋</t>
        </is>
      </c>
      <c r="C971" s="47" t="inlineStr">
        <is>
          <t>무제한</t>
        </is>
      </c>
      <c r="D971" s="47" t="inlineStr">
        <is>
          <t>무제한</t>
        </is>
      </c>
      <c r="E971" s="47" t="inlineStr">
        <is>
          <t>월 15GB + 1Mbps</t>
        </is>
      </c>
      <c r="F971" s="47" t="inlineStr">
        <is>
          <t>LG U+</t>
        </is>
      </c>
      <c r="G971" s="47" t="inlineStr">
        <is>
          <t>LTE</t>
        </is>
      </c>
      <c r="H971" s="48" t="n">
        <v>7900</v>
      </c>
      <c r="I971" s="48" t="n">
        <v>7</v>
      </c>
      <c r="J971" s="48" t="n">
        <v>35200</v>
      </c>
      <c r="K971" s="47">
        <f t="array" ref="K971">_xlfn.XLOOKUP(1,(참조!$B$2:$B$15=E971)*(참조!$D$2:$D$15=C971)*(참조!$E$2:$E$15=D971),참조!$C$2:$C$15,"")</f>
        <v/>
      </c>
    </row>
    <row r="972" hidden="1" s="27">
      <c r="A972" s="47" t="inlineStr">
        <is>
          <t>이야기모바일</t>
        </is>
      </c>
      <c r="B972" s="47" t="inlineStr">
        <is>
          <t>이야기S 피싱케어 100GB+</t>
        </is>
      </c>
      <c r="C972" s="47" t="inlineStr">
        <is>
          <t>무제한</t>
        </is>
      </c>
      <c r="D972" s="47" t="inlineStr">
        <is>
          <t>무제한</t>
        </is>
      </c>
      <c r="E972" s="47" t="inlineStr">
        <is>
          <t>월 100GB + 5Mbps</t>
        </is>
      </c>
      <c r="F972" s="47" t="inlineStr">
        <is>
          <t>SKT</t>
        </is>
      </c>
      <c r="G972" s="47" t="inlineStr">
        <is>
          <t>LTE</t>
        </is>
      </c>
      <c r="H972" s="48" t="n">
        <v>18700</v>
      </c>
      <c r="I972" s="48" t="n">
        <v>7</v>
      </c>
      <c r="J972" s="48" t="n">
        <v>49500</v>
      </c>
      <c r="K972" s="47">
        <f t="array" ref="K972">_xlfn.XLOOKUP(1,(참조!$B$2:$B$15=E972)*(참조!$D$2:$D$15=C972)*(참조!$E$2:$E$15=D972),참조!$C$2:$C$15,"")</f>
        <v/>
      </c>
    </row>
    <row r="973" hidden="1" s="27">
      <c r="A973" s="47" t="inlineStr">
        <is>
          <t>이야기모바일</t>
        </is>
      </c>
      <c r="B973" s="47" t="inlineStr">
        <is>
          <t>이야기S 라이프케어 100GB+</t>
        </is>
      </c>
      <c r="C973" s="47" t="inlineStr">
        <is>
          <t>무제한</t>
        </is>
      </c>
      <c r="D973" s="47" t="inlineStr">
        <is>
          <t>무제한</t>
        </is>
      </c>
      <c r="E973" s="47" t="inlineStr">
        <is>
          <t>월 100GB + 5Mbps</t>
        </is>
      </c>
      <c r="F973" s="47" t="inlineStr">
        <is>
          <t>SKT</t>
        </is>
      </c>
      <c r="G973" s="47" t="inlineStr">
        <is>
          <t>LTE</t>
        </is>
      </c>
      <c r="H973" s="48" t="n">
        <v>18700</v>
      </c>
      <c r="I973" s="48" t="n">
        <v>7</v>
      </c>
      <c r="J973" s="48" t="n">
        <v>49500</v>
      </c>
      <c r="K973" s="47">
        <f t="array" ref="K973">_xlfn.XLOOKUP(1,(참조!$B$2:$B$15=E973)*(참조!$D$2:$D$15=C973)*(참조!$E$2:$E$15=D973),참조!$C$2:$C$15,"")</f>
        <v/>
      </c>
    </row>
    <row r="974" hidden="1" s="27">
      <c r="A974" s="47" t="inlineStr">
        <is>
          <t>모빙</t>
        </is>
      </c>
      <c r="B974" s="47" t="inlineStr">
        <is>
          <t>실속 300분7GB</t>
        </is>
      </c>
      <c r="C974" s="47" t="inlineStr">
        <is>
          <t>300분</t>
        </is>
      </c>
      <c r="D974" s="47" t="inlineStr">
        <is>
          <t>300건</t>
        </is>
      </c>
      <c r="E974" s="47" t="inlineStr">
        <is>
          <t>월 7GB</t>
        </is>
      </c>
      <c r="F974" s="47" t="inlineStr">
        <is>
          <t>LG U+</t>
        </is>
      </c>
      <c r="G974" s="47" t="inlineStr">
        <is>
          <t>LTE</t>
        </is>
      </c>
      <c r="H974" s="48" t="n">
        <v>4400</v>
      </c>
      <c r="I974" s="48" t="n"/>
      <c r="J974" s="48" t="n"/>
      <c r="K974" s="47">
        <f t="array" ref="K974">_xlfn.XLOOKUP(1,(참조!$B$2:$B$15=E974)*(참조!$D$2:$D$15=C974)*(참조!$E$2:$E$15=D974),참조!$C$2:$C$15,"")</f>
        <v/>
      </c>
    </row>
    <row r="975" hidden="1" s="27">
      <c r="A975" s="47" t="inlineStr">
        <is>
          <t>에이모바일</t>
        </is>
      </c>
      <c r="B975" s="47" t="inlineStr">
        <is>
          <t>A 스페셜 100GB+</t>
        </is>
      </c>
      <c r="C975" s="47" t="inlineStr">
        <is>
          <t>무제한</t>
        </is>
      </c>
      <c r="D975" s="47" t="inlineStr">
        <is>
          <t>무제한</t>
        </is>
      </c>
      <c r="E975" s="47" t="inlineStr">
        <is>
          <t>월 100GB + 5Mbps</t>
        </is>
      </c>
      <c r="F975" s="47" t="inlineStr">
        <is>
          <t>LG U+</t>
        </is>
      </c>
      <c r="G975" s="47" t="inlineStr">
        <is>
          <t>LTE</t>
        </is>
      </c>
      <c r="H975" s="48" t="n">
        <v>6600</v>
      </c>
      <c r="I975" s="48" t="n">
        <v>7</v>
      </c>
      <c r="J975" s="48" t="n">
        <v>46200</v>
      </c>
      <c r="K975" s="47">
        <f t="array" ref="K975">_xlfn.XLOOKUP(1,(참조!$B$2:$B$15=E975)*(참조!$D$2:$D$15=C975)*(참조!$E$2:$E$15=D975),참조!$C$2:$C$15,"")</f>
        <v/>
      </c>
    </row>
    <row r="976" hidden="1" s="27">
      <c r="A976" s="47" t="inlineStr">
        <is>
          <t>쉐이크모바일</t>
        </is>
      </c>
      <c r="B976" s="47" t="inlineStr">
        <is>
          <t>[모요only] 쉐이크 LTE 7GB+_지니뮤직</t>
        </is>
      </c>
      <c r="C976" s="47" t="inlineStr">
        <is>
          <t>무제한</t>
        </is>
      </c>
      <c r="D976" s="47" t="inlineStr">
        <is>
          <t>무제한</t>
        </is>
      </c>
      <c r="E976" s="47" t="inlineStr">
        <is>
          <t>월 7GB + 1Mbps</t>
        </is>
      </c>
      <c r="F976" s="47" t="inlineStr">
        <is>
          <t>KT</t>
        </is>
      </c>
      <c r="G976" s="47" t="inlineStr">
        <is>
          <t>LTE</t>
        </is>
      </c>
      <c r="H976" s="48" t="n">
        <v>16000</v>
      </c>
      <c r="I976" s="48" t="n">
        <v>12</v>
      </c>
      <c r="J976" s="48" t="n">
        <v>25300</v>
      </c>
      <c r="K976" s="47">
        <f t="array" ref="K976">_xlfn.XLOOKUP(1,(참조!$B$2:$B$15=E976)*(참조!$D$2:$D$15=C976)*(참조!$E$2:$E$15=D976),참조!$C$2:$C$15,"")</f>
        <v/>
      </c>
    </row>
    <row r="977" hidden="1" s="27">
      <c r="A977" s="47" t="inlineStr">
        <is>
          <t>스마텔</t>
        </is>
      </c>
      <c r="B977" s="47" t="inlineStr">
        <is>
          <t>우주LTE데이터(11GB+)</t>
        </is>
      </c>
      <c r="C977" s="47" t="inlineStr">
        <is>
          <t>무제한</t>
        </is>
      </c>
      <c r="D977" s="47" t="inlineStr">
        <is>
          <t>무제한</t>
        </is>
      </c>
      <c r="E977" s="47" t="inlineStr">
        <is>
          <t>월 11GB + 매일 2GB + 3Mbps</t>
        </is>
      </c>
      <c r="F977" s="47" t="inlineStr">
        <is>
          <t>LG U+</t>
        </is>
      </c>
      <c r="G977" s="47" t="inlineStr">
        <is>
          <t>LTE</t>
        </is>
      </c>
      <c r="H977" s="48" t="n">
        <v>35000</v>
      </c>
      <c r="I977" s="48" t="n"/>
      <c r="J977" s="48" t="n"/>
      <c r="K977" s="47">
        <f t="array" ref="K977">_xlfn.XLOOKUP(1,(참조!$B$2:$B$15=E977)*(참조!$D$2:$D$15=C977)*(참조!$E$2:$E$15=D977),참조!$C$2:$C$15,"")</f>
        <v/>
      </c>
    </row>
    <row r="978" hidden="1" s="27">
      <c r="A978" s="47" t="inlineStr">
        <is>
          <t>KT스카이라이프</t>
        </is>
      </c>
      <c r="B978" s="47" t="inlineStr">
        <is>
          <t>5G 모두 충분 200GB+(밀리의서재)</t>
        </is>
      </c>
      <c r="C978" s="47" t="inlineStr">
        <is>
          <t>무제한</t>
        </is>
      </c>
      <c r="D978" s="47" t="inlineStr">
        <is>
          <t>무제한</t>
        </is>
      </c>
      <c r="E978" s="47" t="inlineStr">
        <is>
          <t>월 200GB + 10Mbps</t>
        </is>
      </c>
      <c r="F978" s="47" t="inlineStr">
        <is>
          <t>KT</t>
        </is>
      </c>
      <c r="G978" s="47" t="inlineStr">
        <is>
          <t>5G</t>
        </is>
      </c>
      <c r="H978" s="48" t="n">
        <v>49300</v>
      </c>
      <c r="I978" s="48" t="n"/>
      <c r="J978" s="48" t="n"/>
      <c r="K978" s="47">
        <f t="array" ref="K978">_xlfn.XLOOKUP(1,(참조!$B$2:$B$15=E978)*(참조!$D$2:$D$15=C978)*(참조!$E$2:$E$15=D978),참조!$C$2:$C$15,"")</f>
        <v/>
      </c>
    </row>
    <row r="979" hidden="1" s="27">
      <c r="A979" s="47" t="inlineStr">
        <is>
          <t>인스모바일</t>
        </is>
      </c>
      <c r="B979" s="47" t="inlineStr">
        <is>
          <t>실속 150분+1GB(USIM)</t>
        </is>
      </c>
      <c r="C979" s="47" t="inlineStr">
        <is>
          <t>150분</t>
        </is>
      </c>
      <c r="D979" s="47" t="inlineStr">
        <is>
          <t>50건</t>
        </is>
      </c>
      <c r="E979" s="47" t="inlineStr">
        <is>
          <t>월 1GB</t>
        </is>
      </c>
      <c r="F979" s="47" t="inlineStr">
        <is>
          <t>LG U+</t>
        </is>
      </c>
      <c r="G979" s="47" t="inlineStr">
        <is>
          <t>LTE</t>
        </is>
      </c>
      <c r="H979" s="48" t="n">
        <v>1100</v>
      </c>
      <c r="I979" s="48" t="n">
        <v>6</v>
      </c>
      <c r="J979" s="48" t="n">
        <v>8800</v>
      </c>
      <c r="K979" s="47">
        <f t="array" ref="K979">_xlfn.XLOOKUP(1,(참조!$B$2:$B$15=E979)*(참조!$D$2:$D$15=C979)*(참조!$E$2:$E$15=D979),참조!$C$2:$C$15,"")</f>
        <v/>
      </c>
    </row>
    <row r="980" hidden="1" s="27">
      <c r="A980" s="47" t="inlineStr">
        <is>
          <t>티플러스</t>
        </is>
      </c>
      <c r="B980" s="47" t="inlineStr">
        <is>
          <t>The 완전마음껏 100GB＋</t>
        </is>
      </c>
      <c r="C980" s="47" t="inlineStr">
        <is>
          <t>무제한</t>
        </is>
      </c>
      <c r="D980" s="47" t="inlineStr">
        <is>
          <t>무제한</t>
        </is>
      </c>
      <c r="E980" s="47" t="inlineStr">
        <is>
          <t>월 100GB + 5Mbps</t>
        </is>
      </c>
      <c r="F980" s="47" t="inlineStr">
        <is>
          <t>SKT</t>
        </is>
      </c>
      <c r="G980" s="47" t="inlineStr">
        <is>
          <t>LTE</t>
        </is>
      </c>
      <c r="H980" s="48" t="n">
        <v>18900</v>
      </c>
      <c r="I980" s="48" t="n">
        <v>7</v>
      </c>
      <c r="J980" s="48" t="n">
        <v>48400</v>
      </c>
      <c r="K980" s="47">
        <f t="array" ref="K980">_xlfn.XLOOKUP(1,(참조!$B$2:$B$15=E980)*(참조!$D$2:$D$15=C980)*(참조!$E$2:$E$15=D980),참조!$C$2:$C$15,"")</f>
        <v/>
      </c>
    </row>
    <row r="981" hidden="1" s="27">
      <c r="A981" s="47" t="inlineStr">
        <is>
          <t>아이즈모바일</t>
        </is>
      </c>
      <c r="B981" s="47" t="inlineStr">
        <is>
          <t>[K]5G 울트라(300분/20GB)</t>
        </is>
      </c>
      <c r="C981" s="47" t="inlineStr">
        <is>
          <t>300분</t>
        </is>
      </c>
      <c r="D981" s="47" t="inlineStr">
        <is>
          <t>200건</t>
        </is>
      </c>
      <c r="E981" s="47" t="inlineStr">
        <is>
          <t>월 20GB</t>
        </is>
      </c>
      <c r="F981" s="47" t="inlineStr">
        <is>
          <t>KT</t>
        </is>
      </c>
      <c r="G981" s="47" t="inlineStr">
        <is>
          <t>5G</t>
        </is>
      </c>
      <c r="H981" s="48" t="n">
        <v>6500</v>
      </c>
      <c r="I981" s="48" t="n"/>
      <c r="J981" s="48" t="n"/>
      <c r="K981" s="47">
        <f t="array" ref="K981">_xlfn.XLOOKUP(1,(참조!$B$2:$B$15=E981)*(참조!$D$2:$D$15=C981)*(참조!$E$2:$E$15=D981),참조!$C$2:$C$15,"")</f>
        <v/>
      </c>
    </row>
    <row r="982" hidden="1" s="27">
      <c r="A982" s="47" t="inlineStr">
        <is>
          <t>더원모바일</t>
        </is>
      </c>
      <c r="B982" s="47" t="inlineStr">
        <is>
          <t>TOP 5G 200GB 기본 (웨이브 광고형)</t>
        </is>
      </c>
      <c r="C982" s="47" t="inlineStr">
        <is>
          <t>무제한</t>
        </is>
      </c>
      <c r="D982" s="47" t="inlineStr">
        <is>
          <t>무제한</t>
        </is>
      </c>
      <c r="E982" s="47" t="inlineStr">
        <is>
          <t>월 200GB + 10Mbps</t>
        </is>
      </c>
      <c r="F982" s="47" t="inlineStr">
        <is>
          <t>KT</t>
        </is>
      </c>
      <c r="G982" s="47" t="inlineStr">
        <is>
          <t>5G</t>
        </is>
      </c>
      <c r="H982" s="48" t="n">
        <v>33000</v>
      </c>
      <c r="I982" s="48" t="n">
        <v>12</v>
      </c>
      <c r="J982" s="48" t="n">
        <v>55000</v>
      </c>
      <c r="K982" s="47">
        <f t="array" ref="K982">_xlfn.XLOOKUP(1,(참조!$B$2:$B$15=E982)*(참조!$D$2:$D$15=C982)*(참조!$E$2:$E$15=D982),참조!$C$2:$C$15,"")</f>
        <v/>
      </c>
    </row>
    <row r="983" hidden="1" s="27">
      <c r="A983" s="47" t="inlineStr">
        <is>
          <t>더원모바일</t>
        </is>
      </c>
      <c r="B983" s="47" t="inlineStr">
        <is>
          <t>TOP 5G 200GB 기본 (올리브영)</t>
        </is>
      </c>
      <c r="C983" s="47" t="inlineStr">
        <is>
          <t>무제한</t>
        </is>
      </c>
      <c r="D983" s="47" t="inlineStr">
        <is>
          <t>무제한</t>
        </is>
      </c>
      <c r="E983" s="47" t="inlineStr">
        <is>
          <t>월 200GB + 10Mbps</t>
        </is>
      </c>
      <c r="F983" s="47" t="inlineStr">
        <is>
          <t>KT</t>
        </is>
      </c>
      <c r="G983" s="47" t="inlineStr">
        <is>
          <t>5G</t>
        </is>
      </c>
      <c r="H983" s="48" t="n">
        <v>33000</v>
      </c>
      <c r="I983" s="48" t="n">
        <v>12</v>
      </c>
      <c r="J983" s="48" t="n">
        <v>55000</v>
      </c>
      <c r="K983" s="47">
        <f t="array" ref="K983">_xlfn.XLOOKUP(1,(참조!$B$2:$B$15=E983)*(참조!$D$2:$D$15=C983)*(참조!$E$2:$E$15=D983),참조!$C$2:$C$15,"")</f>
        <v/>
      </c>
    </row>
    <row r="984">
      <c r="A984" s="47" t="inlineStr">
        <is>
          <t>아이즈모바일</t>
        </is>
      </c>
      <c r="B984" s="47" t="inlineStr">
        <is>
          <t>세이브머니유심(100분/5GB)</t>
        </is>
      </c>
      <c r="C984" s="47" t="inlineStr">
        <is>
          <t>100분</t>
        </is>
      </c>
      <c r="D984" s="47" t="inlineStr">
        <is>
          <t>50건</t>
        </is>
      </c>
      <c r="E984" s="47" t="inlineStr">
        <is>
          <t>월 5GB</t>
        </is>
      </c>
      <c r="F984" s="47" t="inlineStr">
        <is>
          <t>LG U+</t>
        </is>
      </c>
      <c r="G984" s="47" t="inlineStr">
        <is>
          <t>LTE</t>
        </is>
      </c>
      <c r="H984" s="48" t="n">
        <v>500</v>
      </c>
      <c r="I984" s="48" t="n"/>
      <c r="J984" s="48" t="n"/>
      <c r="K984" s="47">
        <f t="array" ref="K984">_xlfn.XLOOKUP(1,(참조!$B$2:$B$15=E984)*(참조!$D$2:$D$15=C984)*(참조!$E$2:$E$15=D984),참조!$C$2:$C$15,"")</f>
        <v/>
      </c>
    </row>
    <row r="985" hidden="1" s="27">
      <c r="A985" s="47" t="inlineStr">
        <is>
          <t>티플러스</t>
        </is>
      </c>
      <c r="B985" s="47" t="inlineStr">
        <is>
          <t>KT 15GB+ (CU 매월 20%+올리브영 매월 5천원 상품권!)</t>
        </is>
      </c>
      <c r="C985" s="47" t="inlineStr">
        <is>
          <t>무제한</t>
        </is>
      </c>
      <c r="D985" s="47" t="inlineStr">
        <is>
          <t>무제한</t>
        </is>
      </c>
      <c r="E985" s="47" t="inlineStr">
        <is>
          <t>월 15GB + 1Mbps</t>
        </is>
      </c>
      <c r="F985" s="47" t="inlineStr">
        <is>
          <t>KT</t>
        </is>
      </c>
      <c r="G985" s="47" t="inlineStr">
        <is>
          <t>LTE</t>
        </is>
      </c>
      <c r="H985" s="48" t="n">
        <v>12900</v>
      </c>
      <c r="I985" s="48" t="n">
        <v>7</v>
      </c>
      <c r="J985" s="48" t="n">
        <v>31900</v>
      </c>
      <c r="K985" s="47">
        <f t="array" ref="K985">_xlfn.XLOOKUP(1,(참조!$B$2:$B$15=E985)*(참조!$D$2:$D$15=C985)*(참조!$E$2:$E$15=D985),참조!$C$2:$C$15,"")</f>
        <v/>
      </c>
    </row>
    <row r="986" hidden="1" s="27">
      <c r="A986" s="47" t="inlineStr">
        <is>
          <t>KT스카이라이프</t>
        </is>
      </c>
      <c r="B986" s="47" t="inlineStr">
        <is>
          <t>5G 모두 충분 50GB+</t>
        </is>
      </c>
      <c r="C986" s="47" t="inlineStr">
        <is>
          <t>무제한</t>
        </is>
      </c>
      <c r="D986" s="47" t="inlineStr">
        <is>
          <t>무제한</t>
        </is>
      </c>
      <c r="E986" s="47" t="inlineStr">
        <is>
          <t>월 50GB + 1Mbps</t>
        </is>
      </c>
      <c r="F986" s="47" t="inlineStr">
        <is>
          <t>KT</t>
        </is>
      </c>
      <c r="G986" s="47" t="inlineStr">
        <is>
          <t>5G</t>
        </is>
      </c>
      <c r="H986" s="48" t="n">
        <v>38500</v>
      </c>
      <c r="I986" s="48" t="n"/>
      <c r="J986" s="48" t="n"/>
      <c r="K986" s="47">
        <f t="array" ref="K986">_xlfn.XLOOKUP(1,(참조!$B$2:$B$15=E986)*(참조!$D$2:$D$15=C986)*(참조!$E$2:$E$15=D986),참조!$C$2:$C$15,"")</f>
        <v/>
      </c>
    </row>
    <row r="987" hidden="1" s="27">
      <c r="A987" s="47" t="inlineStr">
        <is>
          <t>스마텔</t>
        </is>
      </c>
      <c r="B987" s="47" t="inlineStr">
        <is>
          <t>스마트 10GB+ (24개월)</t>
        </is>
      </c>
      <c r="C987" s="47" t="inlineStr">
        <is>
          <t>무제한</t>
        </is>
      </c>
      <c r="D987" s="47" t="inlineStr">
        <is>
          <t>무제한</t>
        </is>
      </c>
      <c r="E987" s="47" t="inlineStr">
        <is>
          <t>월 10GB + 1Mbps</t>
        </is>
      </c>
      <c r="F987" s="47" t="inlineStr">
        <is>
          <t>LG U+</t>
        </is>
      </c>
      <c r="G987" s="47" t="inlineStr">
        <is>
          <t>LTE</t>
        </is>
      </c>
      <c r="H987" s="48" t="n">
        <v>16000</v>
      </c>
      <c r="I987" s="48" t="n">
        <v>24</v>
      </c>
      <c r="J987" s="48" t="n">
        <v>22990</v>
      </c>
      <c r="K987" s="47">
        <f t="array" ref="K987">_xlfn.XLOOKUP(1,(참조!$B$2:$B$15=E987)*(참조!$D$2:$D$15=C987)*(참조!$E$2:$E$15=D987),참조!$C$2:$C$15,"")</f>
        <v/>
      </c>
    </row>
    <row r="988" hidden="1" s="27">
      <c r="A988" s="47" t="inlineStr">
        <is>
          <t>KG모바일</t>
        </is>
      </c>
      <c r="B988" s="47" t="inlineStr">
        <is>
          <t>[일반] 유심 5G 150GB+</t>
        </is>
      </c>
      <c r="C988" s="47" t="inlineStr">
        <is>
          <t>무제한</t>
        </is>
      </c>
      <c r="D988" s="47" t="inlineStr">
        <is>
          <t>무제한</t>
        </is>
      </c>
      <c r="E988" s="47" t="inlineStr">
        <is>
          <t>월 150GB + 5Mbps</t>
        </is>
      </c>
      <c r="F988" s="47" t="inlineStr">
        <is>
          <t>LG U+</t>
        </is>
      </c>
      <c r="G988" s="47" t="inlineStr">
        <is>
          <t>5G</t>
        </is>
      </c>
      <c r="H988" s="48" t="n">
        <v>33000</v>
      </c>
      <c r="I988" s="48" t="n">
        <v>12</v>
      </c>
      <c r="J988" s="48" t="n">
        <v>56100</v>
      </c>
      <c r="K988" s="47">
        <f t="array" ref="K988">_xlfn.XLOOKUP(1,(참조!$B$2:$B$15=E988)*(참조!$D$2:$D$15=C988)*(참조!$E$2:$E$15=D988),참조!$C$2:$C$15,"")</f>
        <v/>
      </c>
    </row>
    <row r="989" hidden="1" s="27">
      <c r="A989" s="47" t="inlineStr">
        <is>
          <t>에이모바일</t>
        </is>
      </c>
      <c r="B989" s="47" t="inlineStr">
        <is>
          <t>A 5G 스페셜 에센셜 (24개월)</t>
        </is>
      </c>
      <c r="C989" s="47" t="inlineStr">
        <is>
          <t>무제한</t>
        </is>
      </c>
      <c r="D989" s="47" t="inlineStr">
        <is>
          <t>무제한</t>
        </is>
      </c>
      <c r="E989" s="47" t="inlineStr">
        <is>
          <t>월 125GB + 5Mbps</t>
        </is>
      </c>
      <c r="F989" s="47" t="inlineStr">
        <is>
          <t>LG U+</t>
        </is>
      </c>
      <c r="G989" s="47" t="inlineStr">
        <is>
          <t>5G</t>
        </is>
      </c>
      <c r="H989" s="48" t="n">
        <v>25500</v>
      </c>
      <c r="I989" s="48" t="n">
        <v>24</v>
      </c>
      <c r="J989" s="48" t="n">
        <v>50600</v>
      </c>
      <c r="K989" s="47">
        <f t="array" ref="K989">_xlfn.XLOOKUP(1,(참조!$B$2:$B$15=E989)*(참조!$D$2:$D$15=C989)*(참조!$E$2:$E$15=D989),참조!$C$2:$C$15,"")</f>
        <v/>
      </c>
    </row>
    <row r="990" hidden="1" s="27">
      <c r="A990" s="47" t="inlineStr">
        <is>
          <t>아이즈모바일</t>
        </is>
      </c>
      <c r="B990" s="47" t="inlineStr">
        <is>
          <t>[S]벤티(300분/7GB)</t>
        </is>
      </c>
      <c r="C990" s="47" t="inlineStr">
        <is>
          <t>300분</t>
        </is>
      </c>
      <c r="D990" s="47" t="inlineStr">
        <is>
          <t>100건</t>
        </is>
      </c>
      <c r="E990" s="47" t="inlineStr">
        <is>
          <t>월 7GB</t>
        </is>
      </c>
      <c r="F990" s="47" t="inlineStr">
        <is>
          <t>SKT</t>
        </is>
      </c>
      <c r="G990" s="47" t="inlineStr">
        <is>
          <t>LTE</t>
        </is>
      </c>
      <c r="H990" s="48" t="n">
        <v>770</v>
      </c>
      <c r="I990" s="48" t="n"/>
      <c r="J990" s="48" t="n"/>
      <c r="K990" s="47">
        <f t="array" ref="K990">_xlfn.XLOOKUP(1,(참조!$B$2:$B$15=E990)*(참조!$D$2:$D$15=C990)*(참조!$E$2:$E$15=D990),참조!$C$2:$C$15,"")</f>
        <v/>
      </c>
    </row>
    <row r="991" hidden="1" s="27">
      <c r="A991" s="47" t="inlineStr">
        <is>
          <t>스마텔</t>
        </is>
      </c>
      <c r="B991" s="47" t="inlineStr">
        <is>
          <t>USIM 알뜰데이터2 15GB+</t>
        </is>
      </c>
      <c r="C991" s="47" t="inlineStr">
        <is>
          <t>300분</t>
        </is>
      </c>
      <c r="D991" s="47" t="inlineStr">
        <is>
          <t>300건</t>
        </is>
      </c>
      <c r="E991" s="47" t="inlineStr">
        <is>
          <t>월 15GB + 3Mbps</t>
        </is>
      </c>
      <c r="F991" s="47" t="inlineStr">
        <is>
          <t>SKT</t>
        </is>
      </c>
      <c r="G991" s="47" t="inlineStr">
        <is>
          <t>LTE</t>
        </is>
      </c>
      <c r="H991" s="48" t="n">
        <v>14500</v>
      </c>
      <c r="I991" s="48" t="n">
        <v>7</v>
      </c>
      <c r="J991" s="48" t="n">
        <v>34100</v>
      </c>
      <c r="K991" s="47">
        <f t="array" ref="K991">_xlfn.XLOOKUP(1,(참조!$B$2:$B$15=E991)*(참조!$D$2:$D$15=C991)*(참조!$E$2:$E$15=D991),참조!$C$2:$C$15,"")</f>
        <v/>
      </c>
    </row>
    <row r="992" hidden="1" s="27">
      <c r="A992" s="47" t="inlineStr">
        <is>
          <t>티플러스</t>
        </is>
      </c>
      <c r="B992" s="47" t="inlineStr">
        <is>
          <t>KT 15GB+ (밀리의서재+올리브영 매월 5천원 상품권!)</t>
        </is>
      </c>
      <c r="C992" s="47" t="inlineStr">
        <is>
          <t>무제한</t>
        </is>
      </c>
      <c r="D992" s="47" t="inlineStr">
        <is>
          <t>무제한</t>
        </is>
      </c>
      <c r="E992" s="47" t="inlineStr">
        <is>
          <t>월 15GB + 1Mbps</t>
        </is>
      </c>
      <c r="F992" s="47" t="inlineStr">
        <is>
          <t>KT</t>
        </is>
      </c>
      <c r="G992" s="47" t="inlineStr">
        <is>
          <t>LTE</t>
        </is>
      </c>
      <c r="H992" s="48" t="n">
        <v>12900</v>
      </c>
      <c r="I992" s="48" t="n">
        <v>7</v>
      </c>
      <c r="J992" s="48" t="n">
        <v>30800</v>
      </c>
      <c r="K992" s="47">
        <f t="array" ref="K992">_xlfn.XLOOKUP(1,(참조!$B$2:$B$15=E992)*(참조!$D$2:$D$15=C992)*(참조!$E$2:$E$15=D992),참조!$C$2:$C$15,"")</f>
        <v/>
      </c>
    </row>
    <row r="993" hidden="1" s="27">
      <c r="A993" s="47" t="inlineStr">
        <is>
          <t>아이즈모바일</t>
        </is>
      </c>
      <c r="B993" s="47" t="inlineStr">
        <is>
          <t>[L]그란데(200분/6GB)</t>
        </is>
      </c>
      <c r="C993" s="47" t="inlineStr">
        <is>
          <t>200분</t>
        </is>
      </c>
      <c r="D993" s="47" t="inlineStr">
        <is>
          <t>100건</t>
        </is>
      </c>
      <c r="E993" s="47" t="inlineStr">
        <is>
          <t>월 6GB</t>
        </is>
      </c>
      <c r="F993" s="47" t="inlineStr">
        <is>
          <t>LG U+</t>
        </is>
      </c>
      <c r="G993" s="47" t="inlineStr">
        <is>
          <t>LTE</t>
        </is>
      </c>
      <c r="H993" s="48" t="n">
        <v>550</v>
      </c>
      <c r="I993" s="48" t="n"/>
      <c r="J993" s="48" t="n"/>
      <c r="K993" s="47">
        <f t="array" ref="K993">_xlfn.XLOOKUP(1,(참조!$B$2:$B$15=E993)*(참조!$D$2:$D$15=C993)*(참조!$E$2:$E$15=D993),참조!$C$2:$C$15,"")</f>
        <v/>
      </c>
    </row>
    <row r="994" hidden="1" s="27">
      <c r="A994" s="47" t="inlineStr">
        <is>
          <t>티플러스</t>
        </is>
      </c>
      <c r="B994" s="47" t="inlineStr">
        <is>
          <t>The 데이터마음껏 15GB＋(300분)</t>
        </is>
      </c>
      <c r="C994" s="47" t="inlineStr">
        <is>
          <t>300분</t>
        </is>
      </c>
      <c r="D994" s="47" t="inlineStr">
        <is>
          <t>300건</t>
        </is>
      </c>
      <c r="E994" s="47" t="inlineStr">
        <is>
          <t>월 15GB + 3Mbps</t>
        </is>
      </c>
      <c r="F994" s="47" t="inlineStr">
        <is>
          <t>SKT</t>
        </is>
      </c>
      <c r="G994" s="47" t="inlineStr">
        <is>
          <t>LTE</t>
        </is>
      </c>
      <c r="H994" s="48" t="n">
        <v>14500</v>
      </c>
      <c r="I994" s="48" t="n">
        <v>7</v>
      </c>
      <c r="J994" s="48" t="n">
        <v>37400</v>
      </c>
      <c r="K994" s="47">
        <f t="array" ref="K994">_xlfn.XLOOKUP(1,(참조!$B$2:$B$15=E994)*(참조!$D$2:$D$15=C994)*(참조!$E$2:$E$15=D994),참조!$C$2:$C$15,"")</f>
        <v/>
      </c>
    </row>
    <row r="995" hidden="1" s="27">
      <c r="A995" s="47" t="inlineStr">
        <is>
          <t>에이모바일</t>
        </is>
      </c>
      <c r="B995" s="47" t="inlineStr">
        <is>
          <t>A 스탠다드 25GB/300분</t>
        </is>
      </c>
      <c r="C995" s="47" t="inlineStr">
        <is>
          <t>300분</t>
        </is>
      </c>
      <c r="D995" s="47" t="inlineStr">
        <is>
          <t>100건</t>
        </is>
      </c>
      <c r="E995" s="47" t="inlineStr">
        <is>
          <t>월 25GB</t>
        </is>
      </c>
      <c r="F995" s="47" t="inlineStr">
        <is>
          <t>KT</t>
        </is>
      </c>
      <c r="G995" s="47" t="inlineStr">
        <is>
          <t>LTE</t>
        </is>
      </c>
      <c r="H995" s="48" t="n">
        <v>100</v>
      </c>
      <c r="I995" s="48" t="n">
        <v>7</v>
      </c>
      <c r="J995" s="48" t="n">
        <v>28490</v>
      </c>
      <c r="K995" s="47">
        <f t="array" ref="K995">_xlfn.XLOOKUP(1,(참조!$B$2:$B$15=E995)*(참조!$D$2:$D$15=C995)*(참조!$E$2:$E$15=D995),참조!$C$2:$C$15,"")</f>
        <v/>
      </c>
    </row>
    <row r="996" hidden="1" s="27">
      <c r="A996" s="47" t="inlineStr">
        <is>
          <t>KT스카이라이프</t>
        </is>
      </c>
      <c r="B996" s="47" t="inlineStr">
        <is>
          <t>모두 충분 10GB+(Pay_5000)</t>
        </is>
      </c>
      <c r="C996" s="47" t="inlineStr">
        <is>
          <t>무제한</t>
        </is>
      </c>
      <c r="D996" s="47" t="inlineStr">
        <is>
          <t>무제한</t>
        </is>
      </c>
      <c r="E996" s="47" t="inlineStr">
        <is>
          <t>월 10GB + 1Mbps</t>
        </is>
      </c>
      <c r="F996" s="47" t="inlineStr">
        <is>
          <t>KT</t>
        </is>
      </c>
      <c r="G996" s="47" t="inlineStr">
        <is>
          <t>LTE</t>
        </is>
      </c>
      <c r="H996" s="48" t="n">
        <v>21500</v>
      </c>
      <c r="I996" s="48" t="n"/>
      <c r="J996" s="48" t="n"/>
      <c r="K996" s="47">
        <f t="array" ref="K996">_xlfn.XLOOKUP(1,(참조!$B$2:$B$15=E996)*(참조!$D$2:$D$15=C996)*(참조!$E$2:$E$15=D996),참조!$C$2:$C$15,"")</f>
        <v/>
      </c>
    </row>
    <row r="997" hidden="1" s="27">
      <c r="A997" s="47" t="inlineStr">
        <is>
          <t>에이모바일</t>
        </is>
      </c>
      <c r="B997" s="47" t="inlineStr">
        <is>
          <t>A 스탠다드 20GB/300분</t>
        </is>
      </c>
      <c r="C997" s="47" t="inlineStr">
        <is>
          <t>300분</t>
        </is>
      </c>
      <c r="D997" s="47" t="inlineStr">
        <is>
          <t>100건</t>
        </is>
      </c>
      <c r="E997" s="47" t="inlineStr">
        <is>
          <t>월 20GB</t>
        </is>
      </c>
      <c r="F997" s="47" t="inlineStr">
        <is>
          <t>KT</t>
        </is>
      </c>
      <c r="G997" s="47" t="inlineStr">
        <is>
          <t>LTE</t>
        </is>
      </c>
      <c r="H997" s="48" t="n">
        <v>10</v>
      </c>
      <c r="I997" s="48" t="n">
        <v>7</v>
      </c>
      <c r="J997" s="48" t="n">
        <v>24970</v>
      </c>
      <c r="K997" s="47">
        <f t="array" ref="K997">_xlfn.XLOOKUP(1,(참조!$B$2:$B$15=E997)*(참조!$D$2:$D$15=C997)*(참조!$E$2:$E$15=D997),참조!$C$2:$C$15,"")</f>
        <v/>
      </c>
    </row>
    <row r="998" hidden="1" s="27">
      <c r="A998" s="47" t="inlineStr">
        <is>
          <t>아이즈모바일</t>
        </is>
      </c>
      <c r="B998" s="47" t="inlineStr">
        <is>
          <t>[K]울트라(500분/15GB)</t>
        </is>
      </c>
      <c r="C998" s="47" t="inlineStr">
        <is>
          <t>500분</t>
        </is>
      </c>
      <c r="D998" s="47" t="inlineStr">
        <is>
          <t>300건</t>
        </is>
      </c>
      <c r="E998" s="47" t="inlineStr">
        <is>
          <t>월 15GB</t>
        </is>
      </c>
      <c r="F998" s="47" t="inlineStr">
        <is>
          <t>KT</t>
        </is>
      </c>
      <c r="G998" s="47" t="inlineStr">
        <is>
          <t>LTE</t>
        </is>
      </c>
      <c r="H998" s="48" t="n">
        <v>10</v>
      </c>
      <c r="I998" s="48" t="n">
        <v>7</v>
      </c>
      <c r="J998" s="48" t="n">
        <v>27500</v>
      </c>
      <c r="K998" s="47">
        <f t="array" ref="K998">_xlfn.XLOOKUP(1,(참조!$B$2:$B$15=E998)*(참조!$D$2:$D$15=C998)*(참조!$E$2:$E$15=D998),참조!$C$2:$C$15,"")</f>
        <v/>
      </c>
    </row>
    <row r="999" hidden="1" s="27">
      <c r="A999" s="47" t="inlineStr">
        <is>
          <t>모나</t>
        </is>
      </c>
      <c r="B999" s="47" t="inlineStr">
        <is>
          <t>교보sam_11G+일2G</t>
        </is>
      </c>
      <c r="C999" s="47" t="inlineStr">
        <is>
          <t>무제한</t>
        </is>
      </c>
      <c r="D999" s="47" t="inlineStr">
        <is>
          <t>무제한</t>
        </is>
      </c>
      <c r="E999" s="47" t="inlineStr">
        <is>
          <t>월 11GB + 매일 2GB + 3Mbps</t>
        </is>
      </c>
      <c r="F999" s="47" t="inlineStr">
        <is>
          <t>LG U+</t>
        </is>
      </c>
      <c r="G999" s="47" t="inlineStr">
        <is>
          <t>LTE</t>
        </is>
      </c>
      <c r="H999" s="48" t="n">
        <v>17900</v>
      </c>
      <c r="I999" s="48" t="n">
        <v>7</v>
      </c>
      <c r="J999" s="48" t="n">
        <v>41800</v>
      </c>
      <c r="K999" s="47">
        <f t="array" ref="K999">_xlfn.XLOOKUP(1,(참조!$B$2:$B$15=E999)*(참조!$D$2:$D$15=C999)*(참조!$E$2:$E$15=D999),참조!$C$2:$C$15,"")</f>
        <v/>
      </c>
    </row>
    <row r="1000" hidden="1" s="27">
      <c r="A1000" s="47" t="inlineStr">
        <is>
          <t>시월모바일</t>
        </is>
      </c>
      <c r="B1000" s="47" t="inlineStr">
        <is>
          <t>시월 무제한 15GB+1Mbps</t>
        </is>
      </c>
      <c r="C1000" s="47" t="inlineStr">
        <is>
          <t>무제한</t>
        </is>
      </c>
      <c r="D1000" s="47" t="inlineStr">
        <is>
          <t>무제한</t>
        </is>
      </c>
      <c r="E1000" s="47" t="inlineStr">
        <is>
          <t>월 15GB + 1Mbps</t>
        </is>
      </c>
      <c r="F1000" s="47" t="inlineStr">
        <is>
          <t>LG U+</t>
        </is>
      </c>
      <c r="G1000" s="47" t="inlineStr">
        <is>
          <t>LTE</t>
        </is>
      </c>
      <c r="H1000" s="48" t="n">
        <v>9940</v>
      </c>
      <c r="I1000" s="48" t="n">
        <v>7</v>
      </c>
      <c r="J1000" s="48" t="n">
        <v>30840</v>
      </c>
      <c r="K1000" s="47">
        <f t="array" ref="K1000">_xlfn.XLOOKUP(1,(참조!$B$2:$B$15=E1000)*(참조!$D$2:$D$15=C1000)*(참조!$E$2:$E$15=D1000),참조!$C$2:$C$15,"")</f>
        <v/>
      </c>
    </row>
    <row r="1001" hidden="1" s="27">
      <c r="A1001" s="47" t="inlineStr">
        <is>
          <t>KG모바일</t>
        </is>
      </c>
      <c r="B1001" s="47" t="inlineStr">
        <is>
          <t>[모요 전용] 데이터 마음대로 (15GB+/100분)</t>
        </is>
      </c>
      <c r="C1001" s="47" t="inlineStr">
        <is>
          <t>100분</t>
        </is>
      </c>
      <c r="D1001" s="47" t="inlineStr">
        <is>
          <t>100건</t>
        </is>
      </c>
      <c r="E1001" s="47" t="inlineStr">
        <is>
          <t>월 15GB + 3Mbps</t>
        </is>
      </c>
      <c r="F1001" s="47" t="inlineStr">
        <is>
          <t>LG U+</t>
        </is>
      </c>
      <c r="G1001" s="47" t="inlineStr">
        <is>
          <t>LTE</t>
        </is>
      </c>
      <c r="H1001" s="48" t="n">
        <v>15000</v>
      </c>
      <c r="I1001" s="48" t="n">
        <v>7</v>
      </c>
      <c r="J1001" s="48" t="n">
        <v>29610</v>
      </c>
      <c r="K1001" s="47">
        <f t="array" ref="K1001">_xlfn.XLOOKUP(1,(참조!$B$2:$B$15=E1001)*(참조!$D$2:$D$15=C1001)*(참조!$E$2:$E$15=D1001),참조!$C$2:$C$15,"")</f>
        <v/>
      </c>
    </row>
    <row r="1002" hidden="1" s="27">
      <c r="A1002" s="47" t="inlineStr">
        <is>
          <t>스마텔</t>
        </is>
      </c>
      <c r="B1002" s="47" t="inlineStr">
        <is>
          <t>LTE 음성무제한 20GB</t>
        </is>
      </c>
      <c r="C1002" s="47" t="inlineStr">
        <is>
          <t>무제한</t>
        </is>
      </c>
      <c r="D1002" s="47" t="inlineStr">
        <is>
          <t>200건</t>
        </is>
      </c>
      <c r="E1002" s="47" t="inlineStr">
        <is>
          <t>월 20GB</t>
        </is>
      </c>
      <c r="F1002" s="47" t="inlineStr">
        <is>
          <t>SKT</t>
        </is>
      </c>
      <c r="G1002" s="47" t="inlineStr">
        <is>
          <t>LTE</t>
        </is>
      </c>
      <c r="H1002" s="48" t="n">
        <v>7800</v>
      </c>
      <c r="I1002" s="48" t="n">
        <v>7</v>
      </c>
      <c r="J1002" s="48" t="n">
        <v>25300</v>
      </c>
      <c r="K1002" s="47">
        <f t="array" ref="K1002">_xlfn.XLOOKUP(1,(참조!$B$2:$B$15=E1002)*(참조!$D$2:$D$15=C1002)*(참조!$E$2:$E$15=D1002),참조!$C$2:$C$15,"")</f>
        <v/>
      </c>
    </row>
    <row r="1003" hidden="1" s="27">
      <c r="A1003" s="47" t="inlineStr">
        <is>
          <t>티플러스</t>
        </is>
      </c>
      <c r="B1003" s="47" t="inlineStr">
        <is>
          <t>가성비플러스(25GB/350분)</t>
        </is>
      </c>
      <c r="C1003" s="47" t="inlineStr">
        <is>
          <t>350분</t>
        </is>
      </c>
      <c r="D1003" s="47" t="inlineStr">
        <is>
          <t>100건</t>
        </is>
      </c>
      <c r="E1003" s="47" t="inlineStr">
        <is>
          <t>월 25GB</t>
        </is>
      </c>
      <c r="F1003" s="47" t="inlineStr">
        <is>
          <t>KT</t>
        </is>
      </c>
      <c r="G1003" s="47" t="inlineStr">
        <is>
          <t>LTE</t>
        </is>
      </c>
      <c r="H1003" s="48" t="n">
        <v>5900</v>
      </c>
      <c r="I1003" s="48" t="n">
        <v>7</v>
      </c>
      <c r="J1003" s="48" t="n">
        <v>34100</v>
      </c>
      <c r="K1003" s="47">
        <f t="array" ref="K1003">_xlfn.XLOOKUP(1,(참조!$B$2:$B$15=E1003)*(참조!$D$2:$D$15=C1003)*(참조!$E$2:$E$15=D1003),참조!$C$2:$C$15,"")</f>
        <v/>
      </c>
    </row>
    <row r="1004" hidden="1" s="27">
      <c r="A1004" s="47" t="inlineStr">
        <is>
          <t>KT엠모바일</t>
        </is>
      </c>
      <c r="B1004" s="47" t="inlineStr">
        <is>
          <t>5G 모두다 맘껏 50GB+</t>
        </is>
      </c>
      <c r="C1004" s="47" t="inlineStr">
        <is>
          <t>무제한</t>
        </is>
      </c>
      <c r="D1004" s="47" t="inlineStr">
        <is>
          <t>무제한</t>
        </is>
      </c>
      <c r="E1004" s="47" t="inlineStr">
        <is>
          <t>월 50GB + 1Mbps</t>
        </is>
      </c>
      <c r="F1004" s="47" t="inlineStr">
        <is>
          <t>KT</t>
        </is>
      </c>
      <c r="G1004" s="47" t="inlineStr">
        <is>
          <t>5G</t>
        </is>
      </c>
      <c r="H1004" s="48" t="n">
        <v>37900</v>
      </c>
      <c r="I1004" s="48" t="n"/>
      <c r="J1004" s="48" t="n"/>
      <c r="K1004" s="47">
        <f t="array" ref="K1004">_xlfn.XLOOKUP(1,(참조!$B$2:$B$15=E1004)*(참조!$D$2:$D$15=C1004)*(참조!$E$2:$E$15=D1004),참조!$C$2:$C$15,"")</f>
        <v/>
      </c>
    </row>
    <row r="1005" hidden="1" s="27">
      <c r="A1005" s="47" t="inlineStr">
        <is>
          <t>스마텔</t>
        </is>
      </c>
      <c r="B1005" s="47" t="inlineStr">
        <is>
          <t>스위트 11GB+</t>
        </is>
      </c>
      <c r="C1005" s="47" t="inlineStr">
        <is>
          <t>무제한</t>
        </is>
      </c>
      <c r="D1005" s="47" t="inlineStr">
        <is>
          <t>무제한</t>
        </is>
      </c>
      <c r="E1005" s="47" t="inlineStr">
        <is>
          <t>월 11GB + 매일 2GB + 3Mbps</t>
        </is>
      </c>
      <c r="F1005" s="47" t="inlineStr">
        <is>
          <t>KT</t>
        </is>
      </c>
      <c r="G1005" s="47" t="inlineStr">
        <is>
          <t>LTE</t>
        </is>
      </c>
      <c r="H1005" s="48" t="n">
        <v>35200</v>
      </c>
      <c r="I1005" s="48" t="n">
        <v>36</v>
      </c>
      <c r="J1005" s="48" t="n">
        <v>40700</v>
      </c>
      <c r="K1005" s="47">
        <f t="array" ref="K1005">_xlfn.XLOOKUP(1,(참조!$B$2:$B$15=E1005)*(참조!$D$2:$D$15=C1005)*(참조!$E$2:$E$15=D1005),참조!$C$2:$C$15,"")</f>
        <v/>
      </c>
    </row>
    <row r="1006" hidden="1" s="27">
      <c r="A1006" s="47" t="inlineStr">
        <is>
          <t>스마텔</t>
        </is>
      </c>
      <c r="B1006" s="47" t="inlineStr">
        <is>
          <t>스위트 11GB+(후후)</t>
        </is>
      </c>
      <c r="C1006" s="47" t="inlineStr">
        <is>
          <t>무제한</t>
        </is>
      </c>
      <c r="D1006" s="47" t="inlineStr">
        <is>
          <t>무제한</t>
        </is>
      </c>
      <c r="E1006" s="47" t="inlineStr">
        <is>
          <t>월 11GB + 매일 2GB + 3Mbps</t>
        </is>
      </c>
      <c r="F1006" s="47" t="inlineStr">
        <is>
          <t>KT</t>
        </is>
      </c>
      <c r="G1006" s="47" t="inlineStr">
        <is>
          <t>LTE</t>
        </is>
      </c>
      <c r="H1006" s="48" t="n">
        <v>35200</v>
      </c>
      <c r="I1006" s="48" t="n">
        <v>36</v>
      </c>
      <c r="J1006" s="48" t="n">
        <v>40700</v>
      </c>
      <c r="K1006" s="47">
        <f t="array" ref="K1006">_xlfn.XLOOKUP(1,(참조!$B$2:$B$15=E1006)*(참조!$D$2:$D$15=C1006)*(참조!$E$2:$E$15=D1006),참조!$C$2:$C$15,"")</f>
        <v/>
      </c>
    </row>
    <row r="1007" hidden="1" s="27">
      <c r="A1007" s="47" t="inlineStr">
        <is>
          <t>모나</t>
        </is>
      </c>
      <c r="B1007" s="47" t="inlineStr">
        <is>
          <t>모나기본7G안심1</t>
        </is>
      </c>
      <c r="C1007" s="47" t="inlineStr">
        <is>
          <t>무제한</t>
        </is>
      </c>
      <c r="D1007" s="47" t="inlineStr">
        <is>
          <t>무제한</t>
        </is>
      </c>
      <c r="E1007" s="47" t="inlineStr">
        <is>
          <t>월 7GB + 1Mbps</t>
        </is>
      </c>
      <c r="F1007" s="47" t="inlineStr">
        <is>
          <t>LG U+</t>
        </is>
      </c>
      <c r="G1007" s="47" t="inlineStr">
        <is>
          <t>LTE</t>
        </is>
      </c>
      <c r="H1007" s="48" t="n">
        <v>4950</v>
      </c>
      <c r="I1007" s="48" t="n">
        <v>7</v>
      </c>
      <c r="J1007" s="48" t="n">
        <v>35200</v>
      </c>
      <c r="K1007" s="47">
        <f t="array" ref="K1007">_xlfn.XLOOKUP(1,(참조!$B$2:$B$15=E1007)*(참조!$D$2:$D$15=C1007)*(참조!$E$2:$E$15=D1007),참조!$C$2:$C$15,"")</f>
        <v/>
      </c>
    </row>
    <row r="1008" hidden="1" s="27">
      <c r="A1008" s="47" t="inlineStr">
        <is>
          <t>KG모바일</t>
        </is>
      </c>
      <c r="B1008" s="47" t="inlineStr">
        <is>
          <t>[일반] 통화, 데이터 마음대로 Pro</t>
        </is>
      </c>
      <c r="C1008" s="47" t="inlineStr">
        <is>
          <t>무제한</t>
        </is>
      </c>
      <c r="D1008" s="47" t="inlineStr">
        <is>
          <t>무제한</t>
        </is>
      </c>
      <c r="E1008" s="47" t="inlineStr">
        <is>
          <t>매일 5GB + 5Mbps</t>
        </is>
      </c>
      <c r="F1008" s="47" t="inlineStr">
        <is>
          <t>LG U+</t>
        </is>
      </c>
      <c r="G1008" s="47" t="inlineStr">
        <is>
          <t>LTE</t>
        </is>
      </c>
      <c r="H1008" s="48" t="n">
        <v>34650</v>
      </c>
      <c r="I1008" s="48" t="n">
        <v>12</v>
      </c>
      <c r="J1008" s="48" t="n">
        <v>47300</v>
      </c>
      <c r="K1008" s="47">
        <f t="array" ref="K1008">_xlfn.XLOOKUP(1,(참조!$B$2:$B$15=E1008)*(참조!$D$2:$D$15=C1008)*(참조!$E$2:$E$15=D1008),참조!$C$2:$C$15,"")</f>
        <v/>
      </c>
    </row>
    <row r="1009" hidden="1" s="27">
      <c r="A1009" s="47" t="inlineStr">
        <is>
          <t>KT엠모바일</t>
        </is>
      </c>
      <c r="B1009" s="47" t="inlineStr">
        <is>
          <t>5G 모두다 맘껏 70GB+(Pay쿠폰 5000P)</t>
        </is>
      </c>
      <c r="C1009" s="47" t="inlineStr">
        <is>
          <t>무제한</t>
        </is>
      </c>
      <c r="D1009" s="47" t="inlineStr">
        <is>
          <t>무제한</t>
        </is>
      </c>
      <c r="E1009" s="47" t="inlineStr">
        <is>
          <t>월 70GB + 1Mbps</t>
        </is>
      </c>
      <c r="F1009" s="47" t="inlineStr">
        <is>
          <t>KT</t>
        </is>
      </c>
      <c r="G1009" s="47" t="inlineStr">
        <is>
          <t>5G</t>
        </is>
      </c>
      <c r="H1009" s="48" t="n">
        <v>35900</v>
      </c>
      <c r="I1009" s="48" t="n"/>
      <c r="J1009" s="48" t="n"/>
      <c r="K1009" s="47">
        <f t="array" ref="K1009">_xlfn.XLOOKUP(1,(참조!$B$2:$B$15=E1009)*(참조!$D$2:$D$15=C1009)*(참조!$E$2:$E$15=D1009),참조!$C$2:$C$15,"")</f>
        <v/>
      </c>
    </row>
    <row r="1010" hidden="1" s="27">
      <c r="A1010" s="47" t="inlineStr">
        <is>
          <t>이야기모바일</t>
        </is>
      </c>
      <c r="B1010" s="47" t="inlineStr">
        <is>
          <t>이야기 스페셜S 100GB+</t>
        </is>
      </c>
      <c r="C1010" s="47" t="inlineStr">
        <is>
          <t>무제한</t>
        </is>
      </c>
      <c r="D1010" s="47" t="inlineStr">
        <is>
          <t>무제한</t>
        </is>
      </c>
      <c r="E1010" s="47" t="inlineStr">
        <is>
          <t>월 100GB + 5Mbps</t>
        </is>
      </c>
      <c r="F1010" s="47" t="inlineStr">
        <is>
          <t>SKT</t>
        </is>
      </c>
      <c r="G1010" s="47" t="inlineStr">
        <is>
          <t>LTE</t>
        </is>
      </c>
      <c r="H1010" s="48" t="n">
        <v>18700</v>
      </c>
      <c r="I1010" s="48" t="n">
        <v>7</v>
      </c>
      <c r="J1010" s="48" t="n">
        <v>49500</v>
      </c>
      <c r="K1010" s="47">
        <f t="array" ref="K1010">_xlfn.XLOOKUP(1,(참조!$B$2:$B$15=E1010)*(참조!$D$2:$D$15=C1010)*(참조!$E$2:$E$15=D1010),참조!$C$2:$C$15,"")</f>
        <v/>
      </c>
    </row>
    <row r="1011" hidden="1" s="27">
      <c r="A1011" s="47" t="inlineStr">
        <is>
          <t>에이모바일</t>
        </is>
      </c>
      <c r="B1011" s="47" t="inlineStr">
        <is>
          <t>A 넥스트 100GB+</t>
        </is>
      </c>
      <c r="C1011" s="47" t="inlineStr">
        <is>
          <t>무제한</t>
        </is>
      </c>
      <c r="D1011" s="47" t="inlineStr">
        <is>
          <t>무제한</t>
        </is>
      </c>
      <c r="E1011" s="47" t="inlineStr">
        <is>
          <t>월 100GB + 5Mbps</t>
        </is>
      </c>
      <c r="F1011" s="47" t="inlineStr">
        <is>
          <t>SKT</t>
        </is>
      </c>
      <c r="G1011" s="47" t="inlineStr">
        <is>
          <t>LTE</t>
        </is>
      </c>
      <c r="H1011" s="48" t="n">
        <v>7000</v>
      </c>
      <c r="I1011" s="48" t="n">
        <v>7</v>
      </c>
      <c r="J1011" s="48" t="n">
        <v>45100</v>
      </c>
      <c r="K1011" s="47">
        <f t="array" ref="K1011">_xlfn.XLOOKUP(1,(참조!$B$2:$B$15=E1011)*(참조!$D$2:$D$15=C1011)*(참조!$E$2:$E$15=D1011),참조!$C$2:$C$15,"")</f>
        <v/>
      </c>
    </row>
    <row r="1012" hidden="1" s="27">
      <c r="A1012" s="47" t="inlineStr">
        <is>
          <t>티플러스</t>
        </is>
      </c>
      <c r="B1012" s="47" t="inlineStr">
        <is>
          <t>5G 티플 200G＋(밀리의서재)</t>
        </is>
      </c>
      <c r="C1012" s="47" t="inlineStr">
        <is>
          <t>무제한</t>
        </is>
      </c>
      <c r="D1012" s="47" t="inlineStr">
        <is>
          <t>무제한</t>
        </is>
      </c>
      <c r="E1012" s="47" t="inlineStr">
        <is>
          <t>월 200GB + 10Mbps</t>
        </is>
      </c>
      <c r="F1012" s="47" t="inlineStr">
        <is>
          <t>KT</t>
        </is>
      </c>
      <c r="G1012" s="47" t="inlineStr">
        <is>
          <t>5G</t>
        </is>
      </c>
      <c r="H1012" s="48" t="n">
        <v>19900</v>
      </c>
      <c r="I1012" s="48" t="n">
        <v>7</v>
      </c>
      <c r="J1012" s="48" t="n">
        <v>69300</v>
      </c>
      <c r="K1012" s="47">
        <f t="array" ref="K1012">_xlfn.XLOOKUP(1,(참조!$B$2:$B$15=E1012)*(참조!$D$2:$D$15=C1012)*(참조!$E$2:$E$15=D1012),참조!$C$2:$C$15,"")</f>
        <v/>
      </c>
    </row>
    <row r="1013" hidden="1" s="27">
      <c r="A1013" s="47" t="inlineStr">
        <is>
          <t>티플러스</t>
        </is>
      </c>
      <c r="B1013" s="47" t="inlineStr">
        <is>
          <t>티플 위드유 15GB+(300분) (G car+세차클링)</t>
        </is>
      </c>
      <c r="C1013" s="47" t="inlineStr">
        <is>
          <t>300분</t>
        </is>
      </c>
      <c r="D1013" s="47" t="inlineStr">
        <is>
          <t>300건</t>
        </is>
      </c>
      <c r="E1013" s="47" t="inlineStr">
        <is>
          <t>월 15GB + 3Mbps</t>
        </is>
      </c>
      <c r="F1013" s="47" t="inlineStr">
        <is>
          <t>SKT</t>
        </is>
      </c>
      <c r="G1013" s="47" t="inlineStr">
        <is>
          <t>LTE</t>
        </is>
      </c>
      <c r="H1013" s="48" t="n">
        <v>14900</v>
      </c>
      <c r="I1013" s="48" t="n">
        <v>7</v>
      </c>
      <c r="J1013" s="48" t="n">
        <v>37400</v>
      </c>
      <c r="K1013" s="47">
        <f t="array" ref="K1013">_xlfn.XLOOKUP(1,(참조!$B$2:$B$15=E1013)*(참조!$D$2:$D$15=C1013)*(참조!$E$2:$E$15=D1013),참조!$C$2:$C$15,"")</f>
        <v/>
      </c>
    </row>
    <row r="1014" hidden="1" s="27">
      <c r="A1014" s="47" t="inlineStr">
        <is>
          <t>이야기모바일</t>
        </is>
      </c>
      <c r="B1014" s="47" t="inlineStr">
        <is>
          <t>이야기K 데이터 11GB+(CU할인)</t>
        </is>
      </c>
      <c r="C1014" s="47" t="inlineStr">
        <is>
          <t>무제한</t>
        </is>
      </c>
      <c r="D1014" s="47" t="inlineStr">
        <is>
          <t>무제한</t>
        </is>
      </c>
      <c r="E1014" s="47" t="inlineStr">
        <is>
          <t>월 11GB + 매일 2GB + 3Mbps</t>
        </is>
      </c>
      <c r="F1014" s="47" t="inlineStr">
        <is>
          <t>KT</t>
        </is>
      </c>
      <c r="G1014" s="47" t="inlineStr">
        <is>
          <t>LTE</t>
        </is>
      </c>
      <c r="H1014" s="48" t="n">
        <v>18700</v>
      </c>
      <c r="I1014" s="48" t="n">
        <v>7</v>
      </c>
      <c r="J1014" s="48" t="n">
        <v>40590</v>
      </c>
      <c r="K1014" s="47">
        <f t="array" ref="K1014">_xlfn.XLOOKUP(1,(참조!$B$2:$B$15=E1014)*(참조!$D$2:$D$15=C1014)*(참조!$E$2:$E$15=D1014),참조!$C$2:$C$15,"")</f>
        <v/>
      </c>
    </row>
    <row r="1015" hidden="1" s="27">
      <c r="A1015" s="47" t="inlineStr">
        <is>
          <t>고고모바일</t>
        </is>
      </c>
      <c r="B1015" s="47" t="inlineStr">
        <is>
          <t>[모요only] 무제한 7GB+1M(올리브영 5000원)</t>
        </is>
      </c>
      <c r="C1015" s="47" t="inlineStr">
        <is>
          <t>무제한</t>
        </is>
      </c>
      <c r="D1015" s="47" t="inlineStr">
        <is>
          <t>무제한</t>
        </is>
      </c>
      <c r="E1015" s="47" t="inlineStr">
        <is>
          <t>월 7GB + 1Mbps</t>
        </is>
      </c>
      <c r="F1015" s="47" t="inlineStr">
        <is>
          <t>KT</t>
        </is>
      </c>
      <c r="G1015" s="47" t="inlineStr">
        <is>
          <t>LTE</t>
        </is>
      </c>
      <c r="H1015" s="48" t="n">
        <v>5700</v>
      </c>
      <c r="I1015" s="48" t="n">
        <v>7</v>
      </c>
      <c r="J1015" s="48" t="n">
        <v>24200</v>
      </c>
      <c r="K1015" s="47">
        <f t="array" ref="K1015">_xlfn.XLOOKUP(1,(참조!$B$2:$B$15=E1015)*(참조!$D$2:$D$15=C1015)*(참조!$E$2:$E$15=D1015),참조!$C$2:$C$15,"")</f>
        <v/>
      </c>
    </row>
    <row r="1016" hidden="1" s="27">
      <c r="A1016" s="47" t="inlineStr">
        <is>
          <t>모빙</t>
        </is>
      </c>
      <c r="B1016" s="47" t="inlineStr">
        <is>
          <t>실속 100분10GB+</t>
        </is>
      </c>
      <c r="C1016" s="47" t="inlineStr">
        <is>
          <t>100분</t>
        </is>
      </c>
      <c r="D1016" s="47" t="inlineStr">
        <is>
          <t>100건</t>
        </is>
      </c>
      <c r="E1016" s="47" t="inlineStr">
        <is>
          <t>월 10GB + 1Mbps</t>
        </is>
      </c>
      <c r="F1016" s="47" t="inlineStr">
        <is>
          <t>LG U+</t>
        </is>
      </c>
      <c r="G1016" s="47" t="inlineStr">
        <is>
          <t>LTE</t>
        </is>
      </c>
      <c r="H1016" s="48" t="n">
        <v>10</v>
      </c>
      <c r="I1016" s="48" t="n">
        <v>6</v>
      </c>
      <c r="J1016" s="48" t="n">
        <v>22000</v>
      </c>
      <c r="K1016" s="47">
        <f t="array" ref="K1016">_xlfn.XLOOKUP(1,(참조!$B$2:$B$15=E1016)*(참조!$D$2:$D$15=C1016)*(참조!$E$2:$E$15=D1016),참조!$C$2:$C$15,"")</f>
        <v/>
      </c>
    </row>
    <row r="1017" hidden="1" s="27">
      <c r="A1017" s="47" t="inlineStr">
        <is>
          <t>마블링</t>
        </is>
      </c>
      <c r="B1017" s="47" t="inlineStr">
        <is>
          <t>[모요only] 프라임 15GB+3Mbps 100분</t>
        </is>
      </c>
      <c r="C1017" s="47" t="inlineStr">
        <is>
          <t>100분</t>
        </is>
      </c>
      <c r="D1017" s="47" t="inlineStr">
        <is>
          <t>100건</t>
        </is>
      </c>
      <c r="E1017" s="47" t="inlineStr">
        <is>
          <t>월 15GB + 3Mbps</t>
        </is>
      </c>
      <c r="F1017" s="47" t="inlineStr">
        <is>
          <t>LG U+</t>
        </is>
      </c>
      <c r="G1017" s="47" t="inlineStr">
        <is>
          <t>LTE</t>
        </is>
      </c>
      <c r="H1017" s="48" t="n">
        <v>15000</v>
      </c>
      <c r="I1017" s="48" t="n">
        <v>7</v>
      </c>
      <c r="J1017" s="48" t="n">
        <v>29900</v>
      </c>
      <c r="K1017" s="47">
        <f t="array" ref="K1017">_xlfn.XLOOKUP(1,(참조!$B$2:$B$15=E1017)*(참조!$D$2:$D$15=C1017)*(참조!$E$2:$E$15=D1017),참조!$C$2:$C$15,"")</f>
        <v/>
      </c>
    </row>
    <row r="1018" hidden="1" s="27">
      <c r="A1018" s="47" t="inlineStr">
        <is>
          <t>아이즈모바일</t>
        </is>
      </c>
      <c r="B1018" s="47" t="inlineStr">
        <is>
          <t>[L]5G 데이터안심(100분/5GB+)</t>
        </is>
      </c>
      <c r="C1018" s="47" t="inlineStr">
        <is>
          <t>100분</t>
        </is>
      </c>
      <c r="D1018" s="47" t="inlineStr">
        <is>
          <t>100건</t>
        </is>
      </c>
      <c r="E1018" s="47" t="inlineStr">
        <is>
          <t>월 5GB + 1Mbps</t>
        </is>
      </c>
      <c r="F1018" s="47" t="inlineStr">
        <is>
          <t>LG U+</t>
        </is>
      </c>
      <c r="G1018" s="47" t="inlineStr">
        <is>
          <t>5G</t>
        </is>
      </c>
      <c r="H1018" s="48" t="n">
        <v>10</v>
      </c>
      <c r="I1018" s="48" t="n">
        <v>6</v>
      </c>
      <c r="J1018" s="48" t="n">
        <v>15400</v>
      </c>
      <c r="K1018" s="47">
        <f t="array" ref="K1018">_xlfn.XLOOKUP(1,(참조!$B$2:$B$15=E1018)*(참조!$D$2:$D$15=C1018)*(참조!$E$2:$E$15=D1018),참조!$C$2:$C$15,"")</f>
        <v/>
      </c>
    </row>
    <row r="1019" hidden="1" s="27">
      <c r="A1019" s="47" t="inlineStr">
        <is>
          <t>KT엠모바일</t>
        </is>
      </c>
      <c r="B1019" s="47" t="inlineStr">
        <is>
          <t>5G 모두다 맘껏 90GB+(Pay쿠폰 5000P)</t>
        </is>
      </c>
      <c r="C1019" s="47" t="inlineStr">
        <is>
          <t>무제한</t>
        </is>
      </c>
      <c r="D1019" s="47" t="inlineStr">
        <is>
          <t>무제한</t>
        </is>
      </c>
      <c r="E1019" s="47" t="inlineStr">
        <is>
          <t>월 90GB + 1Mbps</t>
        </is>
      </c>
      <c r="F1019" s="47" t="inlineStr">
        <is>
          <t>KT</t>
        </is>
      </c>
      <c r="G1019" s="47" t="inlineStr">
        <is>
          <t>5G</t>
        </is>
      </c>
      <c r="H1019" s="48" t="n">
        <v>36900</v>
      </c>
      <c r="I1019" s="48" t="n"/>
      <c r="J1019" s="48" t="n"/>
      <c r="K1019" s="47">
        <f t="array" ref="K1019">_xlfn.XLOOKUP(1,(참조!$B$2:$B$15=E1019)*(참조!$D$2:$D$15=C1019)*(참조!$E$2:$E$15=D1019),참조!$C$2:$C$15,"")</f>
        <v/>
      </c>
    </row>
    <row r="1020" hidden="1" s="27">
      <c r="A1020" s="47" t="inlineStr">
        <is>
          <t>KG모바일</t>
        </is>
      </c>
      <c r="B1020" s="47" t="inlineStr">
        <is>
          <t>[일반] 통화, 데이터 마음대로 10GB+</t>
        </is>
      </c>
      <c r="C1020" s="47" t="inlineStr">
        <is>
          <t>무제한</t>
        </is>
      </c>
      <c r="D1020" s="47" t="inlineStr">
        <is>
          <t>무제한</t>
        </is>
      </c>
      <c r="E1020" s="47" t="inlineStr">
        <is>
          <t>월 10GB + 1Mbps</t>
        </is>
      </c>
      <c r="F1020" s="47" t="inlineStr">
        <is>
          <t>LG U+</t>
        </is>
      </c>
      <c r="G1020" s="47" t="inlineStr">
        <is>
          <t>LTE</t>
        </is>
      </c>
      <c r="H1020" s="48" t="n">
        <v>16500</v>
      </c>
      <c r="I1020" s="48" t="n">
        <v>12</v>
      </c>
      <c r="J1020" s="48" t="n">
        <v>26400</v>
      </c>
      <c r="K1020" s="47">
        <f t="array" ref="K1020">_xlfn.XLOOKUP(1,(참조!$B$2:$B$15=E1020)*(참조!$D$2:$D$15=C1020)*(참조!$E$2:$E$15=D1020),참조!$C$2:$C$15,"")</f>
        <v/>
      </c>
    </row>
    <row r="1021" hidden="1" s="27">
      <c r="A1021" s="47" t="inlineStr">
        <is>
          <t>에이모바일</t>
        </is>
      </c>
      <c r="B1021" s="47" t="inlineStr">
        <is>
          <t>A 스마트 20GB/100분</t>
        </is>
      </c>
      <c r="C1021" s="47" t="inlineStr">
        <is>
          <t>100분</t>
        </is>
      </c>
      <c r="D1021" s="47" t="inlineStr">
        <is>
          <t>100건</t>
        </is>
      </c>
      <c r="E1021" s="47" t="inlineStr">
        <is>
          <t>월 20GB</t>
        </is>
      </c>
      <c r="F1021" s="47" t="inlineStr">
        <is>
          <t>SKT</t>
        </is>
      </c>
      <c r="G1021" s="47" t="inlineStr">
        <is>
          <t>LTE</t>
        </is>
      </c>
      <c r="H1021" s="48" t="n">
        <v>10</v>
      </c>
      <c r="I1021" s="48" t="n">
        <v>7</v>
      </c>
      <c r="J1021" s="48" t="n">
        <v>23100</v>
      </c>
      <c r="K1021" s="47">
        <f t="array" ref="K1021">_xlfn.XLOOKUP(1,(참조!$B$2:$B$15=E1021)*(참조!$D$2:$D$15=C1021)*(참조!$E$2:$E$15=D1021),참조!$C$2:$C$15,"")</f>
        <v/>
      </c>
    </row>
    <row r="1022" hidden="1" s="27">
      <c r="A1022" s="47" t="inlineStr">
        <is>
          <t>이야기모바일</t>
        </is>
      </c>
      <c r="B1022" s="47" t="inlineStr">
        <is>
          <t>이야기 스탠다드 11GB+</t>
        </is>
      </c>
      <c r="C1022" s="47" t="inlineStr">
        <is>
          <t>무제한</t>
        </is>
      </c>
      <c r="D1022" s="47" t="inlineStr">
        <is>
          <t>무제한</t>
        </is>
      </c>
      <c r="E1022" s="47" t="inlineStr">
        <is>
          <t>월 11GB + 매일 2GB + 3Mbps</t>
        </is>
      </c>
      <c r="F1022" s="47" t="inlineStr">
        <is>
          <t>LG U+</t>
        </is>
      </c>
      <c r="G1022" s="47" t="inlineStr">
        <is>
          <t>LTE</t>
        </is>
      </c>
      <c r="H1022" s="48" t="n">
        <v>18000</v>
      </c>
      <c r="I1022" s="48" t="n">
        <v>7</v>
      </c>
      <c r="J1022" s="48" t="n">
        <v>39600</v>
      </c>
      <c r="K1022" s="47">
        <f t="array" ref="K1022">_xlfn.XLOOKUP(1,(참조!$B$2:$B$15=E1022)*(참조!$D$2:$D$15=C1022)*(참조!$E$2:$E$15=D1022),참조!$C$2:$C$15,"")</f>
        <v/>
      </c>
    </row>
    <row r="1023" hidden="1" s="27">
      <c r="A1023" s="47" t="inlineStr">
        <is>
          <t>KG모바일</t>
        </is>
      </c>
      <c r="B1023" s="47" t="inlineStr">
        <is>
          <t>[일반] 실속 (10GB/300분)</t>
        </is>
      </c>
      <c r="C1023" s="47" t="inlineStr">
        <is>
          <t>300분</t>
        </is>
      </c>
      <c r="D1023" s="47" t="inlineStr">
        <is>
          <t>100건</t>
        </is>
      </c>
      <c r="E1023" s="47" t="inlineStr">
        <is>
          <t>월 10GB</t>
        </is>
      </c>
      <c r="F1023" s="47" t="inlineStr">
        <is>
          <t>LG U+</t>
        </is>
      </c>
      <c r="G1023" s="47" t="inlineStr">
        <is>
          <t>LTE</t>
        </is>
      </c>
      <c r="H1023" s="48" t="n">
        <v>4400</v>
      </c>
      <c r="I1023" s="48" t="n">
        <v>6</v>
      </c>
      <c r="J1023" s="48" t="n">
        <v>18700</v>
      </c>
      <c r="K1023" s="47">
        <f t="array" ref="K1023">_xlfn.XLOOKUP(1,(참조!$B$2:$B$15=E1023)*(참조!$D$2:$D$15=C1023)*(참조!$E$2:$E$15=D1023),참조!$C$2:$C$15,"")</f>
        <v/>
      </c>
    </row>
    <row r="1024" hidden="1" s="27">
      <c r="A1024" s="47" t="inlineStr">
        <is>
          <t>티플러스</t>
        </is>
      </c>
      <c r="B1024" s="47" t="inlineStr">
        <is>
          <t>티플 CGV 100GB＋</t>
        </is>
      </c>
      <c r="C1024" s="47" t="inlineStr">
        <is>
          <t>무제한</t>
        </is>
      </c>
      <c r="D1024" s="47" t="inlineStr">
        <is>
          <t>무제한</t>
        </is>
      </c>
      <c r="E1024" s="47" t="inlineStr">
        <is>
          <t>월 100GB + 5Mbps</t>
        </is>
      </c>
      <c r="F1024" s="47" t="inlineStr">
        <is>
          <t>SKT</t>
        </is>
      </c>
      <c r="G1024" s="47" t="inlineStr">
        <is>
          <t>LTE</t>
        </is>
      </c>
      <c r="H1024" s="48" t="n">
        <v>17900</v>
      </c>
      <c r="I1024" s="48" t="n">
        <v>7</v>
      </c>
      <c r="J1024" s="48" t="n">
        <v>59400</v>
      </c>
      <c r="K1024" s="47">
        <f t="array" ref="K1024">_xlfn.XLOOKUP(1,(참조!$B$2:$B$15=E1024)*(참조!$D$2:$D$15=C1024)*(참조!$E$2:$E$15=D1024),참조!$C$2:$C$15,"")</f>
        <v/>
      </c>
    </row>
    <row r="1025" hidden="1" s="27">
      <c r="A1025" s="47" t="inlineStr">
        <is>
          <t>티플러스</t>
        </is>
      </c>
      <c r="B1025" s="47" t="inlineStr">
        <is>
          <t>티플 15G＋(300분)(CU멤버십＋매월 5000P)</t>
        </is>
      </c>
      <c r="C1025" s="47" t="inlineStr">
        <is>
          <t>300분</t>
        </is>
      </c>
      <c r="D1025" s="47" t="inlineStr">
        <is>
          <t>300건</t>
        </is>
      </c>
      <c r="E1025" s="47" t="inlineStr">
        <is>
          <t>월 15GB + 3Mbps</t>
        </is>
      </c>
      <c r="F1025" s="47" t="inlineStr">
        <is>
          <t>SKT</t>
        </is>
      </c>
      <c r="G1025" s="47" t="inlineStr">
        <is>
          <t>LTE</t>
        </is>
      </c>
      <c r="H1025" s="48" t="n">
        <v>14900</v>
      </c>
      <c r="I1025" s="48" t="n">
        <v>7</v>
      </c>
      <c r="J1025" s="48" t="n">
        <v>41800</v>
      </c>
      <c r="K1025" s="47">
        <f t="array" ref="K1025">_xlfn.XLOOKUP(1,(참조!$B$2:$B$15=E1025)*(참조!$D$2:$D$15=C1025)*(참조!$E$2:$E$15=D1025),참조!$C$2:$C$15,"")</f>
        <v/>
      </c>
    </row>
    <row r="1026" hidden="1" s="27">
      <c r="A1026" s="47" t="inlineStr">
        <is>
          <t>인스모바일</t>
        </is>
      </c>
      <c r="B1026" s="47" t="inlineStr">
        <is>
          <t>[평생할인]인스 유심 스트롱 15GB+</t>
        </is>
      </c>
      <c r="C1026" s="47" t="inlineStr">
        <is>
          <t>100분</t>
        </is>
      </c>
      <c r="D1026" s="47" t="inlineStr">
        <is>
          <t>100건</t>
        </is>
      </c>
      <c r="E1026" s="47" t="inlineStr">
        <is>
          <t>월 15GB + 3Mbps</t>
        </is>
      </c>
      <c r="F1026" s="47" t="inlineStr">
        <is>
          <t>LG U+</t>
        </is>
      </c>
      <c r="G1026" s="47" t="inlineStr">
        <is>
          <t>LTE</t>
        </is>
      </c>
      <c r="H1026" s="48" t="n">
        <v>24100</v>
      </c>
      <c r="I1026" s="48" t="n"/>
      <c r="J1026" s="48" t="n"/>
      <c r="K1026" s="47">
        <f t="array" ref="K1026">_xlfn.XLOOKUP(1,(참조!$B$2:$B$15=E1026)*(참조!$D$2:$D$15=C1026)*(참조!$E$2:$E$15=D1026),참조!$C$2:$C$15,"")</f>
        <v/>
      </c>
    </row>
    <row r="1027" hidden="1" s="27">
      <c r="A1027" s="47" t="inlineStr">
        <is>
          <t>더원모바일</t>
        </is>
      </c>
      <c r="B1027" s="47" t="inlineStr">
        <is>
          <t>TOP 5G 110GB 기본 (다이소)</t>
        </is>
      </c>
      <c r="C1027" s="47" t="inlineStr">
        <is>
          <t>무제한</t>
        </is>
      </c>
      <c r="D1027" s="47" t="inlineStr">
        <is>
          <t>무제한</t>
        </is>
      </c>
      <c r="E1027" s="47" t="inlineStr">
        <is>
          <t>월 110GB + 5Mbps</t>
        </is>
      </c>
      <c r="F1027" s="47" t="inlineStr">
        <is>
          <t>KT</t>
        </is>
      </c>
      <c r="G1027" s="47" t="inlineStr">
        <is>
          <t>5G</t>
        </is>
      </c>
      <c r="H1027" s="48" t="n">
        <v>18700</v>
      </c>
      <c r="I1027" s="48" t="n">
        <v>7</v>
      </c>
      <c r="J1027" s="48" t="n">
        <v>47300</v>
      </c>
      <c r="K1027" s="47">
        <f t="array" ref="K1027">_xlfn.XLOOKUP(1,(참조!$B$2:$B$15=E1027)*(참조!$D$2:$D$15=C1027)*(참조!$E$2:$E$15=D1027),참조!$C$2:$C$15,"")</f>
        <v/>
      </c>
    </row>
    <row r="1028" hidden="1" s="27">
      <c r="A1028" s="47" t="inlineStr">
        <is>
          <t>이야기모바일</t>
        </is>
      </c>
      <c r="B1028" s="47" t="inlineStr">
        <is>
          <t>이야기K 데이터 11GB+(밀리의서재)</t>
        </is>
      </c>
      <c r="C1028" s="47" t="inlineStr">
        <is>
          <t>무제한</t>
        </is>
      </c>
      <c r="D1028" s="47" t="inlineStr">
        <is>
          <t>무제한</t>
        </is>
      </c>
      <c r="E1028" s="47" t="inlineStr">
        <is>
          <t>월 11GB + 매일 2GB + 3Mbps</t>
        </is>
      </c>
      <c r="F1028" s="47" t="inlineStr">
        <is>
          <t>KT</t>
        </is>
      </c>
      <c r="G1028" s="47" t="inlineStr">
        <is>
          <t>LTE</t>
        </is>
      </c>
      <c r="H1028" s="48" t="n">
        <v>18700</v>
      </c>
      <c r="I1028" s="48" t="n">
        <v>7</v>
      </c>
      <c r="J1028" s="48" t="n">
        <v>40590</v>
      </c>
      <c r="K1028" s="47">
        <f t="array" ref="K1028">_xlfn.XLOOKUP(1,(참조!$B$2:$B$15=E1028)*(참조!$D$2:$D$15=C1028)*(참조!$E$2:$E$15=D1028),참조!$C$2:$C$15,"")</f>
        <v/>
      </c>
    </row>
    <row r="1029" hidden="1" s="27">
      <c r="A1029" s="47" t="inlineStr">
        <is>
          <t>아이즈모바일</t>
        </is>
      </c>
      <c r="B1029" s="47" t="inlineStr">
        <is>
          <t>[L]100GB+5Mbps</t>
        </is>
      </c>
      <c r="C1029" s="47" t="inlineStr">
        <is>
          <t>무제한</t>
        </is>
      </c>
      <c r="D1029" s="47" t="inlineStr">
        <is>
          <t>무제한</t>
        </is>
      </c>
      <c r="E1029" s="47" t="inlineStr">
        <is>
          <t>월 100GB + 5Mbps</t>
        </is>
      </c>
      <c r="F1029" s="47" t="inlineStr">
        <is>
          <t>LG U+</t>
        </is>
      </c>
      <c r="G1029" s="47" t="inlineStr">
        <is>
          <t>LTE</t>
        </is>
      </c>
      <c r="H1029" s="48" t="n">
        <v>6800</v>
      </c>
      <c r="I1029" s="48" t="n">
        <v>7</v>
      </c>
      <c r="J1029" s="48" t="n">
        <v>61600</v>
      </c>
      <c r="K1029" s="47">
        <f t="array" ref="K1029">_xlfn.XLOOKUP(1,(참조!$B$2:$B$15=E1029)*(참조!$D$2:$D$15=C1029)*(참조!$E$2:$E$15=D1029),참조!$C$2:$C$15,"")</f>
        <v/>
      </c>
    </row>
    <row r="1030" hidden="1" s="27">
      <c r="A1030" s="47" t="inlineStr">
        <is>
          <t>에이모바일</t>
        </is>
      </c>
      <c r="B1030" s="47" t="inlineStr">
        <is>
          <t>A 5G 스페셜 에센셜</t>
        </is>
      </c>
      <c r="C1030" s="47" t="inlineStr">
        <is>
          <t>무제한</t>
        </is>
      </c>
      <c r="D1030" s="47" t="inlineStr">
        <is>
          <t>무제한</t>
        </is>
      </c>
      <c r="E1030" s="47" t="inlineStr">
        <is>
          <t>월 125GB + 5Mbps</t>
        </is>
      </c>
      <c r="F1030" s="47" t="inlineStr">
        <is>
          <t>LG U+</t>
        </is>
      </c>
      <c r="G1030" s="47" t="inlineStr">
        <is>
          <t>5G</t>
        </is>
      </c>
      <c r="H1030" s="48" t="n">
        <v>6899</v>
      </c>
      <c r="I1030" s="48" t="n">
        <v>7</v>
      </c>
      <c r="J1030" s="48" t="n">
        <v>50200</v>
      </c>
      <c r="K1030" s="47">
        <f t="array" ref="K1030">_xlfn.XLOOKUP(1,(참조!$B$2:$B$15=E1030)*(참조!$D$2:$D$15=C1030)*(참조!$E$2:$E$15=D1030),참조!$C$2:$C$15,"")</f>
        <v/>
      </c>
    </row>
    <row r="1031" hidden="1" s="27">
      <c r="A1031" s="47" t="inlineStr">
        <is>
          <t>이지모바일</t>
        </is>
      </c>
      <c r="B1031" s="47" t="inlineStr">
        <is>
          <t>이지 무한 15GB+1</t>
        </is>
      </c>
      <c r="C1031" s="47" t="inlineStr">
        <is>
          <t>무제한</t>
        </is>
      </c>
      <c r="D1031" s="47" t="inlineStr">
        <is>
          <t>무제한</t>
        </is>
      </c>
      <c r="E1031" s="47" t="inlineStr">
        <is>
          <t>월 15GB + 1Mbps</t>
        </is>
      </c>
      <c r="F1031" s="47" t="inlineStr">
        <is>
          <t>LG U+</t>
        </is>
      </c>
      <c r="G1031" s="47" t="inlineStr">
        <is>
          <t>LTE</t>
        </is>
      </c>
      <c r="H1031" s="48" t="n">
        <v>14550</v>
      </c>
      <c r="I1031" s="48" t="n">
        <v>7</v>
      </c>
      <c r="J1031" s="48" t="n">
        <v>25850</v>
      </c>
      <c r="K1031" s="47">
        <f t="array" ref="K1031">_xlfn.XLOOKUP(1,(참조!$B$2:$B$15=E1031)*(참조!$D$2:$D$15=C1031)*(참조!$E$2:$E$15=D1031),참조!$C$2:$C$15,"")</f>
        <v/>
      </c>
    </row>
    <row r="1032" hidden="1" s="27">
      <c r="A1032" s="47" t="inlineStr">
        <is>
          <t>티플러스</t>
        </is>
      </c>
      <c r="B1032" s="47" t="inlineStr">
        <is>
          <t>티플 CGV 15GB＋(300분)</t>
        </is>
      </c>
      <c r="C1032" s="47" t="inlineStr">
        <is>
          <t>300분</t>
        </is>
      </c>
      <c r="D1032" s="47" t="inlineStr">
        <is>
          <t>300건</t>
        </is>
      </c>
      <c r="E1032" s="47" t="inlineStr">
        <is>
          <t>월 15GB + 3Mbps</t>
        </is>
      </c>
      <c r="F1032" s="47" t="inlineStr">
        <is>
          <t>SKT</t>
        </is>
      </c>
      <c r="G1032" s="47" t="inlineStr">
        <is>
          <t>LTE</t>
        </is>
      </c>
      <c r="H1032" s="48" t="n">
        <v>13900</v>
      </c>
      <c r="I1032" s="48" t="n">
        <v>7</v>
      </c>
      <c r="J1032" s="48" t="n">
        <v>46200</v>
      </c>
      <c r="K1032" s="47">
        <f t="array" ref="K1032">_xlfn.XLOOKUP(1,(참조!$B$2:$B$15=E1032)*(참조!$D$2:$D$15=C1032)*(참조!$E$2:$E$15=D1032),참조!$C$2:$C$15,"")</f>
        <v/>
      </c>
    </row>
    <row r="1033" hidden="1" s="27">
      <c r="A1033" s="47" t="inlineStr">
        <is>
          <t>스마텔</t>
        </is>
      </c>
      <c r="B1033" s="47" t="inlineStr">
        <is>
          <t>5G 음성무제한 25GB</t>
        </is>
      </c>
      <c r="C1033" s="47" t="inlineStr">
        <is>
          <t>무제한</t>
        </is>
      </c>
      <c r="D1033" s="47" t="inlineStr">
        <is>
          <t>200건</t>
        </is>
      </c>
      <c r="E1033" s="47" t="inlineStr">
        <is>
          <t>월 25GB</t>
        </is>
      </c>
      <c r="F1033" s="47" t="inlineStr">
        <is>
          <t>SKT</t>
        </is>
      </c>
      <c r="G1033" s="47" t="inlineStr">
        <is>
          <t>5G</t>
        </is>
      </c>
      <c r="H1033" s="48" t="n">
        <v>21800</v>
      </c>
      <c r="I1033" s="48" t="n"/>
      <c r="J1033" s="48" t="n"/>
      <c r="K1033" s="47">
        <f t="array" ref="K1033">_xlfn.XLOOKUP(1,(참조!$B$2:$B$15=E1033)*(참조!$D$2:$D$15=C1033)*(참조!$E$2:$E$15=D1033),참조!$C$2:$C$15,"")</f>
        <v/>
      </c>
    </row>
    <row r="1034" hidden="1" s="27">
      <c r="A1034" s="47" t="inlineStr">
        <is>
          <t>티플러스</t>
        </is>
      </c>
      <c r="B1034" s="47" t="inlineStr">
        <is>
          <t>티플 올리브영 15GB+(100분)(매월 5000P)</t>
        </is>
      </c>
      <c r="C1034" s="47" t="inlineStr">
        <is>
          <t>100분</t>
        </is>
      </c>
      <c r="D1034" s="47" t="inlineStr">
        <is>
          <t>100건</t>
        </is>
      </c>
      <c r="E1034" s="47" t="inlineStr">
        <is>
          <t>월 15GB + 3Mbps</t>
        </is>
      </c>
      <c r="F1034" s="47" t="inlineStr">
        <is>
          <t>SKT</t>
        </is>
      </c>
      <c r="G1034" s="47" t="inlineStr">
        <is>
          <t>LTE</t>
        </is>
      </c>
      <c r="H1034" s="48" t="n">
        <v>8900</v>
      </c>
      <c r="I1034" s="48" t="n">
        <v>7</v>
      </c>
      <c r="J1034" s="48" t="n">
        <v>35200</v>
      </c>
      <c r="K1034" s="47">
        <f t="array" ref="K1034">_xlfn.XLOOKUP(1,(참조!$B$2:$B$15=E1034)*(참조!$D$2:$D$15=C1034)*(참조!$E$2:$E$15=D1034),참조!$C$2:$C$15,"")</f>
        <v/>
      </c>
    </row>
    <row r="1035" hidden="1" s="27">
      <c r="A1035" s="47" t="inlineStr">
        <is>
          <t>모빙</t>
        </is>
      </c>
      <c r="B1035" s="47" t="inlineStr">
        <is>
          <t>[S] 5G 모빙 300분20GB</t>
        </is>
      </c>
      <c r="C1035" s="47" t="inlineStr">
        <is>
          <t>300분</t>
        </is>
      </c>
      <c r="D1035" s="47" t="inlineStr">
        <is>
          <t>100건</t>
        </is>
      </c>
      <c r="E1035" s="47" t="inlineStr">
        <is>
          <t>월 20GB</t>
        </is>
      </c>
      <c r="F1035" s="47" t="inlineStr">
        <is>
          <t>SKT</t>
        </is>
      </c>
      <c r="G1035" s="47" t="inlineStr">
        <is>
          <t>5G</t>
        </is>
      </c>
      <c r="H1035" s="48" t="n">
        <v>15000</v>
      </c>
      <c r="I1035" s="48" t="n"/>
      <c r="J1035" s="48" t="n"/>
      <c r="K1035" s="47">
        <f t="array" ref="K1035">_xlfn.XLOOKUP(1,(참조!$B$2:$B$15=E1035)*(참조!$D$2:$D$15=C1035)*(참조!$E$2:$E$15=D1035),참조!$C$2:$C$15,"")</f>
        <v/>
      </c>
    </row>
    <row r="1036" hidden="1" s="27">
      <c r="A1036" s="47" t="inlineStr">
        <is>
          <t>핀다이렉트</t>
        </is>
      </c>
      <c r="B1036" s="47" t="inlineStr">
        <is>
          <t>[K] DIGITAL DETOX 3GB 챌린지</t>
        </is>
      </c>
      <c r="C1036" s="47" t="inlineStr">
        <is>
          <t>100분</t>
        </is>
      </c>
      <c r="D1036" s="47" t="inlineStr">
        <is>
          <t>100건</t>
        </is>
      </c>
      <c r="E1036" s="47" t="inlineStr">
        <is>
          <t>월 3GB</t>
        </is>
      </c>
      <c r="F1036" s="47" t="inlineStr">
        <is>
          <t>KT</t>
        </is>
      </c>
      <c r="G1036" s="47" t="inlineStr">
        <is>
          <t>LTE</t>
        </is>
      </c>
      <c r="H1036" s="48" t="n">
        <v>330</v>
      </c>
      <c r="I1036" s="48" t="n">
        <v>7</v>
      </c>
      <c r="J1036" s="48" t="n">
        <v>8800</v>
      </c>
      <c r="K1036" s="47">
        <f t="array" ref="K1036">_xlfn.XLOOKUP(1,(참조!$B$2:$B$15=E1036)*(참조!$D$2:$D$15=C1036)*(참조!$E$2:$E$15=D1036),참조!$C$2:$C$15,"")</f>
        <v/>
      </c>
    </row>
    <row r="1037" hidden="1" s="27">
      <c r="A1037" s="47" t="inlineStr">
        <is>
          <t>티플러스</t>
        </is>
      </c>
      <c r="B1037" s="47" t="inlineStr">
        <is>
          <t>티플포유(1.8G/50분)</t>
        </is>
      </c>
      <c r="C1037" s="47" t="inlineStr">
        <is>
          <t>50분</t>
        </is>
      </c>
      <c r="D1037" s="47" t="inlineStr">
        <is>
          <t>50건</t>
        </is>
      </c>
      <c r="E1037" s="47" t="inlineStr">
        <is>
          <t>월 1.8GB</t>
        </is>
      </c>
      <c r="F1037" s="47" t="inlineStr">
        <is>
          <t>LG U+</t>
        </is>
      </c>
      <c r="G1037" s="47" t="inlineStr">
        <is>
          <t>LTE</t>
        </is>
      </c>
      <c r="H1037" s="48" t="n">
        <v>3300</v>
      </c>
      <c r="I1037" s="48" t="n"/>
      <c r="J1037" s="48" t="n"/>
      <c r="K1037" s="47">
        <f t="array" ref="K1037">_xlfn.XLOOKUP(1,(참조!$B$2:$B$15=E1037)*(참조!$D$2:$D$15=C1037)*(참조!$E$2:$E$15=D1037),참조!$C$2:$C$15,"")</f>
        <v/>
      </c>
    </row>
    <row r="1038" hidden="1" s="27">
      <c r="A1038" s="47" t="inlineStr">
        <is>
          <t>시월모바일</t>
        </is>
      </c>
      <c r="B1038" s="47" t="inlineStr">
        <is>
          <t>쿠폰팩 100분15GB+</t>
        </is>
      </c>
      <c r="C1038" s="47" t="inlineStr">
        <is>
          <t>100분</t>
        </is>
      </c>
      <c r="D1038" s="47" t="inlineStr">
        <is>
          <t>100건</t>
        </is>
      </c>
      <c r="E1038" s="47" t="inlineStr">
        <is>
          <t>월 15GB + 3Mbps</t>
        </is>
      </c>
      <c r="F1038" s="47" t="inlineStr">
        <is>
          <t>LG U+</t>
        </is>
      </c>
      <c r="G1038" s="47" t="inlineStr">
        <is>
          <t>LTE</t>
        </is>
      </c>
      <c r="H1038" s="48" t="n">
        <v>15460</v>
      </c>
      <c r="I1038" s="48" t="n">
        <v>7</v>
      </c>
      <c r="J1038" s="48" t="n">
        <v>33060</v>
      </c>
      <c r="K1038" s="47">
        <f t="array" ref="K1038">_xlfn.XLOOKUP(1,(참조!$B$2:$B$15=E1038)*(참조!$D$2:$D$15=C1038)*(참조!$E$2:$E$15=D1038),참조!$C$2:$C$15,"")</f>
        <v/>
      </c>
    </row>
    <row r="1039" hidden="1" s="27">
      <c r="A1039" s="47" t="inlineStr">
        <is>
          <t>아이즈모바일</t>
        </is>
      </c>
      <c r="B1039" s="47" t="inlineStr">
        <is>
          <t>[K]울트라(500분/20GB)</t>
        </is>
      </c>
      <c r="C1039" s="47" t="inlineStr">
        <is>
          <t>500분</t>
        </is>
      </c>
      <c r="D1039" s="47" t="inlineStr">
        <is>
          <t>300건</t>
        </is>
      </c>
      <c r="E1039" s="47" t="inlineStr">
        <is>
          <t>월 20GB</t>
        </is>
      </c>
      <c r="F1039" s="47" t="inlineStr">
        <is>
          <t>KT</t>
        </is>
      </c>
      <c r="G1039" s="47" t="inlineStr">
        <is>
          <t>LTE</t>
        </is>
      </c>
      <c r="H1039" s="48" t="n">
        <v>6900</v>
      </c>
      <c r="I1039" s="48" t="n"/>
      <c r="J1039" s="48" t="n"/>
      <c r="K1039" s="47">
        <f t="array" ref="K1039">_xlfn.XLOOKUP(1,(참조!$B$2:$B$15=E1039)*(참조!$D$2:$D$15=C1039)*(참조!$E$2:$E$15=D1039),참조!$C$2:$C$15,"")</f>
        <v/>
      </c>
    </row>
    <row r="1040" hidden="1" s="27">
      <c r="A1040" s="47" t="inlineStr">
        <is>
          <t>스마텔</t>
        </is>
      </c>
      <c r="B1040" s="47" t="inlineStr">
        <is>
          <t>5G 음성무제한 8GB</t>
        </is>
      </c>
      <c r="C1040" s="47" t="inlineStr">
        <is>
          <t>무제한</t>
        </is>
      </c>
      <c r="D1040" s="47" t="inlineStr">
        <is>
          <t>200건</t>
        </is>
      </c>
      <c r="E1040" s="47" t="inlineStr">
        <is>
          <t>월 8GB</t>
        </is>
      </c>
      <c r="F1040" s="47" t="inlineStr">
        <is>
          <t>SKT</t>
        </is>
      </c>
      <c r="G1040" s="47" t="inlineStr">
        <is>
          <t>5G</t>
        </is>
      </c>
      <c r="H1040" s="48" t="n">
        <v>8500</v>
      </c>
      <c r="I1040" s="48" t="n"/>
      <c r="J1040" s="48" t="n"/>
      <c r="K1040" s="47">
        <f t="array" ref="K1040">_xlfn.XLOOKUP(1,(참조!$B$2:$B$15=E1040)*(참조!$D$2:$D$15=C1040)*(참조!$E$2:$E$15=D1040),참조!$C$2:$C$15,"")</f>
        <v/>
      </c>
    </row>
    <row r="1041" hidden="1" s="27">
      <c r="A1041" s="47" t="inlineStr">
        <is>
          <t>더원모바일</t>
        </is>
      </c>
      <c r="B1041" s="47" t="inlineStr">
        <is>
          <t>TOP 7GB 기본 (올리브영)</t>
        </is>
      </c>
      <c r="C1041" s="47" t="inlineStr">
        <is>
          <t>무제한</t>
        </is>
      </c>
      <c r="D1041" s="47" t="inlineStr">
        <is>
          <t>무제한</t>
        </is>
      </c>
      <c r="E1041" s="47" t="inlineStr">
        <is>
          <t>월 7GB + 1Mbps</t>
        </is>
      </c>
      <c r="F1041" s="47" t="inlineStr">
        <is>
          <t>KT</t>
        </is>
      </c>
      <c r="G1041" s="47" t="inlineStr">
        <is>
          <t>LTE</t>
        </is>
      </c>
      <c r="H1041" s="48" t="n">
        <v>4400</v>
      </c>
      <c r="I1041" s="48" t="n">
        <v>7</v>
      </c>
      <c r="J1041" s="48" t="n">
        <v>26400</v>
      </c>
      <c r="K1041" s="47">
        <f t="array" ref="K1041">_xlfn.XLOOKUP(1,(참조!$B$2:$B$15=E1041)*(참조!$D$2:$D$15=C1041)*(참조!$E$2:$E$15=D1041),참조!$C$2:$C$15,"")</f>
        <v/>
      </c>
    </row>
    <row r="1042" hidden="1" s="27">
      <c r="A1042" s="47" t="inlineStr">
        <is>
          <t>아이즈모바일</t>
        </is>
      </c>
      <c r="B1042" s="47" t="inlineStr">
        <is>
          <t>[S]울트라(100분/15GB)</t>
        </is>
      </c>
      <c r="C1042" s="47" t="inlineStr">
        <is>
          <t>100분</t>
        </is>
      </c>
      <c r="D1042" s="47" t="inlineStr">
        <is>
          <t>100건</t>
        </is>
      </c>
      <c r="E1042" s="47" t="inlineStr">
        <is>
          <t>월 15GB</t>
        </is>
      </c>
      <c r="F1042" s="47" t="inlineStr">
        <is>
          <t>SKT</t>
        </is>
      </c>
      <c r="G1042" s="47" t="inlineStr">
        <is>
          <t>LTE</t>
        </is>
      </c>
      <c r="H1042" s="48" t="n">
        <v>5100</v>
      </c>
      <c r="I1042" s="48" t="n"/>
      <c r="J1042" s="48" t="n"/>
      <c r="K1042" s="47">
        <f t="array" ref="K1042">_xlfn.XLOOKUP(1,(참조!$B$2:$B$15=E1042)*(참조!$D$2:$D$15=C1042)*(참조!$E$2:$E$15=D1042),참조!$C$2:$C$15,"")</f>
        <v/>
      </c>
    </row>
    <row r="1043" hidden="1" s="27">
      <c r="A1043" s="47" t="inlineStr">
        <is>
          <t>위너스텔</t>
        </is>
      </c>
      <c r="B1043" s="47" t="inlineStr">
        <is>
          <t>공유 240분</t>
        </is>
      </c>
      <c r="C1043" s="47" t="inlineStr">
        <is>
          <t>240분</t>
        </is>
      </c>
      <c r="D1043" s="47" t="inlineStr">
        <is>
          <t>240건</t>
        </is>
      </c>
      <c r="E1043" s="47" t="inlineStr">
        <is>
          <t>데이터 제공안함</t>
        </is>
      </c>
      <c r="F1043" s="47" t="inlineStr">
        <is>
          <t>KT</t>
        </is>
      </c>
      <c r="G1043" s="47" t="inlineStr">
        <is>
          <t>LTE</t>
        </is>
      </c>
      <c r="H1043" s="48" t="n">
        <v>4950</v>
      </c>
      <c r="I1043" s="48" t="n"/>
      <c r="J1043" s="48" t="n"/>
      <c r="K1043" s="47">
        <f t="array" ref="K1043">_xlfn.XLOOKUP(1,(참조!$B$2:$B$15=E1043)*(참조!$D$2:$D$15=C1043)*(참조!$E$2:$E$15=D1043),참조!$C$2:$C$15,"")</f>
        <v/>
      </c>
    </row>
    <row r="1044" hidden="1" s="27">
      <c r="A1044" s="47" t="inlineStr">
        <is>
          <t>아이즈모바일</t>
        </is>
      </c>
      <c r="B1044" s="47" t="inlineStr">
        <is>
          <t>[S]그란데(100분/6GB)</t>
        </is>
      </c>
      <c r="C1044" s="47" t="inlineStr">
        <is>
          <t>100분</t>
        </is>
      </c>
      <c r="D1044" s="47" t="inlineStr">
        <is>
          <t>100건</t>
        </is>
      </c>
      <c r="E1044" s="47" t="inlineStr">
        <is>
          <t>월 6GB</t>
        </is>
      </c>
      <c r="F1044" s="47" t="inlineStr">
        <is>
          <t>SKT</t>
        </is>
      </c>
      <c r="G1044" s="47" t="inlineStr">
        <is>
          <t>LTE</t>
        </is>
      </c>
      <c r="H1044" s="48" t="n">
        <v>10</v>
      </c>
      <c r="I1044" s="48" t="n">
        <v>18</v>
      </c>
      <c r="J1044" s="48" t="n">
        <v>15100</v>
      </c>
      <c r="K1044" s="47">
        <f t="array" ref="K1044">_xlfn.XLOOKUP(1,(참조!$B$2:$B$15=E1044)*(참조!$D$2:$D$15=C1044)*(참조!$E$2:$E$15=D1044),참조!$C$2:$C$15,"")</f>
        <v/>
      </c>
    </row>
    <row r="1045" hidden="1" s="27">
      <c r="A1045" s="47" t="inlineStr">
        <is>
          <t>모빙</t>
        </is>
      </c>
      <c r="B1045" s="47" t="inlineStr">
        <is>
          <t>[S] 데이터 7GB</t>
        </is>
      </c>
      <c r="C1045" s="47" t="inlineStr">
        <is>
          <t>무제한</t>
        </is>
      </c>
      <c r="D1045" s="47" t="inlineStr">
        <is>
          <t>200건</t>
        </is>
      </c>
      <c r="E1045" s="47" t="inlineStr">
        <is>
          <t>월 7GB</t>
        </is>
      </c>
      <c r="F1045" s="47" t="inlineStr">
        <is>
          <t>SKT</t>
        </is>
      </c>
      <c r="G1045" s="47" t="inlineStr">
        <is>
          <t>LTE</t>
        </is>
      </c>
      <c r="H1045" s="48" t="n">
        <v>5500</v>
      </c>
      <c r="I1045" s="48" t="n"/>
      <c r="J1045" s="48" t="n"/>
      <c r="K1045" s="47">
        <f t="array" ref="K1045">_xlfn.XLOOKUP(1,(참조!$B$2:$B$15=E1045)*(참조!$D$2:$D$15=C1045)*(참조!$E$2:$E$15=D1045),참조!$C$2:$C$15,"")</f>
        <v/>
      </c>
    </row>
    <row r="1046" hidden="1" s="27">
      <c r="A1046" s="47" t="inlineStr">
        <is>
          <t>KT엠모바일</t>
        </is>
      </c>
      <c r="B1046" s="47" t="inlineStr">
        <is>
          <t>모두다 맘껏 10GB+(쿠팡캐시 5000원)</t>
        </is>
      </c>
      <c r="C1046" s="47" t="inlineStr">
        <is>
          <t>무제한</t>
        </is>
      </c>
      <c r="D1046" s="47" t="inlineStr">
        <is>
          <t>무제한</t>
        </is>
      </c>
      <c r="E1046" s="47" t="inlineStr">
        <is>
          <t>월 10GB + 1Mbps</t>
        </is>
      </c>
      <c r="F1046" s="47" t="inlineStr">
        <is>
          <t>KT</t>
        </is>
      </c>
      <c r="G1046" s="47" t="inlineStr">
        <is>
          <t>LTE</t>
        </is>
      </c>
      <c r="H1046" s="48" t="n">
        <v>21200</v>
      </c>
      <c r="I1046" s="48" t="n"/>
      <c r="J1046" s="48" t="n"/>
      <c r="K1046" s="47">
        <f t="array" ref="K1046">_xlfn.XLOOKUP(1,(참조!$B$2:$B$15=E1046)*(참조!$D$2:$D$15=C1046)*(참조!$E$2:$E$15=D1046),참조!$C$2:$C$15,"")</f>
        <v/>
      </c>
    </row>
    <row r="1047" hidden="1" s="27">
      <c r="A1047" s="47" t="inlineStr">
        <is>
          <t>이야기모바일</t>
        </is>
      </c>
      <c r="B1047" s="47" t="inlineStr">
        <is>
          <t>5G 이야기 완전 무제한 125GB+</t>
        </is>
      </c>
      <c r="C1047" s="47" t="inlineStr">
        <is>
          <t>무제한</t>
        </is>
      </c>
      <c r="D1047" s="47" t="inlineStr">
        <is>
          <t>무제한</t>
        </is>
      </c>
      <c r="E1047" s="47" t="inlineStr">
        <is>
          <t>월 125GB + 5Mbps</t>
        </is>
      </c>
      <c r="F1047" s="47" t="inlineStr">
        <is>
          <t>LG U+</t>
        </is>
      </c>
      <c r="G1047" s="47" t="inlineStr">
        <is>
          <t>5G</t>
        </is>
      </c>
      <c r="H1047" s="48" t="n">
        <v>19800</v>
      </c>
      <c r="I1047" s="48" t="n">
        <v>7</v>
      </c>
      <c r="J1047" s="48" t="n">
        <v>46200</v>
      </c>
      <c r="K1047" s="47">
        <f t="array" ref="K1047">_xlfn.XLOOKUP(1,(참조!$B$2:$B$15=E1047)*(참조!$D$2:$D$15=C1047)*(참조!$E$2:$E$15=D1047),참조!$C$2:$C$15,"")</f>
        <v/>
      </c>
    </row>
    <row r="1048" hidden="1" s="27">
      <c r="A1048" s="47" t="inlineStr">
        <is>
          <t>고고모바일</t>
        </is>
      </c>
      <c r="B1048" s="47" t="inlineStr">
        <is>
          <t>5G무제한 90GB+1Mbps</t>
        </is>
      </c>
      <c r="C1048" s="47" t="inlineStr">
        <is>
          <t>무제한</t>
        </is>
      </c>
      <c r="D1048" s="47" t="inlineStr">
        <is>
          <t>무제한</t>
        </is>
      </c>
      <c r="E1048" s="47" t="inlineStr">
        <is>
          <t>월 90GB + 1Mbps</t>
        </is>
      </c>
      <c r="F1048" s="47" t="inlineStr">
        <is>
          <t>KT</t>
        </is>
      </c>
      <c r="G1048" s="47" t="inlineStr">
        <is>
          <t>5G</t>
        </is>
      </c>
      <c r="H1048" s="48" t="n">
        <v>44000</v>
      </c>
      <c r="I1048" s="48" t="n"/>
      <c r="J1048" s="48" t="n"/>
      <c r="K1048" s="47">
        <f t="array" ref="K1048">_xlfn.XLOOKUP(1,(참조!$B$2:$B$15=E1048)*(참조!$D$2:$D$15=C1048)*(참조!$E$2:$E$15=D1048),참조!$C$2:$C$15,"")</f>
        <v/>
      </c>
    </row>
    <row r="1049" hidden="1" s="27">
      <c r="A1049" s="47" t="inlineStr">
        <is>
          <t>티플러스</t>
        </is>
      </c>
      <c r="B1049" s="47" t="inlineStr">
        <is>
          <t>The 완전마음껏10G+(다이소 매월 5000P)</t>
        </is>
      </c>
      <c r="C1049" s="47" t="inlineStr">
        <is>
          <t>무제한</t>
        </is>
      </c>
      <c r="D1049" s="47" t="inlineStr">
        <is>
          <t>무제한</t>
        </is>
      </c>
      <c r="E1049" s="47" t="inlineStr">
        <is>
          <t>월 10GB + 1Mbps</t>
        </is>
      </c>
      <c r="F1049" s="47" t="inlineStr">
        <is>
          <t>LG U+</t>
        </is>
      </c>
      <c r="G1049" s="47" t="inlineStr">
        <is>
          <t>LTE</t>
        </is>
      </c>
      <c r="H1049" s="48" t="n">
        <v>16500</v>
      </c>
      <c r="I1049" s="48" t="n">
        <v>24</v>
      </c>
      <c r="J1049" s="48" t="n">
        <v>27830</v>
      </c>
      <c r="K1049" s="47">
        <f t="array" ref="K1049">_xlfn.XLOOKUP(1,(참조!$B$2:$B$15=E1049)*(참조!$D$2:$D$15=C1049)*(참조!$E$2:$E$15=D1049),참조!$C$2:$C$15,"")</f>
        <v/>
      </c>
    </row>
    <row r="1050" hidden="1" s="27">
      <c r="A1050" s="47" t="inlineStr">
        <is>
          <t>슈가모바일</t>
        </is>
      </c>
      <c r="B1050" s="47" t="inlineStr">
        <is>
          <t>5G Sugar 실속(300분/5GB)</t>
        </is>
      </c>
      <c r="C1050" s="47" t="inlineStr">
        <is>
          <t>300분</t>
        </is>
      </c>
      <c r="D1050" s="47" t="inlineStr">
        <is>
          <t>200건</t>
        </is>
      </c>
      <c r="E1050" s="47" t="inlineStr">
        <is>
          <t>월 5GB</t>
        </is>
      </c>
      <c r="F1050" s="47" t="inlineStr">
        <is>
          <t>LG U+</t>
        </is>
      </c>
      <c r="G1050" s="47" t="inlineStr">
        <is>
          <t>5G</t>
        </is>
      </c>
      <c r="H1050" s="48" t="n">
        <v>3300</v>
      </c>
      <c r="I1050" s="48" t="n"/>
      <c r="J1050" s="48" t="n"/>
      <c r="K1050" s="47">
        <f t="array" ref="K1050">_xlfn.XLOOKUP(1,(참조!$B$2:$B$15=E1050)*(참조!$D$2:$D$15=C1050)*(참조!$E$2:$E$15=D1050),참조!$C$2:$C$15,"")</f>
        <v/>
      </c>
    </row>
    <row r="1051" hidden="1" s="27">
      <c r="A1051" s="47" t="inlineStr">
        <is>
          <t>아이즈모바일</t>
        </is>
      </c>
      <c r="B1051" s="47" t="inlineStr">
        <is>
          <t>[L]그란데(100분/6GB)</t>
        </is>
      </c>
      <c r="C1051" s="47" t="inlineStr">
        <is>
          <t>100분</t>
        </is>
      </c>
      <c r="D1051" s="47" t="inlineStr">
        <is>
          <t>100건</t>
        </is>
      </c>
      <c r="E1051" s="47" t="inlineStr">
        <is>
          <t>월 6GB</t>
        </is>
      </c>
      <c r="F1051" s="47" t="inlineStr">
        <is>
          <t>LG U+</t>
        </is>
      </c>
      <c r="G1051" s="47" t="inlineStr">
        <is>
          <t>LTE</t>
        </is>
      </c>
      <c r="H1051" s="48" t="n">
        <v>10</v>
      </c>
      <c r="I1051" s="48" t="n">
        <v>12</v>
      </c>
      <c r="J1051" s="48" t="n">
        <v>15100</v>
      </c>
      <c r="K1051" s="47">
        <f t="array" ref="K1051">_xlfn.XLOOKUP(1,(참조!$B$2:$B$15=E1051)*(참조!$D$2:$D$15=C1051)*(참조!$E$2:$E$15=D1051),참조!$C$2:$C$15,"")</f>
        <v/>
      </c>
    </row>
    <row r="1052" hidden="1" s="27">
      <c r="A1052" s="47" t="inlineStr">
        <is>
          <t>에이모바일</t>
        </is>
      </c>
      <c r="B1052" s="47" t="inlineStr">
        <is>
          <t>A 스마트 10GB</t>
        </is>
      </c>
      <c r="C1052" s="47" t="inlineStr">
        <is>
          <t>무제한</t>
        </is>
      </c>
      <c r="D1052" s="47" t="inlineStr">
        <is>
          <t>무제한</t>
        </is>
      </c>
      <c r="E1052" s="47" t="inlineStr">
        <is>
          <t>월 10GB</t>
        </is>
      </c>
      <c r="F1052" s="47" t="inlineStr">
        <is>
          <t>SKT</t>
        </is>
      </c>
      <c r="G1052" s="47" t="inlineStr">
        <is>
          <t>LTE</t>
        </is>
      </c>
      <c r="H1052" s="48" t="n">
        <v>10</v>
      </c>
      <c r="I1052" s="48" t="n">
        <v>7</v>
      </c>
      <c r="J1052" s="48" t="n">
        <v>14300</v>
      </c>
      <c r="K1052" s="47">
        <f t="array" ref="K1052">_xlfn.XLOOKUP(1,(참조!$B$2:$B$15=E1052)*(참조!$D$2:$D$15=C1052)*(참조!$E$2:$E$15=D1052),참조!$C$2:$C$15,"")</f>
        <v/>
      </c>
    </row>
    <row r="1053" hidden="1" s="27">
      <c r="A1053" s="47" t="inlineStr">
        <is>
          <t>스마텔</t>
        </is>
      </c>
      <c r="B1053" s="47" t="inlineStr">
        <is>
          <t>USIM스마트 심플(100분+3.5GB)</t>
        </is>
      </c>
      <c r="C1053" s="47" t="inlineStr">
        <is>
          <t>100분</t>
        </is>
      </c>
      <c r="D1053" s="47" t="inlineStr">
        <is>
          <t>100건</t>
        </is>
      </c>
      <c r="E1053" s="47" t="inlineStr">
        <is>
          <t>월 3.5GB</t>
        </is>
      </c>
      <c r="F1053" s="47" t="inlineStr">
        <is>
          <t>LG U+</t>
        </is>
      </c>
      <c r="G1053" s="47" t="inlineStr">
        <is>
          <t>LTE</t>
        </is>
      </c>
      <c r="H1053" s="48" t="n">
        <v>3300</v>
      </c>
      <c r="I1053" s="48" t="n">
        <v>12</v>
      </c>
      <c r="J1053" s="48" t="n">
        <v>10500</v>
      </c>
      <c r="K1053" s="47">
        <f t="array" ref="K1053">_xlfn.XLOOKUP(1,(참조!$B$2:$B$15=E1053)*(참조!$D$2:$D$15=C1053)*(참조!$E$2:$E$15=D1053),참조!$C$2:$C$15,"")</f>
        <v/>
      </c>
    </row>
    <row r="1054" hidden="1" s="27">
      <c r="A1054" s="47" t="inlineStr">
        <is>
          <t>스마텔</t>
        </is>
      </c>
      <c r="B1054" s="47" t="inlineStr">
        <is>
          <t>5G 스마트플러스 (200분+3GB)</t>
        </is>
      </c>
      <c r="C1054" s="47" t="inlineStr">
        <is>
          <t>200분</t>
        </is>
      </c>
      <c r="D1054" s="47" t="inlineStr">
        <is>
          <t>100건</t>
        </is>
      </c>
      <c r="E1054" s="47" t="inlineStr">
        <is>
          <t>월 3GB</t>
        </is>
      </c>
      <c r="F1054" s="47" t="inlineStr">
        <is>
          <t>LG U+</t>
        </is>
      </c>
      <c r="G1054" s="47" t="inlineStr">
        <is>
          <t>5G</t>
        </is>
      </c>
      <c r="H1054" s="48" t="n">
        <v>3300</v>
      </c>
      <c r="I1054" s="48" t="n">
        <v>12</v>
      </c>
      <c r="J1054" s="48" t="n">
        <v>11000</v>
      </c>
      <c r="K1054" s="47">
        <f t="array" ref="K1054">_xlfn.XLOOKUP(1,(참조!$B$2:$B$15=E1054)*(참조!$D$2:$D$15=C1054)*(참조!$E$2:$E$15=D1054),참조!$C$2:$C$15,"")</f>
        <v/>
      </c>
    </row>
    <row r="1055" hidden="1" s="27">
      <c r="A1055" s="47" t="inlineStr">
        <is>
          <t>더원모바일</t>
        </is>
      </c>
      <c r="B1055" s="47" t="inlineStr">
        <is>
          <t>TOP 7GB 기본 (다이소)</t>
        </is>
      </c>
      <c r="C1055" s="47" t="inlineStr">
        <is>
          <t>무제한</t>
        </is>
      </c>
      <c r="D1055" s="47" t="inlineStr">
        <is>
          <t>무제한</t>
        </is>
      </c>
      <c r="E1055" s="47" t="inlineStr">
        <is>
          <t>월 7GB + 1Mbps</t>
        </is>
      </c>
      <c r="F1055" s="47" t="inlineStr">
        <is>
          <t>KT</t>
        </is>
      </c>
      <c r="G1055" s="47" t="inlineStr">
        <is>
          <t>LTE</t>
        </is>
      </c>
      <c r="H1055" s="48" t="n">
        <v>4400</v>
      </c>
      <c r="I1055" s="48" t="n">
        <v>7</v>
      </c>
      <c r="J1055" s="48" t="n">
        <v>26400</v>
      </c>
      <c r="K1055" s="47">
        <f t="array" ref="K1055">_xlfn.XLOOKUP(1,(참조!$B$2:$B$15=E1055)*(참조!$D$2:$D$15=C1055)*(참조!$E$2:$E$15=D1055),참조!$C$2:$C$15,"")</f>
        <v/>
      </c>
    </row>
    <row r="1056" hidden="1" s="27">
      <c r="A1056" s="47" t="inlineStr">
        <is>
          <t>KG모바일</t>
        </is>
      </c>
      <c r="B1056" s="47" t="inlineStr">
        <is>
          <t>[KG모바일 스페셜] 데이터 마음대로 (15GB+/100분)</t>
        </is>
      </c>
      <c r="C1056" s="47" t="inlineStr">
        <is>
          <t>100분</t>
        </is>
      </c>
      <c r="D1056" s="47" t="inlineStr">
        <is>
          <t>100건</t>
        </is>
      </c>
      <c r="E1056" s="47" t="inlineStr">
        <is>
          <t>월 15GB + 3Mbps</t>
        </is>
      </c>
      <c r="F1056" s="47" t="inlineStr">
        <is>
          <t>LG U+</t>
        </is>
      </c>
      <c r="G1056" s="47" t="inlineStr">
        <is>
          <t>LTE</t>
        </is>
      </c>
      <c r="H1056" s="48" t="n">
        <v>15000</v>
      </c>
      <c r="I1056" s="48" t="n">
        <v>7</v>
      </c>
      <c r="J1056" s="48" t="n">
        <v>33000</v>
      </c>
      <c r="K1056" s="47">
        <f t="array" ref="K1056">_xlfn.XLOOKUP(1,(참조!$B$2:$B$15=E1056)*(참조!$D$2:$D$15=C1056)*(참조!$E$2:$E$15=D1056),참조!$C$2:$C$15,"")</f>
        <v/>
      </c>
    </row>
    <row r="1057" hidden="1" s="27">
      <c r="A1057" s="47" t="inlineStr">
        <is>
          <t>스마텔</t>
        </is>
      </c>
      <c r="B1057" s="47" t="inlineStr">
        <is>
          <t>USIM 알뜰 15GB+</t>
        </is>
      </c>
      <c r="C1057" s="47" t="inlineStr">
        <is>
          <t>100분</t>
        </is>
      </c>
      <c r="D1057" s="47" t="inlineStr">
        <is>
          <t>100건</t>
        </is>
      </c>
      <c r="E1057" s="47" t="inlineStr">
        <is>
          <t>월 15GB + 3Mbps</t>
        </is>
      </c>
      <c r="F1057" s="47" t="inlineStr">
        <is>
          <t>SKT</t>
        </is>
      </c>
      <c r="G1057" s="47" t="inlineStr">
        <is>
          <t>LTE</t>
        </is>
      </c>
      <c r="H1057" s="48" t="n">
        <v>27500</v>
      </c>
      <c r="I1057" s="48" t="n"/>
      <c r="J1057" s="48" t="n"/>
      <c r="K1057" s="47">
        <f t="array" ref="K1057">_xlfn.XLOOKUP(1,(참조!$B$2:$B$15=E1057)*(참조!$D$2:$D$15=C1057)*(참조!$E$2:$E$15=D1057),참조!$C$2:$C$15,"")</f>
        <v/>
      </c>
    </row>
    <row r="1058" hidden="1" s="27">
      <c r="A1058" s="47" t="inlineStr">
        <is>
          <t>고고모바일</t>
        </is>
      </c>
      <c r="B1058" s="47" t="inlineStr">
        <is>
          <t>[모요only] 5G 무제한 90GB+1Mbps</t>
        </is>
      </c>
      <c r="C1058" s="47" t="inlineStr">
        <is>
          <t>무제한</t>
        </is>
      </c>
      <c r="D1058" s="47" t="inlineStr">
        <is>
          <t>무제한</t>
        </is>
      </c>
      <c r="E1058" s="47" t="inlineStr">
        <is>
          <t>월 90GB + 1Mbps</t>
        </is>
      </c>
      <c r="F1058" s="47" t="inlineStr">
        <is>
          <t>KT</t>
        </is>
      </c>
      <c r="G1058" s="47" t="inlineStr">
        <is>
          <t>5G</t>
        </is>
      </c>
      <c r="H1058" s="48" t="n">
        <v>32000</v>
      </c>
      <c r="I1058" s="48" t="n">
        <v>12</v>
      </c>
      <c r="J1058" s="48" t="n">
        <v>44000</v>
      </c>
      <c r="K1058" s="47">
        <f t="array" ref="K1058">_xlfn.XLOOKUP(1,(참조!$B$2:$B$15=E1058)*(참조!$D$2:$D$15=C1058)*(참조!$E$2:$E$15=D1058),참조!$C$2:$C$15,"")</f>
        <v/>
      </c>
    </row>
    <row r="1059" hidden="1" s="27">
      <c r="A1059" s="47" t="inlineStr">
        <is>
          <t>이지모바일</t>
        </is>
      </c>
      <c r="B1059" s="47" t="inlineStr">
        <is>
          <t>EG 5G평생 2.5GB</t>
        </is>
      </c>
      <c r="C1059" s="47" t="inlineStr">
        <is>
          <t>100분</t>
        </is>
      </c>
      <c r="D1059" s="47" t="inlineStr">
        <is>
          <t>100건</t>
        </is>
      </c>
      <c r="E1059" s="47" t="inlineStr">
        <is>
          <t>월 2.5GB</t>
        </is>
      </c>
      <c r="F1059" s="47" t="inlineStr">
        <is>
          <t>KT</t>
        </is>
      </c>
      <c r="G1059" s="47" t="inlineStr">
        <is>
          <t>5G</t>
        </is>
      </c>
      <c r="H1059" s="48" t="n">
        <v>3850</v>
      </c>
      <c r="I1059" s="48" t="n"/>
      <c r="J1059" s="48" t="n"/>
      <c r="K1059" s="47">
        <f t="array" ref="K1059">_xlfn.XLOOKUP(1,(참조!$B$2:$B$15=E1059)*(참조!$D$2:$D$15=C1059)*(참조!$E$2:$E$15=D1059),참조!$C$2:$C$15,"")</f>
        <v/>
      </c>
    </row>
    <row r="1060" hidden="1" s="27">
      <c r="A1060" s="47" t="inlineStr">
        <is>
          <t>티플러스</t>
        </is>
      </c>
      <c r="B1060" s="47" t="inlineStr">
        <is>
          <t>티플 위드유 100GB+(G car+세차클링)</t>
        </is>
      </c>
      <c r="C1060" s="47" t="inlineStr">
        <is>
          <t>무제한</t>
        </is>
      </c>
      <c r="D1060" s="47" t="inlineStr">
        <is>
          <t>무제한</t>
        </is>
      </c>
      <c r="E1060" s="47" t="inlineStr">
        <is>
          <t>월 100GB + 5Mbps</t>
        </is>
      </c>
      <c r="F1060" s="47" t="inlineStr">
        <is>
          <t>SKT</t>
        </is>
      </c>
      <c r="G1060" s="47" t="inlineStr">
        <is>
          <t>LTE</t>
        </is>
      </c>
      <c r="H1060" s="48" t="n">
        <v>18900</v>
      </c>
      <c r="I1060" s="48" t="n">
        <v>7</v>
      </c>
      <c r="J1060" s="48" t="n">
        <v>48400</v>
      </c>
      <c r="K1060" s="47">
        <f t="array" ref="K1060">_xlfn.XLOOKUP(1,(참조!$B$2:$B$15=E1060)*(참조!$D$2:$D$15=C1060)*(참조!$E$2:$E$15=D1060),참조!$C$2:$C$15,"")</f>
        <v/>
      </c>
    </row>
    <row r="1061" hidden="1" s="27">
      <c r="A1061" s="47" t="inlineStr">
        <is>
          <t>시월모바일</t>
        </is>
      </c>
      <c r="B1061" s="47" t="inlineStr">
        <is>
          <t>쿠폰팩 통화기본11GB+매일2GB</t>
        </is>
      </c>
      <c r="C1061" s="47" t="inlineStr">
        <is>
          <t>무제한</t>
        </is>
      </c>
      <c r="D1061" s="47" t="inlineStr">
        <is>
          <t>무제한</t>
        </is>
      </c>
      <c r="E1061" s="47" t="inlineStr">
        <is>
          <t>월 11GB + 매일 2GB + 3Mbps</t>
        </is>
      </c>
      <c r="F1061" s="47" t="inlineStr">
        <is>
          <t>LG U+</t>
        </is>
      </c>
      <c r="G1061" s="47" t="inlineStr">
        <is>
          <t>LTE</t>
        </is>
      </c>
      <c r="H1061" s="48" t="n">
        <v>18790</v>
      </c>
      <c r="I1061" s="48" t="n">
        <v>7</v>
      </c>
      <c r="J1061" s="48" t="n">
        <v>41890</v>
      </c>
      <c r="K1061" s="47">
        <f t="array" ref="K1061">_xlfn.XLOOKUP(1,(참조!$B$2:$B$15=E1061)*(참조!$D$2:$D$15=C1061)*(참조!$E$2:$E$15=D1061),참조!$C$2:$C$15,"")</f>
        <v/>
      </c>
    </row>
    <row r="1062" hidden="1" s="27">
      <c r="A1062" s="47" t="inlineStr">
        <is>
          <t>이야기모바일</t>
        </is>
      </c>
      <c r="B1062" s="47" t="inlineStr">
        <is>
          <t>함께이야기해S(1000분+10GB)</t>
        </is>
      </c>
      <c r="C1062" s="47" t="inlineStr">
        <is>
          <t>1,000분</t>
        </is>
      </c>
      <c r="D1062" s="47" t="inlineStr">
        <is>
          <t>100건</t>
        </is>
      </c>
      <c r="E1062" s="47" t="inlineStr">
        <is>
          <t>월 10GB</t>
        </is>
      </c>
      <c r="F1062" s="47" t="inlineStr">
        <is>
          <t>SKT</t>
        </is>
      </c>
      <c r="G1062" s="47" t="inlineStr">
        <is>
          <t>LTE</t>
        </is>
      </c>
      <c r="H1062" s="48" t="n">
        <v>14300</v>
      </c>
      <c r="I1062" s="48" t="n">
        <v>12</v>
      </c>
      <c r="J1062" s="48" t="n">
        <v>19800</v>
      </c>
      <c r="K1062" s="47">
        <f t="array" ref="K1062">_xlfn.XLOOKUP(1,(참조!$B$2:$B$15=E1062)*(참조!$D$2:$D$15=C1062)*(참조!$E$2:$E$15=D1062),참조!$C$2:$C$15,"")</f>
        <v/>
      </c>
    </row>
    <row r="1063" hidden="1" s="27">
      <c r="A1063" s="47" t="inlineStr">
        <is>
          <t>이야기모바일</t>
        </is>
      </c>
      <c r="B1063" s="47" t="inlineStr">
        <is>
          <t>내맘대로S(300+10GB)</t>
        </is>
      </c>
      <c r="C1063" s="47" t="inlineStr">
        <is>
          <t>300분</t>
        </is>
      </c>
      <c r="D1063" s="47" t="inlineStr">
        <is>
          <t>300건</t>
        </is>
      </c>
      <c r="E1063" s="47" t="inlineStr">
        <is>
          <t>월 10GB</t>
        </is>
      </c>
      <c r="F1063" s="47" t="inlineStr">
        <is>
          <t>SKT</t>
        </is>
      </c>
      <c r="G1063" s="47" t="inlineStr">
        <is>
          <t>LTE</t>
        </is>
      </c>
      <c r="H1063" s="48" t="n">
        <v>14300</v>
      </c>
      <c r="I1063" s="48" t="n">
        <v>12</v>
      </c>
      <c r="J1063" s="48" t="n">
        <v>16500</v>
      </c>
      <c r="K1063" s="47">
        <f t="array" ref="K1063">_xlfn.XLOOKUP(1,(참조!$B$2:$B$15=E1063)*(참조!$D$2:$D$15=C1063)*(참조!$E$2:$E$15=D1063),참조!$C$2:$C$15,"")</f>
        <v/>
      </c>
    </row>
    <row r="1064" hidden="1" s="27">
      <c r="A1064" s="47" t="inlineStr">
        <is>
          <t>이야기모바일</t>
        </is>
      </c>
      <c r="B1064" s="47" t="inlineStr">
        <is>
          <t>이야기S 폰케어 100GB+</t>
        </is>
      </c>
      <c r="C1064" s="47" t="inlineStr">
        <is>
          <t>무제한</t>
        </is>
      </c>
      <c r="D1064" s="47" t="inlineStr">
        <is>
          <t>무제한</t>
        </is>
      </c>
      <c r="E1064" s="47" t="inlineStr">
        <is>
          <t>월 100GB + 5Mbps</t>
        </is>
      </c>
      <c r="F1064" s="47" t="inlineStr">
        <is>
          <t>SKT</t>
        </is>
      </c>
      <c r="G1064" s="47" t="inlineStr">
        <is>
          <t>LTE</t>
        </is>
      </c>
      <c r="H1064" s="48" t="n">
        <v>18700</v>
      </c>
      <c r="I1064" s="48" t="n">
        <v>7</v>
      </c>
      <c r="J1064" s="48" t="n">
        <v>49500</v>
      </c>
      <c r="K1064" s="47">
        <f t="array" ref="K1064">_xlfn.XLOOKUP(1,(참조!$B$2:$B$15=E1064)*(참조!$D$2:$D$15=C1064)*(참조!$E$2:$E$15=D1064),참조!$C$2:$C$15,"")</f>
        <v/>
      </c>
    </row>
    <row r="1065" hidden="1" s="27">
      <c r="A1065" s="47" t="inlineStr">
        <is>
          <t>티플러스</t>
        </is>
      </c>
      <c r="B1065" s="47" t="inlineStr">
        <is>
          <t>티플 외국인 7GB＋3Mbps</t>
        </is>
      </c>
      <c r="C1065" s="47" t="inlineStr">
        <is>
          <t>500분</t>
        </is>
      </c>
      <c r="D1065" s="47" t="inlineStr">
        <is>
          <t>500건</t>
        </is>
      </c>
      <c r="E1065" s="47" t="inlineStr">
        <is>
          <t>월 7GB + 3Mbps</t>
        </is>
      </c>
      <c r="F1065" s="47" t="inlineStr">
        <is>
          <t>LG U+</t>
        </is>
      </c>
      <c r="G1065" s="47" t="inlineStr">
        <is>
          <t>LTE</t>
        </is>
      </c>
      <c r="H1065" s="48" t="n">
        <v>3900</v>
      </c>
      <c r="I1065" s="48" t="n">
        <v>7</v>
      </c>
      <c r="J1065" s="48" t="n">
        <v>29700</v>
      </c>
      <c r="K1065" s="47">
        <f t="array" ref="K1065">_xlfn.XLOOKUP(1,(참조!$B$2:$B$15=E1065)*(참조!$D$2:$D$15=C1065)*(참조!$E$2:$E$15=D1065),참조!$C$2:$C$15,"")</f>
        <v/>
      </c>
    </row>
    <row r="1066" hidden="1" s="27">
      <c r="A1066" s="47" t="inlineStr">
        <is>
          <t>모빙</t>
        </is>
      </c>
      <c r="B1066" s="47" t="inlineStr">
        <is>
          <t>[L] 5G 300분15GB</t>
        </is>
      </c>
      <c r="C1066" s="47" t="inlineStr">
        <is>
          <t>300분</t>
        </is>
      </c>
      <c r="D1066" s="47" t="inlineStr">
        <is>
          <t>300건</t>
        </is>
      </c>
      <c r="E1066" s="47" t="inlineStr">
        <is>
          <t>월 15GB</t>
        </is>
      </c>
      <c r="F1066" s="47" t="inlineStr">
        <is>
          <t>LG U+</t>
        </is>
      </c>
      <c r="G1066" s="47" t="inlineStr">
        <is>
          <t>5G</t>
        </is>
      </c>
      <c r="H1066" s="48" t="n">
        <v>10</v>
      </c>
      <c r="I1066" s="48" t="n">
        <v>6</v>
      </c>
      <c r="J1066" s="48" t="n">
        <v>24200</v>
      </c>
      <c r="K1066" s="47">
        <f t="array" ref="K1066">_xlfn.XLOOKUP(1,(참조!$B$2:$B$15=E1066)*(참조!$D$2:$D$15=C1066)*(참조!$E$2:$E$15=D1066),참조!$C$2:$C$15,"")</f>
        <v/>
      </c>
    </row>
    <row r="1067" hidden="1" s="27">
      <c r="A1067" s="47" t="inlineStr">
        <is>
          <t>아이즈모바일</t>
        </is>
      </c>
      <c r="B1067" s="47" t="inlineStr">
        <is>
          <t>[S]음성자유/10GB</t>
        </is>
      </c>
      <c r="C1067" s="47" t="inlineStr">
        <is>
          <t>무제한</t>
        </is>
      </c>
      <c r="D1067" s="47" t="inlineStr">
        <is>
          <t>500건</t>
        </is>
      </c>
      <c r="E1067" s="47" t="inlineStr">
        <is>
          <t>월 10GB</t>
        </is>
      </c>
      <c r="F1067" s="47" t="inlineStr">
        <is>
          <t>SKT</t>
        </is>
      </c>
      <c r="G1067" s="47" t="inlineStr">
        <is>
          <t>LTE</t>
        </is>
      </c>
      <c r="H1067" s="48" t="n">
        <v>10</v>
      </c>
      <c r="I1067" s="48" t="n">
        <v>10</v>
      </c>
      <c r="J1067" s="48" t="n">
        <v>27500</v>
      </c>
      <c r="K1067" s="47">
        <f t="array" ref="K1067">_xlfn.XLOOKUP(1,(참조!$B$2:$B$15=E1067)*(참조!$D$2:$D$15=C1067)*(참조!$E$2:$E$15=D1067),참조!$C$2:$C$15,"")</f>
        <v/>
      </c>
    </row>
    <row r="1068" hidden="1" s="27">
      <c r="A1068" s="47" t="inlineStr">
        <is>
          <t>아이즈모바일</t>
        </is>
      </c>
      <c r="B1068" s="47" t="inlineStr">
        <is>
          <t>[L]무한11GB+</t>
        </is>
      </c>
      <c r="C1068" s="47" t="inlineStr">
        <is>
          <t>무제한</t>
        </is>
      </c>
      <c r="D1068" s="47" t="inlineStr">
        <is>
          <t>무제한</t>
        </is>
      </c>
      <c r="E1068" s="47" t="inlineStr">
        <is>
          <t>월 11GB + 매일 2GB + 3Mbps</t>
        </is>
      </c>
      <c r="F1068" s="47" t="inlineStr">
        <is>
          <t>LG U+</t>
        </is>
      </c>
      <c r="G1068" s="47" t="inlineStr">
        <is>
          <t>LTE</t>
        </is>
      </c>
      <c r="H1068" s="48" t="n">
        <v>25500</v>
      </c>
      <c r="I1068" s="48" t="n"/>
      <c r="J1068" s="48" t="n"/>
      <c r="K1068" s="47">
        <f t="array" ref="K1068">_xlfn.XLOOKUP(1,(참조!$B$2:$B$15=E1068)*(참조!$D$2:$D$15=C1068)*(참조!$E$2:$E$15=D1068),참조!$C$2:$C$15,"")</f>
        <v/>
      </c>
    </row>
    <row r="1069" hidden="1" s="27">
      <c r="A1069" s="47" t="inlineStr">
        <is>
          <t>KT엠모바일</t>
        </is>
      </c>
      <c r="B1069" s="47" t="inlineStr">
        <is>
          <t>모두다 맘껏 안심 6GB+</t>
        </is>
      </c>
      <c r="C1069" s="47" t="inlineStr">
        <is>
          <t>무제한</t>
        </is>
      </c>
      <c r="D1069" s="47" t="inlineStr">
        <is>
          <t>무제한</t>
        </is>
      </c>
      <c r="E1069" s="47" t="inlineStr">
        <is>
          <t>월 6GB + 400Kbps</t>
        </is>
      </c>
      <c r="F1069" s="47" t="inlineStr">
        <is>
          <t>KT</t>
        </is>
      </c>
      <c r="G1069" s="47" t="inlineStr">
        <is>
          <t>LTE</t>
        </is>
      </c>
      <c r="H1069" s="48" t="n">
        <v>9400</v>
      </c>
      <c r="I1069" s="48" t="n"/>
      <c r="J1069" s="48" t="n"/>
      <c r="K1069" s="47">
        <f t="array" ref="K1069">_xlfn.XLOOKUP(1,(참조!$B$2:$B$15=E1069)*(참조!$D$2:$D$15=C1069)*(참조!$E$2:$E$15=D1069),참조!$C$2:$C$15,"")</f>
        <v/>
      </c>
    </row>
    <row r="1070" hidden="1" s="27">
      <c r="A1070" s="47" t="inlineStr">
        <is>
          <t>티플러스</t>
        </is>
      </c>
      <c r="B1070" s="47" t="inlineStr">
        <is>
          <t>데이터마음껏 15GB＋＋(300분)(네이버페이 매월 5000P)</t>
        </is>
      </c>
      <c r="C1070" s="47" t="inlineStr">
        <is>
          <t>300분</t>
        </is>
      </c>
      <c r="D1070" s="47" t="inlineStr">
        <is>
          <t>300건</t>
        </is>
      </c>
      <c r="E1070" s="47" t="inlineStr">
        <is>
          <t>월 15GB + 3Mbps</t>
        </is>
      </c>
      <c r="F1070" s="47" t="inlineStr">
        <is>
          <t>KT</t>
        </is>
      </c>
      <c r="G1070" s="47" t="inlineStr">
        <is>
          <t>LTE</t>
        </is>
      </c>
      <c r="H1070" s="48" t="n">
        <v>15900</v>
      </c>
      <c r="I1070" s="48" t="n">
        <v>7</v>
      </c>
      <c r="J1070" s="48" t="n">
        <v>34600</v>
      </c>
      <c r="K1070" s="47">
        <f t="array" ref="K1070">_xlfn.XLOOKUP(1,(참조!$B$2:$B$15=E1070)*(참조!$D$2:$D$15=C1070)*(참조!$E$2:$E$15=D1070),참조!$C$2:$C$15,"")</f>
        <v/>
      </c>
    </row>
    <row r="1071" hidden="1" s="27">
      <c r="A1071" s="47" t="inlineStr">
        <is>
          <t>마블링</t>
        </is>
      </c>
      <c r="B1071" s="47" t="inlineStr">
        <is>
          <t>[모요only] 프라임 15GB+3Mbps 300분</t>
        </is>
      </c>
      <c r="C1071" s="47" t="inlineStr">
        <is>
          <t>300분</t>
        </is>
      </c>
      <c r="D1071" s="47" t="inlineStr">
        <is>
          <t>300건</t>
        </is>
      </c>
      <c r="E1071" s="47" t="inlineStr">
        <is>
          <t>월 15GB + 3Mbps</t>
        </is>
      </c>
      <c r="F1071" s="47" t="inlineStr">
        <is>
          <t>LG U+</t>
        </is>
      </c>
      <c r="G1071" s="47" t="inlineStr">
        <is>
          <t>LTE</t>
        </is>
      </c>
      <c r="H1071" s="48" t="n">
        <v>16000</v>
      </c>
      <c r="I1071" s="48" t="n">
        <v>7</v>
      </c>
      <c r="J1071" s="48" t="n">
        <v>29900</v>
      </c>
      <c r="K1071" s="47">
        <f t="array" ref="K1071">_xlfn.XLOOKUP(1,(참조!$B$2:$B$15=E1071)*(참조!$D$2:$D$15=C1071)*(참조!$E$2:$E$15=D1071),참조!$C$2:$C$15,"")</f>
        <v/>
      </c>
    </row>
    <row r="1072" hidden="1" s="27">
      <c r="A1072" s="47" t="inlineStr">
        <is>
          <t>KT엠모바일</t>
        </is>
      </c>
      <c r="B1072" s="47" t="inlineStr">
        <is>
          <t>5G 모두다 맘껏 200GB+(밀리의 서재 FREE)</t>
        </is>
      </c>
      <c r="C1072" s="47" t="inlineStr">
        <is>
          <t>무제한</t>
        </is>
      </c>
      <c r="D1072" s="47" t="inlineStr">
        <is>
          <t>무제한</t>
        </is>
      </c>
      <c r="E1072" s="47" t="inlineStr">
        <is>
          <t>월 200GB + 10Mbps</t>
        </is>
      </c>
      <c r="F1072" s="47" t="inlineStr">
        <is>
          <t>KT</t>
        </is>
      </c>
      <c r="G1072" s="47" t="inlineStr">
        <is>
          <t>5G</t>
        </is>
      </c>
      <c r="H1072" s="48" t="n">
        <v>47700</v>
      </c>
      <c r="I1072" s="48" t="n"/>
      <c r="J1072" s="48" t="n"/>
      <c r="K1072" s="47">
        <f t="array" ref="K1072">_xlfn.XLOOKUP(1,(참조!$B$2:$B$15=E1072)*(참조!$D$2:$D$15=C1072)*(참조!$E$2:$E$15=D1072),참조!$C$2:$C$15,"")</f>
        <v/>
      </c>
    </row>
    <row r="1073" hidden="1" s="27">
      <c r="A1073" s="47" t="inlineStr">
        <is>
          <t>시월모바일</t>
        </is>
      </c>
      <c r="B1073" s="47" t="inlineStr">
        <is>
          <t>쿠폰팩 통화기본15GB+</t>
        </is>
      </c>
      <c r="C1073" s="47" t="inlineStr">
        <is>
          <t>무제한</t>
        </is>
      </c>
      <c r="D1073" s="47" t="inlineStr">
        <is>
          <t>무제한</t>
        </is>
      </c>
      <c r="E1073" s="47" t="inlineStr">
        <is>
          <t>월 15GB + 1Mbps</t>
        </is>
      </c>
      <c r="F1073" s="47" t="inlineStr">
        <is>
          <t>LG U+</t>
        </is>
      </c>
      <c r="G1073" s="47" t="inlineStr">
        <is>
          <t>LTE</t>
        </is>
      </c>
      <c r="H1073" s="48" t="n">
        <v>14360</v>
      </c>
      <c r="I1073" s="48" t="n">
        <v>7</v>
      </c>
      <c r="J1073" s="48" t="n">
        <v>33060</v>
      </c>
      <c r="K1073" s="47">
        <f t="array" ref="K1073">_xlfn.XLOOKUP(1,(참조!$B$2:$B$15=E1073)*(참조!$D$2:$D$15=C1073)*(참조!$E$2:$E$15=D1073),참조!$C$2:$C$15,"")</f>
        <v/>
      </c>
    </row>
    <row r="1074" hidden="1" s="27">
      <c r="A1074" s="47" t="inlineStr">
        <is>
          <t>모빙</t>
        </is>
      </c>
      <c r="B1074" s="47" t="inlineStr">
        <is>
          <t>홈결합 스페셜A</t>
        </is>
      </c>
      <c r="C1074" s="47" t="inlineStr">
        <is>
          <t>무제한</t>
        </is>
      </c>
      <c r="D1074" s="47" t="inlineStr">
        <is>
          <t>무제한</t>
        </is>
      </c>
      <c r="E1074" s="47" t="inlineStr">
        <is>
          <t>월 11GB + 매일 2GB + 3Mbps</t>
        </is>
      </c>
      <c r="F1074" s="47" t="inlineStr">
        <is>
          <t>LG U+</t>
        </is>
      </c>
      <c r="G1074" s="47" t="inlineStr">
        <is>
          <t>LTE</t>
        </is>
      </c>
      <c r="H1074" s="48" t="n">
        <v>24900</v>
      </c>
      <c r="I1074" s="48" t="n">
        <v>12</v>
      </c>
      <c r="J1074" s="48" t="n">
        <v>46000</v>
      </c>
      <c r="K1074" s="47">
        <f t="array" ref="K1074">_xlfn.XLOOKUP(1,(참조!$B$2:$B$15=E1074)*(참조!$D$2:$D$15=C1074)*(참조!$E$2:$E$15=D1074),참조!$C$2:$C$15,"")</f>
        <v/>
      </c>
    </row>
    <row r="1075" hidden="1" s="27">
      <c r="A1075" s="47" t="inlineStr">
        <is>
          <t>이야기모바일</t>
        </is>
      </c>
      <c r="B1075" s="47" t="inlineStr">
        <is>
          <t>내맘대로S(300+1GB)</t>
        </is>
      </c>
      <c r="C1075" s="47" t="inlineStr">
        <is>
          <t>300분</t>
        </is>
      </c>
      <c r="D1075" s="47" t="inlineStr">
        <is>
          <t>300건</t>
        </is>
      </c>
      <c r="E1075" s="47" t="inlineStr">
        <is>
          <t>월 1GB</t>
        </is>
      </c>
      <c r="F1075" s="47" t="inlineStr">
        <is>
          <t>SKT</t>
        </is>
      </c>
      <c r="G1075" s="47" t="inlineStr">
        <is>
          <t>LTE</t>
        </is>
      </c>
      <c r="H1075" s="48" t="n">
        <v>3300</v>
      </c>
      <c r="I1075" s="48" t="n">
        <v>24</v>
      </c>
      <c r="J1075" s="48" t="n">
        <v>4100</v>
      </c>
      <c r="K1075" s="47">
        <f t="array" ref="K1075">_xlfn.XLOOKUP(1,(참조!$B$2:$B$15=E1075)*(참조!$D$2:$D$15=C1075)*(참조!$E$2:$E$15=D1075),참조!$C$2:$C$15,"")</f>
        <v/>
      </c>
    </row>
    <row r="1076" hidden="1" s="27">
      <c r="A1076" s="47" t="inlineStr">
        <is>
          <t>스마텔</t>
        </is>
      </c>
      <c r="B1076" s="47" t="inlineStr">
        <is>
          <t>스마일 100GB+</t>
        </is>
      </c>
      <c r="C1076" s="47" t="inlineStr">
        <is>
          <t>무제한</t>
        </is>
      </c>
      <c r="D1076" s="47" t="inlineStr">
        <is>
          <t>무제한</t>
        </is>
      </c>
      <c r="E1076" s="47" t="inlineStr">
        <is>
          <t>월 100GB + 5Mbps</t>
        </is>
      </c>
      <c r="F1076" s="47" t="inlineStr">
        <is>
          <t>SKT</t>
        </is>
      </c>
      <c r="G1076" s="47" t="inlineStr">
        <is>
          <t>LTE</t>
        </is>
      </c>
      <c r="H1076" s="48" t="n">
        <v>19500</v>
      </c>
      <c r="I1076" s="48" t="n">
        <v>7</v>
      </c>
      <c r="J1076" s="48" t="n">
        <v>47300</v>
      </c>
      <c r="K1076" s="47">
        <f t="array" ref="K1076">_xlfn.XLOOKUP(1,(참조!$B$2:$B$15=E1076)*(참조!$D$2:$D$15=C1076)*(참조!$E$2:$E$15=D1076),참조!$C$2:$C$15,"")</f>
        <v/>
      </c>
    </row>
    <row r="1077" hidden="1" s="27">
      <c r="A1077" s="47" t="inlineStr">
        <is>
          <t>티플러스</t>
        </is>
      </c>
      <c r="B1077" s="47" t="inlineStr">
        <is>
          <t>티플 드림(1GB/200분)</t>
        </is>
      </c>
      <c r="C1077" s="47" t="inlineStr">
        <is>
          <t>200분</t>
        </is>
      </c>
      <c r="D1077" s="47" t="inlineStr">
        <is>
          <t>200건</t>
        </is>
      </c>
      <c r="E1077" s="47" t="inlineStr">
        <is>
          <t>월 1GB</t>
        </is>
      </c>
      <c r="F1077" s="47" t="inlineStr">
        <is>
          <t>SKT</t>
        </is>
      </c>
      <c r="G1077" s="47" t="inlineStr">
        <is>
          <t>LTE</t>
        </is>
      </c>
      <c r="H1077" s="48" t="n">
        <v>4950</v>
      </c>
      <c r="I1077" s="48" t="n"/>
      <c r="J1077" s="48" t="n"/>
      <c r="K1077" s="47">
        <f t="array" ref="K1077">_xlfn.XLOOKUP(1,(참조!$B$2:$B$15=E1077)*(참조!$D$2:$D$15=C1077)*(참조!$E$2:$E$15=D1077),참조!$C$2:$C$15,"")</f>
        <v/>
      </c>
    </row>
    <row r="1078" hidden="1" s="27">
      <c r="A1078" s="47" t="inlineStr">
        <is>
          <t>티플러스</t>
        </is>
      </c>
      <c r="B1078" s="47" t="inlineStr">
        <is>
          <t>티플 7GB+(이디야커피)</t>
        </is>
      </c>
      <c r="C1078" s="47" t="inlineStr">
        <is>
          <t>무제한</t>
        </is>
      </c>
      <c r="D1078" s="47" t="inlineStr">
        <is>
          <t>무제한</t>
        </is>
      </c>
      <c r="E1078" s="47" t="inlineStr">
        <is>
          <t>월 7GB + 1Mbps</t>
        </is>
      </c>
      <c r="F1078" s="47" t="inlineStr">
        <is>
          <t>SKT</t>
        </is>
      </c>
      <c r="G1078" s="47" t="inlineStr">
        <is>
          <t>LTE</t>
        </is>
      </c>
      <c r="H1078" s="48" t="n">
        <v>3900</v>
      </c>
      <c r="I1078" s="48" t="n">
        <v>7</v>
      </c>
      <c r="J1078" s="48" t="n">
        <v>29700</v>
      </c>
      <c r="K1078" s="47">
        <f t="array" ref="K1078">_xlfn.XLOOKUP(1,(참조!$B$2:$B$15=E1078)*(참조!$D$2:$D$15=C1078)*(참조!$E$2:$E$15=D1078),참조!$C$2:$C$15,"")</f>
        <v/>
      </c>
    </row>
    <row r="1079" hidden="1" s="27">
      <c r="A1079" s="47" t="inlineStr">
        <is>
          <t>인스모바일</t>
        </is>
      </c>
      <c r="B1079" s="47" t="inlineStr">
        <is>
          <t>[평생할인]인스 유심 음성 60분+500MB</t>
        </is>
      </c>
      <c r="C1079" s="47" t="inlineStr">
        <is>
          <t>60분</t>
        </is>
      </c>
      <c r="D1079" s="47" t="inlineStr">
        <is>
          <t>50건</t>
        </is>
      </c>
      <c r="E1079" s="47" t="inlineStr">
        <is>
          <t>월 500MB</t>
        </is>
      </c>
      <c r="F1079" s="47" t="inlineStr">
        <is>
          <t>LG U+</t>
        </is>
      </c>
      <c r="G1079" s="47" t="inlineStr">
        <is>
          <t>LTE</t>
        </is>
      </c>
      <c r="H1079" s="48" t="n">
        <v>3280</v>
      </c>
      <c r="I1079" s="48" t="n"/>
      <c r="J1079" s="48" t="n"/>
      <c r="K1079" s="47">
        <f t="array" ref="K1079">_xlfn.XLOOKUP(1,(참조!$B$2:$B$15=E1079)*(참조!$D$2:$D$15=C1079)*(참조!$E$2:$E$15=D1079),참조!$C$2:$C$15,"")</f>
        <v/>
      </c>
    </row>
    <row r="1080" hidden="1" s="27">
      <c r="A1080" s="47" t="inlineStr">
        <is>
          <t>에이모바일</t>
        </is>
      </c>
      <c r="B1080" s="47" t="inlineStr">
        <is>
          <t>A 5G 스페셜 슈퍼</t>
        </is>
      </c>
      <c r="C1080" s="47" t="inlineStr">
        <is>
          <t>무제한</t>
        </is>
      </c>
      <c r="D1080" s="47" t="inlineStr">
        <is>
          <t>무제한</t>
        </is>
      </c>
      <c r="E1080" s="47" t="inlineStr">
        <is>
          <t>월 95GB + 3Mbps</t>
        </is>
      </c>
      <c r="F1080" s="47" t="inlineStr">
        <is>
          <t>LG U+</t>
        </is>
      </c>
      <c r="G1080" s="47" t="inlineStr">
        <is>
          <t>5G</t>
        </is>
      </c>
      <c r="H1080" s="48" t="n">
        <v>6500</v>
      </c>
      <c r="I1080" s="48" t="n">
        <v>7</v>
      </c>
      <c r="J1080" s="48" t="n">
        <v>48420</v>
      </c>
      <c r="K1080" s="47">
        <f t="array" ref="K1080">_xlfn.XLOOKUP(1,(참조!$B$2:$B$15=E1080)*(참조!$D$2:$D$15=C1080)*(참조!$E$2:$E$15=D1080),참조!$C$2:$C$15,"")</f>
        <v/>
      </c>
    </row>
    <row r="1081" hidden="1" s="27">
      <c r="A1081" s="47" t="inlineStr">
        <is>
          <t>모빙</t>
        </is>
      </c>
      <c r="B1081" s="47" t="inlineStr">
        <is>
          <t>[L] 5G 데이터 4.5GB+</t>
        </is>
      </c>
      <c r="C1081" s="47" t="inlineStr">
        <is>
          <t>무제한</t>
        </is>
      </c>
      <c r="D1081" s="47" t="inlineStr">
        <is>
          <t>100건</t>
        </is>
      </c>
      <c r="E1081" s="47" t="inlineStr">
        <is>
          <t>월 4.5GB + 1Mbps</t>
        </is>
      </c>
      <c r="F1081" s="47" t="inlineStr">
        <is>
          <t>LG U+</t>
        </is>
      </c>
      <c r="G1081" s="47" t="inlineStr">
        <is>
          <t>5G</t>
        </is>
      </c>
      <c r="H1081" s="48" t="n">
        <v>10</v>
      </c>
      <c r="I1081" s="48" t="n">
        <v>6</v>
      </c>
      <c r="J1081" s="48" t="n">
        <v>18000</v>
      </c>
      <c r="K1081" s="47">
        <f t="array" ref="K1081">_xlfn.XLOOKUP(1,(참조!$B$2:$B$15=E1081)*(참조!$D$2:$D$15=C1081)*(참조!$E$2:$E$15=D1081),참조!$C$2:$C$15,"")</f>
        <v/>
      </c>
    </row>
    <row r="1082" hidden="1" s="27">
      <c r="A1082" s="47" t="inlineStr">
        <is>
          <t>쉐이크모바일</t>
        </is>
      </c>
      <c r="B1082" s="47" t="inlineStr">
        <is>
          <t>[모요only] 쉐이크 5G 70GB+_밀리의서재</t>
        </is>
      </c>
      <c r="C1082" s="47" t="inlineStr">
        <is>
          <t>무제한</t>
        </is>
      </c>
      <c r="D1082" s="47" t="inlineStr">
        <is>
          <t>무제한</t>
        </is>
      </c>
      <c r="E1082" s="47" t="inlineStr">
        <is>
          <t>월 70GB + 1Mbps</t>
        </is>
      </c>
      <c r="F1082" s="47" t="inlineStr">
        <is>
          <t>KT</t>
        </is>
      </c>
      <c r="G1082" s="47" t="inlineStr">
        <is>
          <t>5G</t>
        </is>
      </c>
      <c r="H1082" s="48" t="n">
        <v>20000</v>
      </c>
      <c r="I1082" s="48" t="n">
        <v>7</v>
      </c>
      <c r="J1082" s="48" t="n">
        <v>45100</v>
      </c>
      <c r="K1082" s="47">
        <f t="array" ref="K1082">_xlfn.XLOOKUP(1,(참조!$B$2:$B$15=E1082)*(참조!$D$2:$D$15=C1082)*(참조!$E$2:$E$15=D1082),참조!$C$2:$C$15,"")</f>
        <v/>
      </c>
    </row>
    <row r="1083" hidden="1" s="27">
      <c r="A1083" s="47" t="inlineStr">
        <is>
          <t>고고모바일</t>
        </is>
      </c>
      <c r="B1083" s="47" t="inlineStr">
        <is>
          <t>무제한 15GB+1M(올리브영 매월 5000원)</t>
        </is>
      </c>
      <c r="C1083" s="47" t="inlineStr">
        <is>
          <t>무제한</t>
        </is>
      </c>
      <c r="D1083" s="47" t="inlineStr">
        <is>
          <t>무제한</t>
        </is>
      </c>
      <c r="E1083" s="47" t="inlineStr">
        <is>
          <t>월 15GB + 1Mbps</t>
        </is>
      </c>
      <c r="F1083" s="47" t="inlineStr">
        <is>
          <t>KT</t>
        </is>
      </c>
      <c r="G1083" s="47" t="inlineStr">
        <is>
          <t>LTE</t>
        </is>
      </c>
      <c r="H1083" s="48" t="n">
        <v>25960</v>
      </c>
      <c r="I1083" s="48" t="n"/>
      <c r="J1083" s="48" t="n"/>
      <c r="K1083" s="47">
        <f t="array" ref="K1083">_xlfn.XLOOKUP(1,(참조!$B$2:$B$15=E1083)*(참조!$D$2:$D$15=C1083)*(참조!$E$2:$E$15=D1083),참조!$C$2:$C$15,"")</f>
        <v/>
      </c>
    </row>
    <row r="1084" hidden="1" s="27">
      <c r="A1084" s="47" t="inlineStr">
        <is>
          <t>모빙</t>
        </is>
      </c>
      <c r="B1084" s="47" t="inlineStr">
        <is>
          <t>모빙 300분15GB</t>
        </is>
      </c>
      <c r="C1084" s="47" t="inlineStr">
        <is>
          <t>300분</t>
        </is>
      </c>
      <c r="D1084" s="47" t="inlineStr">
        <is>
          <t>300건</t>
        </is>
      </c>
      <c r="E1084" s="47" t="inlineStr">
        <is>
          <t>월 15GB</t>
        </is>
      </c>
      <c r="F1084" s="47" t="inlineStr">
        <is>
          <t>SKT</t>
        </is>
      </c>
      <c r="G1084" s="47" t="inlineStr">
        <is>
          <t>LTE</t>
        </is>
      </c>
      <c r="H1084" s="48" t="n">
        <v>10</v>
      </c>
      <c r="I1084" s="48" t="n">
        <v>7</v>
      </c>
      <c r="J1084" s="48" t="n">
        <v>28600</v>
      </c>
      <c r="K1084" s="47">
        <f t="array" ref="K1084">_xlfn.XLOOKUP(1,(참조!$B$2:$B$15=E1084)*(참조!$D$2:$D$15=C1084)*(참조!$E$2:$E$15=D1084),참조!$C$2:$C$15,"")</f>
        <v/>
      </c>
    </row>
    <row r="1085" hidden="1" s="27">
      <c r="A1085" s="47" t="inlineStr">
        <is>
          <t>더원모바일</t>
        </is>
      </c>
      <c r="B1085" s="47" t="inlineStr">
        <is>
          <t>ONE 5G 10GB 300분</t>
        </is>
      </c>
      <c r="C1085" s="47" t="inlineStr">
        <is>
          <t>300분</t>
        </is>
      </c>
      <c r="D1085" s="47" t="inlineStr">
        <is>
          <t>200건</t>
        </is>
      </c>
      <c r="E1085" s="47" t="inlineStr">
        <is>
          <t>월 10GB</t>
        </is>
      </c>
      <c r="F1085" s="47" t="inlineStr">
        <is>
          <t>KT</t>
        </is>
      </c>
      <c r="G1085" s="47" t="inlineStr">
        <is>
          <t>5G</t>
        </is>
      </c>
      <c r="H1085" s="48" t="n">
        <v>990</v>
      </c>
      <c r="I1085" s="48" t="n">
        <v>6</v>
      </c>
      <c r="J1085" s="48" t="n">
        <v>20900</v>
      </c>
      <c r="K1085" s="47">
        <f t="array" ref="K1085">_xlfn.XLOOKUP(1,(참조!$B$2:$B$15=E1085)*(참조!$D$2:$D$15=C1085)*(참조!$E$2:$E$15=D1085),참조!$C$2:$C$15,"")</f>
        <v/>
      </c>
    </row>
    <row r="1086" hidden="1" s="27">
      <c r="A1086" s="47" t="inlineStr">
        <is>
          <t>스마텔</t>
        </is>
      </c>
      <c r="B1086" s="47" t="inlineStr">
        <is>
          <t>후후 스마일 100GB+</t>
        </is>
      </c>
      <c r="C1086" s="47" t="inlineStr">
        <is>
          <t>무제한</t>
        </is>
      </c>
      <c r="D1086" s="47" t="inlineStr">
        <is>
          <t>무제한</t>
        </is>
      </c>
      <c r="E1086" s="47" t="inlineStr">
        <is>
          <t>월 100GB + 5Mbps</t>
        </is>
      </c>
      <c r="F1086" s="47" t="inlineStr">
        <is>
          <t>SKT</t>
        </is>
      </c>
      <c r="G1086" s="47" t="inlineStr">
        <is>
          <t>LTE</t>
        </is>
      </c>
      <c r="H1086" s="48" t="n">
        <v>19830</v>
      </c>
      <c r="I1086" s="48" t="n">
        <v>7</v>
      </c>
      <c r="J1086" s="48" t="n">
        <v>47630</v>
      </c>
      <c r="K1086" s="47">
        <f t="array" ref="K1086">_xlfn.XLOOKUP(1,(참조!$B$2:$B$15=E1086)*(참조!$D$2:$D$15=C1086)*(참조!$E$2:$E$15=D1086),참조!$C$2:$C$15,"")</f>
        <v/>
      </c>
    </row>
    <row r="1087" hidden="1" s="27">
      <c r="A1087" s="47" t="inlineStr">
        <is>
          <t>아이즈모바일</t>
        </is>
      </c>
      <c r="B1087" s="47" t="inlineStr">
        <is>
          <t>[L]아이즈팩 100GB+</t>
        </is>
      </c>
      <c r="C1087" s="47" t="inlineStr">
        <is>
          <t>무제한</t>
        </is>
      </c>
      <c r="D1087" s="47" t="inlineStr">
        <is>
          <t>무제한</t>
        </is>
      </c>
      <c r="E1087" s="47" t="inlineStr">
        <is>
          <t>월 100GB + 5Mbps</t>
        </is>
      </c>
      <c r="F1087" s="47" t="inlineStr">
        <is>
          <t>LG U+</t>
        </is>
      </c>
      <c r="G1087" s="47" t="inlineStr">
        <is>
          <t>LTE</t>
        </is>
      </c>
      <c r="H1087" s="48" t="n">
        <v>25900</v>
      </c>
      <c r="I1087" s="48" t="n">
        <v>24</v>
      </c>
      <c r="J1087" s="48" t="n">
        <v>52800</v>
      </c>
      <c r="K1087" s="47">
        <f t="array" ref="K1087">_xlfn.XLOOKUP(1,(참조!$B$2:$B$15=E1087)*(참조!$D$2:$D$15=C1087)*(참조!$E$2:$E$15=D1087),참조!$C$2:$C$15,"")</f>
        <v/>
      </c>
    </row>
    <row r="1088" hidden="1" s="27">
      <c r="A1088" s="47" t="inlineStr">
        <is>
          <t>고고모바일</t>
        </is>
      </c>
      <c r="B1088" s="47" t="inlineStr">
        <is>
          <t>LTE 200분/5GB_모요</t>
        </is>
      </c>
      <c r="C1088" s="47" t="inlineStr">
        <is>
          <t>200분</t>
        </is>
      </c>
      <c r="D1088" s="47" t="inlineStr">
        <is>
          <t>100건</t>
        </is>
      </c>
      <c r="E1088" s="47" t="inlineStr">
        <is>
          <t>월 5GB</t>
        </is>
      </c>
      <c r="F1088" s="47" t="inlineStr">
        <is>
          <t>SKT</t>
        </is>
      </c>
      <c r="G1088" s="47" t="inlineStr">
        <is>
          <t>LTE</t>
        </is>
      </c>
      <c r="H1088" s="48" t="n">
        <v>880</v>
      </c>
      <c r="I1088" s="48" t="n">
        <v>7</v>
      </c>
      <c r="J1088" s="48" t="n">
        <v>11220</v>
      </c>
      <c r="K1088" s="47">
        <f t="array" ref="K1088">_xlfn.XLOOKUP(1,(참조!$B$2:$B$15=E1088)*(참조!$D$2:$D$15=C1088)*(참조!$E$2:$E$15=D1088),참조!$C$2:$C$15,"")</f>
        <v/>
      </c>
    </row>
    <row r="1089" hidden="1" s="27">
      <c r="A1089" s="47" t="inlineStr">
        <is>
          <t>아이즈모바일</t>
        </is>
      </c>
      <c r="B1089" s="47" t="inlineStr">
        <is>
          <t>[L]아이즈팩 15GB+1Mbps</t>
        </is>
      </c>
      <c r="C1089" s="47" t="inlineStr">
        <is>
          <t>무제한</t>
        </is>
      </c>
      <c r="D1089" s="47" t="inlineStr">
        <is>
          <t>무제한</t>
        </is>
      </c>
      <c r="E1089" s="47" t="inlineStr">
        <is>
          <t>월 15GB + 1Mbps</t>
        </is>
      </c>
      <c r="F1089" s="47" t="inlineStr">
        <is>
          <t>LG U+</t>
        </is>
      </c>
      <c r="G1089" s="47" t="inlineStr">
        <is>
          <t>LTE</t>
        </is>
      </c>
      <c r="H1089" s="48" t="n">
        <v>12500</v>
      </c>
      <c r="I1089" s="48" t="n">
        <v>24</v>
      </c>
      <c r="J1089" s="48" t="n">
        <v>29700</v>
      </c>
      <c r="K1089" s="47">
        <f t="array" ref="K1089">_xlfn.XLOOKUP(1,(참조!$B$2:$B$15=E1089)*(참조!$D$2:$D$15=C1089)*(참조!$E$2:$E$15=D1089),참조!$C$2:$C$15,"")</f>
        <v/>
      </c>
    </row>
    <row r="1090" hidden="1" s="27">
      <c r="A1090" s="47" t="inlineStr">
        <is>
          <t>이야기모바일</t>
        </is>
      </c>
      <c r="B1090" s="47" t="inlineStr">
        <is>
          <t>이야기 라이트S 7GB+</t>
        </is>
      </c>
      <c r="C1090" s="47" t="inlineStr">
        <is>
          <t>무제한</t>
        </is>
      </c>
      <c r="D1090" s="47" t="inlineStr">
        <is>
          <t>무제한</t>
        </is>
      </c>
      <c r="E1090" s="47" t="inlineStr">
        <is>
          <t>월 7GB + 1Mbps</t>
        </is>
      </c>
      <c r="F1090" s="47" t="inlineStr">
        <is>
          <t>SKT</t>
        </is>
      </c>
      <c r="G1090" s="47" t="inlineStr">
        <is>
          <t>LTE</t>
        </is>
      </c>
      <c r="H1090" s="48" t="n">
        <v>18700</v>
      </c>
      <c r="I1090" s="48" t="n"/>
      <c r="J1090" s="48" t="n"/>
      <c r="K1090" s="47">
        <f t="array" ref="K1090">_xlfn.XLOOKUP(1,(참조!$B$2:$B$15=E1090)*(참조!$D$2:$D$15=C1090)*(참조!$E$2:$E$15=D1090),참조!$C$2:$C$15,"")</f>
        <v/>
      </c>
    </row>
    <row r="1091" hidden="1" s="27">
      <c r="A1091" s="47" t="inlineStr">
        <is>
          <t>더원모바일</t>
        </is>
      </c>
      <c r="B1091" s="47" t="inlineStr">
        <is>
          <t>TOP 7GB 기본 (쿠팡캐시)</t>
        </is>
      </c>
      <c r="C1091" s="47" t="inlineStr">
        <is>
          <t>무제한</t>
        </is>
      </c>
      <c r="D1091" s="47" t="inlineStr">
        <is>
          <t>무제한</t>
        </is>
      </c>
      <c r="E1091" s="47" t="inlineStr">
        <is>
          <t>월 7GB + 1Mbps</t>
        </is>
      </c>
      <c r="F1091" s="47" t="inlineStr">
        <is>
          <t>KT</t>
        </is>
      </c>
      <c r="G1091" s="47" t="inlineStr">
        <is>
          <t>LTE</t>
        </is>
      </c>
      <c r="H1091" s="48" t="n">
        <v>4400</v>
      </c>
      <c r="I1091" s="48" t="n">
        <v>7</v>
      </c>
      <c r="J1091" s="48" t="n">
        <v>26400</v>
      </c>
      <c r="K1091" s="47">
        <f t="array" ref="K1091">_xlfn.XLOOKUP(1,(참조!$B$2:$B$15=E1091)*(참조!$D$2:$D$15=C1091)*(참조!$E$2:$E$15=D1091),참조!$C$2:$C$15,"")</f>
        <v/>
      </c>
    </row>
    <row r="1092" hidden="1" s="27">
      <c r="A1092" s="47" t="inlineStr">
        <is>
          <t>고고모바일</t>
        </is>
      </c>
      <c r="B1092" s="47" t="inlineStr">
        <is>
          <t>[모요only] 무제한 7GB+1M(다이소 5000원)</t>
        </is>
      </c>
      <c r="C1092" s="47" t="inlineStr">
        <is>
          <t>무제한</t>
        </is>
      </c>
      <c r="D1092" s="47" t="inlineStr">
        <is>
          <t>무제한</t>
        </is>
      </c>
      <c r="E1092" s="47" t="inlineStr">
        <is>
          <t>월 7GB + 1Mbps</t>
        </is>
      </c>
      <c r="F1092" s="47" t="inlineStr">
        <is>
          <t>KT</t>
        </is>
      </c>
      <c r="G1092" s="47" t="inlineStr">
        <is>
          <t>LTE</t>
        </is>
      </c>
      <c r="H1092" s="48" t="n">
        <v>5700</v>
      </c>
      <c r="I1092" s="48" t="n">
        <v>7</v>
      </c>
      <c r="J1092" s="48" t="n">
        <v>24200</v>
      </c>
      <c r="K1092" s="47">
        <f t="array" ref="K1092">_xlfn.XLOOKUP(1,(참조!$B$2:$B$15=E1092)*(참조!$D$2:$D$15=C1092)*(참조!$E$2:$E$15=D1092),참조!$C$2:$C$15,"")</f>
        <v/>
      </c>
    </row>
    <row r="1093" hidden="1" s="27">
      <c r="A1093" s="47" t="inlineStr">
        <is>
          <t>아이즈모바일</t>
        </is>
      </c>
      <c r="B1093" s="47" t="inlineStr">
        <is>
          <t>아이즈 200분 10GB</t>
        </is>
      </c>
      <c r="C1093" s="47" t="inlineStr">
        <is>
          <t>200분</t>
        </is>
      </c>
      <c r="D1093" s="47" t="inlineStr">
        <is>
          <t>100건</t>
        </is>
      </c>
      <c r="E1093" s="47" t="inlineStr">
        <is>
          <t>월 10GB</t>
        </is>
      </c>
      <c r="F1093" s="47" t="inlineStr">
        <is>
          <t>KT</t>
        </is>
      </c>
      <c r="G1093" s="47" t="inlineStr">
        <is>
          <t>LTE</t>
        </is>
      </c>
      <c r="H1093" s="48" t="n">
        <v>2990</v>
      </c>
      <c r="I1093" s="48" t="n"/>
      <c r="J1093" s="48" t="n"/>
      <c r="K1093" s="47">
        <f t="array" ref="K1093">_xlfn.XLOOKUP(1,(참조!$B$2:$B$15=E1093)*(참조!$D$2:$D$15=C1093)*(참조!$E$2:$E$15=D1093),참조!$C$2:$C$15,"")</f>
        <v/>
      </c>
    </row>
    <row r="1094" hidden="1" s="27">
      <c r="A1094" s="47" t="inlineStr">
        <is>
          <t>에이모바일</t>
        </is>
      </c>
      <c r="B1094" s="47" t="inlineStr">
        <is>
          <t>A 5G 스페셜 슈퍼 (24개월)</t>
        </is>
      </c>
      <c r="C1094" s="47" t="inlineStr">
        <is>
          <t>무제한</t>
        </is>
      </c>
      <c r="D1094" s="47" t="inlineStr">
        <is>
          <t>무제한</t>
        </is>
      </c>
      <c r="E1094" s="47" t="inlineStr">
        <is>
          <t>월 95GB + 3Mbps</t>
        </is>
      </c>
      <c r="F1094" s="47" t="inlineStr">
        <is>
          <t>LG U+</t>
        </is>
      </c>
      <c r="G1094" s="47" t="inlineStr">
        <is>
          <t>5G</t>
        </is>
      </c>
      <c r="H1094" s="48" t="n">
        <v>25300</v>
      </c>
      <c r="I1094" s="48" t="n">
        <v>24</v>
      </c>
      <c r="J1094" s="48" t="n">
        <v>48400</v>
      </c>
      <c r="K1094" s="47">
        <f t="array" ref="K1094">_xlfn.XLOOKUP(1,(참조!$B$2:$B$15=E1094)*(참조!$D$2:$D$15=C1094)*(참조!$E$2:$E$15=D1094),참조!$C$2:$C$15,"")</f>
        <v/>
      </c>
    </row>
    <row r="1095" hidden="1" s="27">
      <c r="A1095" s="47" t="inlineStr">
        <is>
          <t>아이즈모바일</t>
        </is>
      </c>
      <c r="B1095" s="47" t="inlineStr">
        <is>
          <t>[K]울트라(300분/20GB)</t>
        </is>
      </c>
      <c r="C1095" s="47" t="inlineStr">
        <is>
          <t>300분</t>
        </is>
      </c>
      <c r="D1095" s="47" t="inlineStr">
        <is>
          <t>200건</t>
        </is>
      </c>
      <c r="E1095" s="47" t="inlineStr">
        <is>
          <t>월 20GB</t>
        </is>
      </c>
      <c r="F1095" s="47" t="inlineStr">
        <is>
          <t>KT</t>
        </is>
      </c>
      <c r="G1095" s="47" t="inlineStr">
        <is>
          <t>LTE</t>
        </is>
      </c>
      <c r="H1095" s="48" t="n">
        <v>100</v>
      </c>
      <c r="I1095" s="48" t="n">
        <v>7</v>
      </c>
      <c r="J1095" s="48" t="n">
        <v>30800</v>
      </c>
      <c r="K1095" s="47">
        <f t="array" ref="K1095">_xlfn.XLOOKUP(1,(참조!$B$2:$B$15=E1095)*(참조!$D$2:$D$15=C1095)*(참조!$E$2:$E$15=D1095),참조!$C$2:$C$15,"")</f>
        <v/>
      </c>
    </row>
    <row r="1096" hidden="1" s="27">
      <c r="A1096" s="47" t="inlineStr">
        <is>
          <t>KG모바일</t>
        </is>
      </c>
      <c r="B1096" s="47" t="inlineStr">
        <is>
          <t>[KG모바일 스페셜] 데이터 마음대로 (15GB+/300분)</t>
        </is>
      </c>
      <c r="C1096" s="47" t="inlineStr">
        <is>
          <t>300분</t>
        </is>
      </c>
      <c r="D1096" s="47" t="inlineStr">
        <is>
          <t>300건</t>
        </is>
      </c>
      <c r="E1096" s="47" t="inlineStr">
        <is>
          <t>월 15GB + 3Mbps</t>
        </is>
      </c>
      <c r="F1096" s="47" t="inlineStr">
        <is>
          <t>LG U+</t>
        </is>
      </c>
      <c r="G1096" s="47" t="inlineStr">
        <is>
          <t>LTE</t>
        </is>
      </c>
      <c r="H1096" s="48" t="n">
        <v>16000</v>
      </c>
      <c r="I1096" s="48" t="n">
        <v>7</v>
      </c>
      <c r="J1096" s="48" t="n">
        <v>35200</v>
      </c>
      <c r="K1096" s="47">
        <f t="array" ref="K1096">_xlfn.XLOOKUP(1,(참조!$B$2:$B$15=E1096)*(참조!$D$2:$D$15=C1096)*(참조!$E$2:$E$15=D1096),참조!$C$2:$C$15,"")</f>
        <v/>
      </c>
    </row>
    <row r="1097" hidden="1" s="27">
      <c r="A1097" s="47" t="inlineStr">
        <is>
          <t>모빙</t>
        </is>
      </c>
      <c r="B1097" s="47" t="inlineStr">
        <is>
          <t>[L] 5G 데이터 5GB+</t>
        </is>
      </c>
      <c r="C1097" s="47" t="inlineStr">
        <is>
          <t>무제한</t>
        </is>
      </c>
      <c r="D1097" s="47" t="inlineStr">
        <is>
          <t>100건</t>
        </is>
      </c>
      <c r="E1097" s="47" t="inlineStr">
        <is>
          <t>월 5GB + 1Mbps</t>
        </is>
      </c>
      <c r="F1097" s="47" t="inlineStr">
        <is>
          <t>LG U+</t>
        </is>
      </c>
      <c r="G1097" s="47" t="inlineStr">
        <is>
          <t>5G</t>
        </is>
      </c>
      <c r="H1097" s="48" t="n">
        <v>10</v>
      </c>
      <c r="I1097" s="48" t="n">
        <v>6</v>
      </c>
      <c r="J1097" s="48" t="n">
        <v>20000</v>
      </c>
      <c r="K1097" s="47">
        <f t="array" ref="K1097">_xlfn.XLOOKUP(1,(참조!$B$2:$B$15=E1097)*(참조!$D$2:$D$15=C1097)*(참조!$E$2:$E$15=D1097),참조!$C$2:$C$15,"")</f>
        <v/>
      </c>
    </row>
    <row r="1098" hidden="1" s="27">
      <c r="A1098" s="47" t="inlineStr">
        <is>
          <t>아이즈모바일</t>
        </is>
      </c>
      <c r="B1098" s="47" t="inlineStr">
        <is>
          <t>[K]5G 울트라(300분/30GB)</t>
        </is>
      </c>
      <c r="C1098" s="47" t="inlineStr">
        <is>
          <t>300분</t>
        </is>
      </c>
      <c r="D1098" s="47" t="inlineStr">
        <is>
          <t>200건</t>
        </is>
      </c>
      <c r="E1098" s="47" t="inlineStr">
        <is>
          <t>월 30GB</t>
        </is>
      </c>
      <c r="F1098" s="47" t="inlineStr">
        <is>
          <t>KT</t>
        </is>
      </c>
      <c r="G1098" s="47" t="inlineStr">
        <is>
          <t>5G</t>
        </is>
      </c>
      <c r="H1098" s="48" t="n">
        <v>11000</v>
      </c>
      <c r="I1098" s="48" t="n">
        <v>36</v>
      </c>
      <c r="J1098" s="48" t="n">
        <v>44000</v>
      </c>
      <c r="K1098" s="47">
        <f t="array" ref="K1098">_xlfn.XLOOKUP(1,(참조!$B$2:$B$15=E1098)*(참조!$D$2:$D$15=C1098)*(참조!$E$2:$E$15=D1098),참조!$C$2:$C$15,"")</f>
        <v/>
      </c>
    </row>
    <row r="1099" hidden="1" s="27">
      <c r="A1099" s="47" t="inlineStr">
        <is>
          <t>리브모바일</t>
        </is>
      </c>
      <c r="B1099" s="47" t="inlineStr">
        <is>
          <t>청년도약 LTE 71GB+</t>
        </is>
      </c>
      <c r="C1099" s="47" t="inlineStr">
        <is>
          <t>무제한</t>
        </is>
      </c>
      <c r="D1099" s="47" t="inlineStr">
        <is>
          <t>무제한</t>
        </is>
      </c>
      <c r="E1099" s="47" t="inlineStr">
        <is>
          <t>월 11GB + 매일 2GB + 3Mbps</t>
        </is>
      </c>
      <c r="F1099" s="47" t="inlineStr">
        <is>
          <t>LG U+</t>
        </is>
      </c>
      <c r="G1099" s="47" t="inlineStr">
        <is>
          <t>LTE</t>
        </is>
      </c>
      <c r="H1099" s="48" t="n">
        <v>26400</v>
      </c>
      <c r="I1099" s="48" t="n">
        <v>36</v>
      </c>
      <c r="J1099" s="48" t="n">
        <v>34300</v>
      </c>
      <c r="K1099" s="47">
        <f t="array" ref="K1099">_xlfn.XLOOKUP(1,(참조!$B$2:$B$15=E1099)*(참조!$D$2:$D$15=C1099)*(참조!$E$2:$E$15=D1099),참조!$C$2:$C$15,"")</f>
        <v/>
      </c>
    </row>
    <row r="1100" hidden="1" s="27">
      <c r="A1100" s="47" t="inlineStr">
        <is>
          <t>에이모바일</t>
        </is>
      </c>
      <c r="B1100" s="47" t="inlineStr">
        <is>
          <t>요금폭탄방지 매일 5GB+</t>
        </is>
      </c>
      <c r="C1100" s="47" t="inlineStr">
        <is>
          <t>무제한</t>
        </is>
      </c>
      <c r="D1100" s="47" t="inlineStr">
        <is>
          <t>무제한</t>
        </is>
      </c>
      <c r="E1100" s="47" t="inlineStr">
        <is>
          <t>매일 5GB + 5Mbps</t>
        </is>
      </c>
      <c r="F1100" s="47" t="inlineStr">
        <is>
          <t>LG U+</t>
        </is>
      </c>
      <c r="G1100" s="47" t="inlineStr">
        <is>
          <t>LTE</t>
        </is>
      </c>
      <c r="H1100" s="48" t="n">
        <v>6600</v>
      </c>
      <c r="I1100" s="48" t="n">
        <v>7</v>
      </c>
      <c r="J1100" s="48" t="n">
        <v>49500</v>
      </c>
      <c r="K1100" s="47">
        <f t="array" ref="K1100">_xlfn.XLOOKUP(1,(참조!$B$2:$B$15=E1100)*(참조!$D$2:$D$15=C1100)*(참조!$E$2:$E$15=D1100),참조!$C$2:$C$15,"")</f>
        <v/>
      </c>
    </row>
    <row r="1101" hidden="1" s="27">
      <c r="A1101" s="47" t="inlineStr">
        <is>
          <t>티플러스</t>
        </is>
      </c>
      <c r="B1101" s="47" t="inlineStr">
        <is>
          <t>KT 15GB+(300분) (CU 매월 20%+올리브영 매월 5천원 상품권!)</t>
        </is>
      </c>
      <c r="C1101" s="47" t="inlineStr">
        <is>
          <t>300분</t>
        </is>
      </c>
      <c r="D1101" s="47" t="inlineStr">
        <is>
          <t>300건</t>
        </is>
      </c>
      <c r="E1101" s="47" t="inlineStr">
        <is>
          <t>월 15GB + 3Mbps</t>
        </is>
      </c>
      <c r="F1101" s="47" t="inlineStr">
        <is>
          <t>KT</t>
        </is>
      </c>
      <c r="G1101" s="47" t="inlineStr">
        <is>
          <t>LTE</t>
        </is>
      </c>
      <c r="H1101" s="48" t="n">
        <v>15900</v>
      </c>
      <c r="I1101" s="48" t="n">
        <v>7</v>
      </c>
      <c r="J1101" s="48" t="n">
        <v>39600</v>
      </c>
      <c r="K1101" s="47">
        <f t="array" ref="K1101">_xlfn.XLOOKUP(1,(참조!$B$2:$B$15=E1101)*(참조!$D$2:$D$15=C1101)*(참조!$E$2:$E$15=D1101),참조!$C$2:$C$15,"")</f>
        <v/>
      </c>
    </row>
    <row r="1102" hidden="1" s="27">
      <c r="A1102" s="47" t="inlineStr">
        <is>
          <t>티플러스</t>
        </is>
      </c>
      <c r="B1102" s="47" t="inlineStr">
        <is>
          <t>티플온 7G＋</t>
        </is>
      </c>
      <c r="C1102" s="47" t="inlineStr">
        <is>
          <t>무제한</t>
        </is>
      </c>
      <c r="D1102" s="47" t="inlineStr">
        <is>
          <t>무제한</t>
        </is>
      </c>
      <c r="E1102" s="47" t="inlineStr">
        <is>
          <t>월 7GB + 1Mbps</t>
        </is>
      </c>
      <c r="F1102" s="47" t="inlineStr">
        <is>
          <t>LG U+</t>
        </is>
      </c>
      <c r="G1102" s="47" t="inlineStr">
        <is>
          <t>LTE</t>
        </is>
      </c>
      <c r="H1102" s="48" t="n">
        <v>3900</v>
      </c>
      <c r="I1102" s="48" t="n">
        <v>7</v>
      </c>
      <c r="J1102" s="48" t="n">
        <v>29700</v>
      </c>
      <c r="K1102" s="47">
        <f t="array" ref="K1102">_xlfn.XLOOKUP(1,(참조!$B$2:$B$15=E1102)*(참조!$D$2:$D$15=C1102)*(참조!$E$2:$E$15=D1102),참조!$C$2:$C$15,"")</f>
        <v/>
      </c>
    </row>
    <row r="1103" hidden="1" s="27">
      <c r="A1103" s="47" t="inlineStr">
        <is>
          <t>이야기모바일</t>
        </is>
      </c>
      <c r="B1103" s="47" t="inlineStr">
        <is>
          <t>[모요only] 내맘대로 (50분+1GB)</t>
        </is>
      </c>
      <c r="C1103" s="47" t="inlineStr">
        <is>
          <t>50분</t>
        </is>
      </c>
      <c r="D1103" s="47" t="inlineStr">
        <is>
          <t>50건</t>
        </is>
      </c>
      <c r="E1103" s="47" t="inlineStr">
        <is>
          <t>월 1GB</t>
        </is>
      </c>
      <c r="F1103" s="47" t="inlineStr">
        <is>
          <t>LG U+</t>
        </is>
      </c>
      <c r="G1103" s="47" t="inlineStr">
        <is>
          <t>LTE</t>
        </is>
      </c>
      <c r="H1103" s="48" t="n">
        <v>4620</v>
      </c>
      <c r="I1103" s="48" t="n"/>
      <c r="J1103" s="48" t="n"/>
      <c r="K1103" s="47">
        <f t="array" ref="K1103">_xlfn.XLOOKUP(1,(참조!$B$2:$B$15=E1103)*(참조!$D$2:$D$15=C1103)*(참조!$E$2:$E$15=D1103),참조!$C$2:$C$15,"")</f>
        <v/>
      </c>
    </row>
    <row r="1104" hidden="1" s="27">
      <c r="A1104" s="47" t="inlineStr">
        <is>
          <t>이지모바일</t>
        </is>
      </c>
      <c r="B1104" s="47" t="inlineStr">
        <is>
          <t>EG CU 무제한 11G+3(CU할인)</t>
        </is>
      </c>
      <c r="C1104" s="47" t="inlineStr">
        <is>
          <t>무제한</t>
        </is>
      </c>
      <c r="D1104" s="47" t="inlineStr">
        <is>
          <t>무제한</t>
        </is>
      </c>
      <c r="E1104" s="47" t="inlineStr">
        <is>
          <t>월 11GB + 매일 2GB + 3Mbps</t>
        </is>
      </c>
      <c r="F1104" s="47" t="inlineStr">
        <is>
          <t>KT</t>
        </is>
      </c>
      <c r="G1104" s="47" t="inlineStr">
        <is>
          <t>LTE</t>
        </is>
      </c>
      <c r="H1104" s="48" t="n">
        <v>18900</v>
      </c>
      <c r="I1104" s="48" t="n">
        <v>7</v>
      </c>
      <c r="J1104" s="48" t="n">
        <v>37400</v>
      </c>
      <c r="K1104" s="47">
        <f t="array" ref="K1104">_xlfn.XLOOKUP(1,(참조!$B$2:$B$15=E1104)*(참조!$D$2:$D$15=C1104)*(참조!$E$2:$E$15=D1104),참조!$C$2:$C$15,"")</f>
        <v/>
      </c>
    </row>
    <row r="1105" hidden="1" s="27">
      <c r="A1105" s="47" t="inlineStr">
        <is>
          <t>모빙</t>
        </is>
      </c>
      <c r="B1105" s="47" t="inlineStr">
        <is>
          <t>[S] 5G 모빙 500분20GB</t>
        </is>
      </c>
      <c r="C1105" s="47" t="inlineStr">
        <is>
          <t>500분</t>
        </is>
      </c>
      <c r="D1105" s="47" t="inlineStr">
        <is>
          <t>100건</t>
        </is>
      </c>
      <c r="E1105" s="47" t="inlineStr">
        <is>
          <t>월 20GB</t>
        </is>
      </c>
      <c r="F1105" s="47" t="inlineStr">
        <is>
          <t>SKT</t>
        </is>
      </c>
      <c r="G1105" s="47" t="inlineStr">
        <is>
          <t>5G</t>
        </is>
      </c>
      <c r="H1105" s="48" t="n">
        <v>16000</v>
      </c>
      <c r="I1105" s="48" t="n"/>
      <c r="J1105" s="48" t="n"/>
      <c r="K1105" s="47">
        <f t="array" ref="K1105">_xlfn.XLOOKUP(1,(참조!$B$2:$B$15=E1105)*(참조!$D$2:$D$15=C1105)*(참조!$E$2:$E$15=D1105),참조!$C$2:$C$15,"")</f>
        <v/>
      </c>
    </row>
    <row r="1106" hidden="1" s="27">
      <c r="A1106" s="47" t="inlineStr">
        <is>
          <t>아이즈모바일</t>
        </is>
      </c>
      <c r="B1106" s="47" t="inlineStr">
        <is>
          <t>[L]5G 아이즈팩 125GB+5Mbps</t>
        </is>
      </c>
      <c r="C1106" s="47" t="inlineStr">
        <is>
          <t>무제한</t>
        </is>
      </c>
      <c r="D1106" s="47" t="inlineStr">
        <is>
          <t>무제한</t>
        </is>
      </c>
      <c r="E1106" s="47" t="inlineStr">
        <is>
          <t>월 125GB + 5Mbps</t>
        </is>
      </c>
      <c r="F1106" s="47" t="inlineStr">
        <is>
          <t>LG U+</t>
        </is>
      </c>
      <c r="G1106" s="47" t="inlineStr">
        <is>
          <t>5G</t>
        </is>
      </c>
      <c r="H1106" s="48" t="n">
        <v>27800</v>
      </c>
      <c r="I1106" s="48" t="n">
        <v>24</v>
      </c>
      <c r="J1106" s="48" t="n">
        <v>58300</v>
      </c>
      <c r="K1106" s="47">
        <f t="array" ref="K1106">_xlfn.XLOOKUP(1,(참조!$B$2:$B$15=E1106)*(참조!$D$2:$D$15=C1106)*(참조!$E$2:$E$15=D1106),참조!$C$2:$C$15,"")</f>
        <v/>
      </c>
    </row>
    <row r="1107" hidden="1" s="27">
      <c r="A1107" s="47" t="inlineStr">
        <is>
          <t>아이즈모바일</t>
        </is>
      </c>
      <c r="B1107" s="47" t="inlineStr">
        <is>
          <t>[K]5G 울트라(100분/30GB)</t>
        </is>
      </c>
      <c r="C1107" s="47" t="inlineStr">
        <is>
          <t>100분</t>
        </is>
      </c>
      <c r="D1107" s="47" t="inlineStr">
        <is>
          <t>100건</t>
        </is>
      </c>
      <c r="E1107" s="47" t="inlineStr">
        <is>
          <t>월 30GB</t>
        </is>
      </c>
      <c r="F1107" s="47" t="inlineStr">
        <is>
          <t>KT</t>
        </is>
      </c>
      <c r="G1107" s="47" t="inlineStr">
        <is>
          <t>5G</t>
        </is>
      </c>
      <c r="H1107" s="48" t="n">
        <v>990</v>
      </c>
      <c r="I1107" s="48" t="n">
        <v>7</v>
      </c>
      <c r="J1107" s="48" t="n">
        <v>41800</v>
      </c>
      <c r="K1107" s="47">
        <f t="array" ref="K1107">_xlfn.XLOOKUP(1,(참조!$B$2:$B$15=E1107)*(참조!$D$2:$D$15=C1107)*(참조!$E$2:$E$15=D1107),참조!$C$2:$C$15,"")</f>
        <v/>
      </c>
    </row>
    <row r="1108" hidden="1" s="27">
      <c r="A1108" s="47" t="inlineStr">
        <is>
          <t>이지모바일</t>
        </is>
      </c>
      <c r="B1108" s="47" t="inlineStr">
        <is>
          <t>[5G]이지 무제한 180G+10</t>
        </is>
      </c>
      <c r="C1108" s="47" t="inlineStr">
        <is>
          <t>무제한</t>
        </is>
      </c>
      <c r="D1108" s="47" t="inlineStr">
        <is>
          <t>무제한</t>
        </is>
      </c>
      <c r="E1108" s="47" t="inlineStr">
        <is>
          <t>월 180GB + 10Mbps</t>
        </is>
      </c>
      <c r="F1108" s="47" t="inlineStr">
        <is>
          <t>LG U+</t>
        </is>
      </c>
      <c r="G1108" s="47" t="inlineStr">
        <is>
          <t>5G</t>
        </is>
      </c>
      <c r="H1108" s="48" t="n">
        <v>20900</v>
      </c>
      <c r="I1108" s="48" t="n">
        <v>7</v>
      </c>
      <c r="J1108" s="48" t="n">
        <v>56100</v>
      </c>
      <c r="K1108" s="47">
        <f t="array" ref="K1108">_xlfn.XLOOKUP(1,(참조!$B$2:$B$15=E1108)*(참조!$D$2:$D$15=C1108)*(참조!$E$2:$E$15=D1108),참조!$C$2:$C$15,"")</f>
        <v/>
      </c>
    </row>
    <row r="1109" hidden="1" s="27">
      <c r="A1109" s="47" t="inlineStr">
        <is>
          <t>모빙</t>
        </is>
      </c>
      <c r="B1109" s="47" t="inlineStr">
        <is>
          <t>[L] 5G 300분5GB</t>
        </is>
      </c>
      <c r="C1109" s="47" t="inlineStr">
        <is>
          <t>300분</t>
        </is>
      </c>
      <c r="D1109" s="47" t="inlineStr">
        <is>
          <t>100건</t>
        </is>
      </c>
      <c r="E1109" s="47" t="inlineStr">
        <is>
          <t>월 5GB</t>
        </is>
      </c>
      <c r="F1109" s="47" t="inlineStr">
        <is>
          <t>LG U+</t>
        </is>
      </c>
      <c r="G1109" s="47" t="inlineStr">
        <is>
          <t>5G</t>
        </is>
      </c>
      <c r="H1109" s="48" t="n">
        <v>200</v>
      </c>
      <c r="I1109" s="48" t="n">
        <v>24</v>
      </c>
      <c r="J1109" s="48" t="n">
        <v>22000</v>
      </c>
      <c r="K1109" s="47">
        <f t="array" ref="K1109">_xlfn.XLOOKUP(1,(참조!$B$2:$B$15=E1109)*(참조!$D$2:$D$15=C1109)*(참조!$E$2:$E$15=D1109),참조!$C$2:$C$15,"")</f>
        <v/>
      </c>
    </row>
    <row r="1110" hidden="1" s="27">
      <c r="A1110" s="47" t="inlineStr">
        <is>
          <t>모빙</t>
        </is>
      </c>
      <c r="B1110" s="47" t="inlineStr">
        <is>
          <t>[L] 5G 데이터 125GB+</t>
        </is>
      </c>
      <c r="C1110" s="47" t="inlineStr">
        <is>
          <t>무제한</t>
        </is>
      </c>
      <c r="D1110" s="47" t="inlineStr">
        <is>
          <t>무제한</t>
        </is>
      </c>
      <c r="E1110" s="47" t="inlineStr">
        <is>
          <t>월 125GB + 5Mbps</t>
        </is>
      </c>
      <c r="F1110" s="47" t="inlineStr">
        <is>
          <t>LG U+</t>
        </is>
      </c>
      <c r="G1110" s="47" t="inlineStr">
        <is>
          <t>5G</t>
        </is>
      </c>
      <c r="H1110" s="48" t="n">
        <v>11000</v>
      </c>
      <c r="I1110" s="48" t="n">
        <v>7</v>
      </c>
      <c r="J1110" s="48" t="n">
        <v>53900</v>
      </c>
      <c r="K1110" s="47">
        <f t="array" ref="K1110">_xlfn.XLOOKUP(1,(참조!$B$2:$B$15=E1110)*(참조!$D$2:$D$15=C1110)*(참조!$E$2:$E$15=D1110),참조!$C$2:$C$15,"")</f>
        <v/>
      </c>
    </row>
    <row r="1111" hidden="1" s="27">
      <c r="A1111" s="47" t="inlineStr">
        <is>
          <t>쉐이크모바일</t>
        </is>
      </c>
      <c r="B1111" s="47" t="inlineStr">
        <is>
          <t>[모요only] 쉐이크 LTE 7GB+_밀리의서재</t>
        </is>
      </c>
      <c r="C1111" s="47" t="inlineStr">
        <is>
          <t>무제한</t>
        </is>
      </c>
      <c r="D1111" s="47" t="inlineStr">
        <is>
          <t>무제한</t>
        </is>
      </c>
      <c r="E1111" s="47" t="inlineStr">
        <is>
          <t>월 7GB + 1Mbps</t>
        </is>
      </c>
      <c r="F1111" s="47" t="inlineStr">
        <is>
          <t>KT</t>
        </is>
      </c>
      <c r="G1111" s="47" t="inlineStr">
        <is>
          <t>LTE</t>
        </is>
      </c>
      <c r="H1111" s="48" t="n">
        <v>7700</v>
      </c>
      <c r="I1111" s="48" t="n">
        <v>7</v>
      </c>
      <c r="J1111" s="48" t="n">
        <v>23100</v>
      </c>
      <c r="K1111" s="47">
        <f t="array" ref="K1111">_xlfn.XLOOKUP(1,(참조!$B$2:$B$15=E1111)*(참조!$D$2:$D$15=C1111)*(참조!$E$2:$E$15=D1111),참조!$C$2:$C$15,"")</f>
        <v/>
      </c>
    </row>
    <row r="1112" hidden="1" s="27">
      <c r="A1112" s="47" t="inlineStr">
        <is>
          <t>티플러스</t>
        </is>
      </c>
      <c r="B1112" s="47" t="inlineStr">
        <is>
          <t>The 데이터마음껏 15GB+(100분)</t>
        </is>
      </c>
      <c r="C1112" s="47" t="inlineStr">
        <is>
          <t>100분</t>
        </is>
      </c>
      <c r="D1112" s="47" t="inlineStr">
        <is>
          <t>100건</t>
        </is>
      </c>
      <c r="E1112" s="47" t="inlineStr">
        <is>
          <t>월 15GB + 3Mbps</t>
        </is>
      </c>
      <c r="F1112" s="47" t="inlineStr">
        <is>
          <t>KT</t>
        </is>
      </c>
      <c r="G1112" s="47" t="inlineStr">
        <is>
          <t>LTE</t>
        </is>
      </c>
      <c r="H1112" s="48" t="n">
        <v>15900</v>
      </c>
      <c r="I1112" s="48" t="n">
        <v>7</v>
      </c>
      <c r="J1112" s="48" t="n">
        <v>36300</v>
      </c>
      <c r="K1112" s="47">
        <f t="array" ref="K1112">_xlfn.XLOOKUP(1,(참조!$B$2:$B$15=E1112)*(참조!$D$2:$D$15=C1112)*(참조!$E$2:$E$15=D1112),참조!$C$2:$C$15,"")</f>
        <v/>
      </c>
    </row>
    <row r="1113" hidden="1" s="27">
      <c r="A1113" s="47" t="inlineStr">
        <is>
          <t>모빙</t>
        </is>
      </c>
      <c r="B1113" s="47" t="inlineStr">
        <is>
          <t>[K] 데이터 15GB+</t>
        </is>
      </c>
      <c r="C1113" s="47" t="inlineStr">
        <is>
          <t>무제한</t>
        </is>
      </c>
      <c r="D1113" s="47" t="inlineStr">
        <is>
          <t>무제한</t>
        </is>
      </c>
      <c r="E1113" s="47" t="inlineStr">
        <is>
          <t>월 15GB + 1Mbps</t>
        </is>
      </c>
      <c r="F1113" s="47" t="inlineStr">
        <is>
          <t>KT</t>
        </is>
      </c>
      <c r="G1113" s="47" t="inlineStr">
        <is>
          <t>LTE</t>
        </is>
      </c>
      <c r="H1113" s="48" t="n">
        <v>15400</v>
      </c>
      <c r="I1113" s="48" t="n">
        <v>24</v>
      </c>
      <c r="J1113" s="48" t="n">
        <v>33000</v>
      </c>
      <c r="K1113" s="47">
        <f t="array" ref="K1113">_xlfn.XLOOKUP(1,(참조!$B$2:$B$15=E1113)*(참조!$D$2:$D$15=C1113)*(참조!$E$2:$E$15=D1113),참조!$C$2:$C$15,"")</f>
        <v/>
      </c>
    </row>
    <row r="1114" hidden="1" s="27">
      <c r="A1114" s="47" t="inlineStr">
        <is>
          <t>아이즈모바일</t>
        </is>
      </c>
      <c r="B1114" s="47" t="inlineStr">
        <is>
          <t>[S]울트라(300분/15GB)</t>
        </is>
      </c>
      <c r="C1114" s="47" t="inlineStr">
        <is>
          <t>300분</t>
        </is>
      </c>
      <c r="D1114" s="47" t="inlineStr">
        <is>
          <t>100건</t>
        </is>
      </c>
      <c r="E1114" s="47" t="inlineStr">
        <is>
          <t>월 15GB</t>
        </is>
      </c>
      <c r="F1114" s="47" t="inlineStr">
        <is>
          <t>SKT</t>
        </is>
      </c>
      <c r="G1114" s="47" t="inlineStr">
        <is>
          <t>LTE</t>
        </is>
      </c>
      <c r="H1114" s="48" t="n">
        <v>10</v>
      </c>
      <c r="I1114" s="48" t="n">
        <v>7</v>
      </c>
      <c r="J1114" s="48" t="n">
        <v>25300</v>
      </c>
      <c r="K1114" s="47">
        <f t="array" ref="K1114">_xlfn.XLOOKUP(1,(참조!$B$2:$B$15=E1114)*(참조!$D$2:$D$15=C1114)*(참조!$E$2:$E$15=D1114),참조!$C$2:$C$15,"")</f>
        <v/>
      </c>
    </row>
    <row r="1115" hidden="1" s="27">
      <c r="A1115" s="47" t="inlineStr">
        <is>
          <t>아이즈모바일</t>
        </is>
      </c>
      <c r="B1115" s="47" t="inlineStr">
        <is>
          <t>[K]5G 울트라(100분/20GB)</t>
        </is>
      </c>
      <c r="C1115" s="47" t="inlineStr">
        <is>
          <t>100분</t>
        </is>
      </c>
      <c r="D1115" s="47" t="inlineStr">
        <is>
          <t>100건</t>
        </is>
      </c>
      <c r="E1115" s="47" t="inlineStr">
        <is>
          <t>월 20GB</t>
        </is>
      </c>
      <c r="F1115" s="47" t="inlineStr">
        <is>
          <t>KT</t>
        </is>
      </c>
      <c r="G1115" s="47" t="inlineStr">
        <is>
          <t>5G</t>
        </is>
      </c>
      <c r="H1115" s="48" t="n">
        <v>3900</v>
      </c>
      <c r="I1115" s="48" t="n">
        <v>36</v>
      </c>
      <c r="J1115" s="48" t="n">
        <v>28600</v>
      </c>
      <c r="K1115" s="47">
        <f t="array" ref="K1115">_xlfn.XLOOKUP(1,(참조!$B$2:$B$15=E1115)*(참조!$D$2:$D$15=C1115)*(참조!$E$2:$E$15=D1115),참조!$C$2:$C$15,"")</f>
        <v/>
      </c>
    </row>
    <row r="1116" hidden="1" s="27">
      <c r="A1116" s="47" t="inlineStr">
        <is>
          <t>더원모바일</t>
        </is>
      </c>
      <c r="B1116" s="47" t="inlineStr">
        <is>
          <t>TOP 7GB 기본 (웨이브 광고형)</t>
        </is>
      </c>
      <c r="C1116" s="47" t="inlineStr">
        <is>
          <t>무제한</t>
        </is>
      </c>
      <c r="D1116" s="47" t="inlineStr">
        <is>
          <t>무제한</t>
        </is>
      </c>
      <c r="E1116" s="47" t="inlineStr">
        <is>
          <t>월 7GB + 1Mbps</t>
        </is>
      </c>
      <c r="F1116" s="47" t="inlineStr">
        <is>
          <t>KT</t>
        </is>
      </c>
      <c r="G1116" s="47" t="inlineStr">
        <is>
          <t>LTE</t>
        </is>
      </c>
      <c r="H1116" s="48" t="n">
        <v>4400</v>
      </c>
      <c r="I1116" s="48" t="n">
        <v>7</v>
      </c>
      <c r="J1116" s="48" t="n">
        <v>26400</v>
      </c>
      <c r="K1116" s="47">
        <f t="array" ref="K1116">_xlfn.XLOOKUP(1,(참조!$B$2:$B$15=E1116)*(참조!$D$2:$D$15=C1116)*(참조!$E$2:$E$15=D1116),참조!$C$2:$C$15,"")</f>
        <v/>
      </c>
    </row>
    <row r="1117" hidden="1" s="27">
      <c r="A1117" s="47" t="inlineStr">
        <is>
          <t>핀다이렉트</t>
        </is>
      </c>
      <c r="B1117" s="47" t="inlineStr">
        <is>
          <t>[L] 핀다이렉트Z 15GB+/100분</t>
        </is>
      </c>
      <c r="C1117" s="47" t="inlineStr">
        <is>
          <t>100분</t>
        </is>
      </c>
      <c r="D1117" s="47" t="inlineStr">
        <is>
          <t>100건</t>
        </is>
      </c>
      <c r="E1117" s="47" t="inlineStr">
        <is>
          <t>월 15GB + 3Mbps</t>
        </is>
      </c>
      <c r="F1117" s="47" t="inlineStr">
        <is>
          <t>LG U+</t>
        </is>
      </c>
      <c r="G1117" s="47" t="inlineStr">
        <is>
          <t>LTE</t>
        </is>
      </c>
      <c r="H1117" s="48" t="n">
        <v>16000</v>
      </c>
      <c r="I1117" s="48" t="n">
        <v>7</v>
      </c>
      <c r="J1117" s="48" t="n">
        <v>31900</v>
      </c>
      <c r="K1117" s="47">
        <f t="array" ref="K1117">_xlfn.XLOOKUP(1,(참조!$B$2:$B$15=E1117)*(참조!$D$2:$D$15=C1117)*(참조!$E$2:$E$15=D1117),참조!$C$2:$C$15,"")</f>
        <v/>
      </c>
    </row>
    <row r="1118" hidden="1" s="27">
      <c r="A1118" s="47" t="inlineStr">
        <is>
          <t>아이즈모바일</t>
        </is>
      </c>
      <c r="B1118" s="47" t="inlineStr">
        <is>
          <t>[K]울트라(100분/20GB)</t>
        </is>
      </c>
      <c r="C1118" s="47" t="inlineStr">
        <is>
          <t>100분</t>
        </is>
      </c>
      <c r="D1118" s="47" t="inlineStr">
        <is>
          <t>100건</t>
        </is>
      </c>
      <c r="E1118" s="47" t="inlineStr">
        <is>
          <t>월 20GB</t>
        </is>
      </c>
      <c r="F1118" s="47" t="inlineStr">
        <is>
          <t>KT</t>
        </is>
      </c>
      <c r="G1118" s="47" t="inlineStr">
        <is>
          <t>LTE</t>
        </is>
      </c>
      <c r="H1118" s="48" t="n">
        <v>10</v>
      </c>
      <c r="I1118" s="48" t="n">
        <v>7</v>
      </c>
      <c r="J1118" s="48" t="n">
        <v>28600</v>
      </c>
      <c r="K1118" s="47">
        <f t="array" ref="K1118">_xlfn.XLOOKUP(1,(참조!$B$2:$B$15=E1118)*(참조!$D$2:$D$15=C1118)*(참조!$E$2:$E$15=D1118),참조!$C$2:$C$15,"")</f>
        <v/>
      </c>
    </row>
    <row r="1119" hidden="1" s="27">
      <c r="A1119" s="47" t="inlineStr">
        <is>
          <t>스마텔</t>
        </is>
      </c>
      <c r="B1119" s="47" t="inlineStr">
        <is>
          <t>5G 스마일플러스(350분+7GB)</t>
        </is>
      </c>
      <c r="C1119" s="47" t="inlineStr">
        <is>
          <t>350분</t>
        </is>
      </c>
      <c r="D1119" s="47" t="inlineStr">
        <is>
          <t>100건</t>
        </is>
      </c>
      <c r="E1119" s="47" t="inlineStr">
        <is>
          <t>월 7GB</t>
        </is>
      </c>
      <c r="F1119" s="47" t="inlineStr">
        <is>
          <t>SKT</t>
        </is>
      </c>
      <c r="G1119" s="47" t="inlineStr">
        <is>
          <t>5G</t>
        </is>
      </c>
      <c r="H1119" s="48" t="n">
        <v>4400</v>
      </c>
      <c r="I1119" s="48" t="n">
        <v>5</v>
      </c>
      <c r="J1119" s="48" t="n">
        <v>17600</v>
      </c>
      <c r="K1119" s="47">
        <f t="array" ref="K1119">_xlfn.XLOOKUP(1,(참조!$B$2:$B$15=E1119)*(참조!$D$2:$D$15=C1119)*(참조!$E$2:$E$15=D1119),참조!$C$2:$C$15,"")</f>
        <v/>
      </c>
    </row>
    <row r="1120" hidden="1" s="27">
      <c r="A1120" s="47" t="inlineStr">
        <is>
          <t>스마텔</t>
        </is>
      </c>
      <c r="B1120" s="47" t="inlineStr">
        <is>
          <t>스위트3 10GB+(밀리의서재) (+10GB 24개월간 추가 제공)</t>
        </is>
      </c>
      <c r="C1120" s="47" t="inlineStr">
        <is>
          <t>무제한</t>
        </is>
      </c>
      <c r="D1120" s="47" t="inlineStr">
        <is>
          <t>무제한</t>
        </is>
      </c>
      <c r="E1120" s="47" t="inlineStr">
        <is>
          <t>월 10GB + 1Mbps</t>
        </is>
      </c>
      <c r="F1120" s="47" t="inlineStr">
        <is>
          <t>KT</t>
        </is>
      </c>
      <c r="G1120" s="47" t="inlineStr">
        <is>
          <t>LTE</t>
        </is>
      </c>
      <c r="H1120" s="48" t="n">
        <v>17000</v>
      </c>
      <c r="I1120" s="48" t="n">
        <v>12</v>
      </c>
      <c r="J1120" s="48" t="n">
        <v>28600</v>
      </c>
      <c r="K1120" s="47">
        <f t="array" ref="K1120">_xlfn.XLOOKUP(1,(참조!$B$2:$B$15=E1120)*(참조!$D$2:$D$15=C1120)*(참조!$E$2:$E$15=D1120),참조!$C$2:$C$15,"")</f>
        <v/>
      </c>
    </row>
    <row r="1121" hidden="1" s="27">
      <c r="A1121" s="47" t="inlineStr">
        <is>
          <t>찬스모바일</t>
        </is>
      </c>
      <c r="B1121" s="47" t="inlineStr">
        <is>
          <t>음성 300분 15GB+3Mbps</t>
        </is>
      </c>
      <c r="C1121" s="47" t="inlineStr">
        <is>
          <t>300분</t>
        </is>
      </c>
      <c r="D1121" s="47" t="inlineStr">
        <is>
          <t>300건</t>
        </is>
      </c>
      <c r="E1121" s="47" t="inlineStr">
        <is>
          <t>월 15GB + 3Mbps</t>
        </is>
      </c>
      <c r="F1121" s="47" t="inlineStr">
        <is>
          <t>LG U+</t>
        </is>
      </c>
      <c r="G1121" s="47" t="inlineStr">
        <is>
          <t>LTE</t>
        </is>
      </c>
      <c r="H1121" s="48" t="n">
        <v>16000</v>
      </c>
      <c r="I1121" s="48" t="n">
        <v>7</v>
      </c>
      <c r="J1121" s="48" t="n">
        <v>33000</v>
      </c>
      <c r="K1121" s="47">
        <f t="array" ref="K1121">_xlfn.XLOOKUP(1,(참조!$B$2:$B$15=E1121)*(참조!$D$2:$D$15=C1121)*(참조!$E$2:$E$15=D1121),참조!$C$2:$C$15,"")</f>
        <v/>
      </c>
    </row>
    <row r="1122" hidden="1" s="27">
      <c r="A1122" s="47" t="inlineStr">
        <is>
          <t>쉐이크모바일</t>
        </is>
      </c>
      <c r="B1122" s="47" t="inlineStr">
        <is>
          <t>[모요only] 쉐이크 LTE 15GB+/100분_밀리의서재</t>
        </is>
      </c>
      <c r="C1122" s="47" t="inlineStr">
        <is>
          <t>100분</t>
        </is>
      </c>
      <c r="D1122" s="47" t="inlineStr">
        <is>
          <t>100건</t>
        </is>
      </c>
      <c r="E1122" s="47" t="inlineStr">
        <is>
          <t>월 15GB + 3Mbps</t>
        </is>
      </c>
      <c r="F1122" s="47" t="inlineStr">
        <is>
          <t>KT</t>
        </is>
      </c>
      <c r="G1122" s="47" t="inlineStr">
        <is>
          <t>LTE</t>
        </is>
      </c>
      <c r="H1122" s="48" t="n">
        <v>14900</v>
      </c>
      <c r="I1122" s="48" t="n">
        <v>7</v>
      </c>
      <c r="J1122" s="48" t="n">
        <v>33000</v>
      </c>
      <c r="K1122" s="47">
        <f t="array" ref="K1122">_xlfn.XLOOKUP(1,(참조!$B$2:$B$15=E1122)*(참조!$D$2:$D$15=C1122)*(참조!$E$2:$E$15=D1122),참조!$C$2:$C$15,"")</f>
        <v/>
      </c>
    </row>
    <row r="1123" hidden="1" s="27">
      <c r="A1123" s="47" t="inlineStr">
        <is>
          <t>KG모바일</t>
        </is>
      </c>
      <c r="B1123" s="47" t="inlineStr">
        <is>
          <t>[일반] 실속 (5GB/300분)</t>
        </is>
      </c>
      <c r="C1123" s="47" t="inlineStr">
        <is>
          <t>300분</t>
        </is>
      </c>
      <c r="D1123" s="47" t="inlineStr">
        <is>
          <t>100건</t>
        </is>
      </c>
      <c r="E1123" s="47" t="inlineStr">
        <is>
          <t>월 5GB</t>
        </is>
      </c>
      <c r="F1123" s="47" t="inlineStr">
        <is>
          <t>LG U+</t>
        </is>
      </c>
      <c r="G1123" s="47" t="inlineStr">
        <is>
          <t>LTE</t>
        </is>
      </c>
      <c r="H1123" s="48" t="n">
        <v>1600</v>
      </c>
      <c r="I1123" s="48" t="n">
        <v>6</v>
      </c>
      <c r="J1123" s="48" t="n">
        <v>12100</v>
      </c>
      <c r="K1123" s="47">
        <f t="array" ref="K1123">_xlfn.XLOOKUP(1,(참조!$B$2:$B$15=E1123)*(참조!$D$2:$D$15=C1123)*(참조!$E$2:$E$15=D1123),참조!$C$2:$C$15,"")</f>
        <v/>
      </c>
    </row>
    <row r="1124" hidden="1" s="27">
      <c r="A1124" s="47" t="inlineStr">
        <is>
          <t>아이즈모바일</t>
        </is>
      </c>
      <c r="B1124" s="47" t="inlineStr">
        <is>
          <t>아이즈우정(300분/6G)</t>
        </is>
      </c>
      <c r="C1124" s="47" t="inlineStr">
        <is>
          <t>300분</t>
        </is>
      </c>
      <c r="D1124" s="47" t="inlineStr">
        <is>
          <t>100건</t>
        </is>
      </c>
      <c r="E1124" s="47" t="inlineStr">
        <is>
          <t>월 6GB</t>
        </is>
      </c>
      <c r="F1124" s="47" t="inlineStr">
        <is>
          <t>SKT</t>
        </is>
      </c>
      <c r="G1124" s="47" t="inlineStr">
        <is>
          <t>LTE</t>
        </is>
      </c>
      <c r="H1124" s="48" t="n">
        <v>10</v>
      </c>
      <c r="I1124" s="48" t="n">
        <v>12</v>
      </c>
      <c r="J1124" s="48" t="n">
        <v>8000</v>
      </c>
      <c r="K1124" s="47">
        <f t="array" ref="K1124">_xlfn.XLOOKUP(1,(참조!$B$2:$B$15=E1124)*(참조!$D$2:$D$15=C1124)*(참조!$E$2:$E$15=D1124),참조!$C$2:$C$15,"")</f>
        <v/>
      </c>
    </row>
    <row r="1125" hidden="1" s="27">
      <c r="A1125" s="47" t="inlineStr">
        <is>
          <t>모빙</t>
        </is>
      </c>
      <c r="B1125" s="47" t="inlineStr">
        <is>
          <t>실속 200분6GB+</t>
        </is>
      </c>
      <c r="C1125" s="47" t="inlineStr">
        <is>
          <t>200분</t>
        </is>
      </c>
      <c r="D1125" s="47" t="inlineStr">
        <is>
          <t>100건</t>
        </is>
      </c>
      <c r="E1125" s="47" t="inlineStr">
        <is>
          <t>월 6GB + 1Mbps</t>
        </is>
      </c>
      <c r="F1125" s="47" t="inlineStr">
        <is>
          <t>LG U+</t>
        </is>
      </c>
      <c r="G1125" s="47" t="inlineStr">
        <is>
          <t>LTE</t>
        </is>
      </c>
      <c r="H1125" s="48" t="n">
        <v>10</v>
      </c>
      <c r="I1125" s="48" t="n">
        <v>6</v>
      </c>
      <c r="J1125" s="48" t="n">
        <v>16000</v>
      </c>
      <c r="K1125" s="47">
        <f t="array" ref="K1125">_xlfn.XLOOKUP(1,(참조!$B$2:$B$15=E1125)*(참조!$D$2:$D$15=C1125)*(참조!$E$2:$E$15=D1125),참조!$C$2:$C$15,"")</f>
        <v/>
      </c>
    </row>
    <row r="1126" hidden="1" s="27">
      <c r="A1126" s="47" t="inlineStr">
        <is>
          <t>아이즈모바일</t>
        </is>
      </c>
      <c r="B1126" s="47" t="inlineStr">
        <is>
          <t>[K]울트라(300분/15GB)</t>
        </is>
      </c>
      <c r="C1126" s="47" t="inlineStr">
        <is>
          <t>300분</t>
        </is>
      </c>
      <c r="D1126" s="47" t="inlineStr">
        <is>
          <t>200건</t>
        </is>
      </c>
      <c r="E1126" s="47" t="inlineStr">
        <is>
          <t>월 15GB</t>
        </is>
      </c>
      <c r="F1126" s="47" t="inlineStr">
        <is>
          <t>KT</t>
        </is>
      </c>
      <c r="G1126" s="47" t="inlineStr">
        <is>
          <t>LTE</t>
        </is>
      </c>
      <c r="H1126" s="48" t="n">
        <v>10</v>
      </c>
      <c r="I1126" s="48" t="n">
        <v>10</v>
      </c>
      <c r="J1126" s="48" t="n">
        <v>25300</v>
      </c>
      <c r="K1126" s="47">
        <f t="array" ref="K1126">_xlfn.XLOOKUP(1,(참조!$B$2:$B$15=E1126)*(참조!$D$2:$D$15=C1126)*(참조!$E$2:$E$15=D1126),참조!$C$2:$C$15,"")</f>
        <v/>
      </c>
    </row>
    <row r="1127" hidden="1" s="27">
      <c r="A1127" s="47" t="inlineStr">
        <is>
          <t>아이즈모바일</t>
        </is>
      </c>
      <c r="B1127" s="47" t="inlineStr">
        <is>
          <t>아이즈 100분 10GB</t>
        </is>
      </c>
      <c r="C1127" s="47" t="inlineStr">
        <is>
          <t>100분</t>
        </is>
      </c>
      <c r="D1127" s="47" t="inlineStr">
        <is>
          <t>100건</t>
        </is>
      </c>
      <c r="E1127" s="47" t="inlineStr">
        <is>
          <t>월 10GB</t>
        </is>
      </c>
      <c r="F1127" s="47" t="inlineStr">
        <is>
          <t>KT</t>
        </is>
      </c>
      <c r="G1127" s="47" t="inlineStr">
        <is>
          <t>LTE</t>
        </is>
      </c>
      <c r="H1127" s="48" t="n">
        <v>10</v>
      </c>
      <c r="I1127" s="48" t="n">
        <v>7</v>
      </c>
      <c r="J1127" s="48" t="n">
        <v>14300</v>
      </c>
      <c r="K1127" s="47">
        <f t="array" ref="K1127">_xlfn.XLOOKUP(1,(참조!$B$2:$B$15=E1127)*(참조!$D$2:$D$15=C1127)*(참조!$E$2:$E$15=D1127),참조!$C$2:$C$15,"")</f>
        <v/>
      </c>
    </row>
    <row r="1128" hidden="1" s="27">
      <c r="A1128" s="47" t="inlineStr">
        <is>
          <t>스마텔</t>
        </is>
      </c>
      <c r="B1128" s="47" t="inlineStr">
        <is>
          <t>[모요only] [모요핫딜] 스마트 100GB+</t>
        </is>
      </c>
      <c r="C1128" s="47" t="inlineStr">
        <is>
          <t>무제한</t>
        </is>
      </c>
      <c r="D1128" s="47" t="inlineStr">
        <is>
          <t>무제한</t>
        </is>
      </c>
      <c r="E1128" s="47" t="inlineStr">
        <is>
          <t>월 100GB + 5Mbps</t>
        </is>
      </c>
      <c r="F1128" s="47" t="inlineStr">
        <is>
          <t>LG U+</t>
        </is>
      </c>
      <c r="G1128" s="47" t="inlineStr">
        <is>
          <t>LTE</t>
        </is>
      </c>
      <c r="H1128" s="48" t="n">
        <v>21500</v>
      </c>
      <c r="I1128" s="48" t="n">
        <v>7</v>
      </c>
      <c r="J1128" s="48" t="n">
        <v>47300</v>
      </c>
      <c r="K1128" s="47">
        <f t="array" ref="K1128">_xlfn.XLOOKUP(1,(참조!$B$2:$B$15=E1128)*(참조!$D$2:$D$15=C1128)*(참조!$E$2:$E$15=D1128),참조!$C$2:$C$15,"")</f>
        <v/>
      </c>
    </row>
    <row r="1129" hidden="1" s="27">
      <c r="A1129" s="47" t="inlineStr">
        <is>
          <t>이야기모바일</t>
        </is>
      </c>
      <c r="B1129" s="47" t="inlineStr">
        <is>
          <t>함께이야기해S(500분+30GB)</t>
        </is>
      </c>
      <c r="C1129" s="47" t="inlineStr">
        <is>
          <t>500분</t>
        </is>
      </c>
      <c r="D1129" s="47" t="inlineStr">
        <is>
          <t>300건</t>
        </is>
      </c>
      <c r="E1129" s="47" t="inlineStr">
        <is>
          <t>월 30GB</t>
        </is>
      </c>
      <c r="F1129" s="47" t="inlineStr">
        <is>
          <t>SKT</t>
        </is>
      </c>
      <c r="G1129" s="47" t="inlineStr">
        <is>
          <t>LTE</t>
        </is>
      </c>
      <c r="H1129" s="48" t="n">
        <v>27500</v>
      </c>
      <c r="I1129" s="48" t="n"/>
      <c r="J1129" s="48" t="n"/>
      <c r="K1129" s="47">
        <f t="array" ref="K1129">_xlfn.XLOOKUP(1,(참조!$B$2:$B$15=E1129)*(참조!$D$2:$D$15=C1129)*(참조!$E$2:$E$15=D1129),참조!$C$2:$C$15,"")</f>
        <v/>
      </c>
    </row>
    <row r="1130" hidden="1" s="27">
      <c r="A1130" s="47" t="inlineStr">
        <is>
          <t>고고모바일</t>
        </is>
      </c>
      <c r="B1130" s="47" t="inlineStr">
        <is>
          <t>LTE200분/ 7GB</t>
        </is>
      </c>
      <c r="C1130" s="47" t="inlineStr">
        <is>
          <t>200분</t>
        </is>
      </c>
      <c r="D1130" s="47" t="inlineStr">
        <is>
          <t>100건</t>
        </is>
      </c>
      <c r="E1130" s="47" t="inlineStr">
        <is>
          <t>월 7GB</t>
        </is>
      </c>
      <c r="F1130" s="47" t="inlineStr">
        <is>
          <t>KT</t>
        </is>
      </c>
      <c r="G1130" s="47" t="inlineStr">
        <is>
          <t>LTE</t>
        </is>
      </c>
      <c r="H1130" s="48" t="n">
        <v>13420</v>
      </c>
      <c r="I1130" s="48" t="n"/>
      <c r="J1130" s="48" t="n"/>
      <c r="K1130" s="47">
        <f t="array" ref="K1130">_xlfn.XLOOKUP(1,(참조!$B$2:$B$15=E1130)*(참조!$D$2:$D$15=C1130)*(참조!$E$2:$E$15=D1130),참조!$C$2:$C$15,"")</f>
        <v/>
      </c>
    </row>
    <row r="1131" hidden="1" s="27">
      <c r="A1131" s="47" t="inlineStr">
        <is>
          <t>인스모바일</t>
        </is>
      </c>
      <c r="B1131" s="47" t="inlineStr">
        <is>
          <t>데이터 안심 100분+5GB+(USIM)</t>
        </is>
      </c>
      <c r="C1131" s="47" t="inlineStr">
        <is>
          <t>100분</t>
        </is>
      </c>
      <c r="D1131" s="47" t="inlineStr">
        <is>
          <t>100건</t>
        </is>
      </c>
      <c r="E1131" s="47" t="inlineStr">
        <is>
          <t>월 5GB + 1Mbps</t>
        </is>
      </c>
      <c r="F1131" s="47" t="inlineStr">
        <is>
          <t>LG U+</t>
        </is>
      </c>
      <c r="G1131" s="47" t="inlineStr">
        <is>
          <t>LTE</t>
        </is>
      </c>
      <c r="H1131" s="48" t="n">
        <v>1320</v>
      </c>
      <c r="I1131" s="48" t="n">
        <v>6</v>
      </c>
      <c r="J1131" s="48" t="n">
        <v>23100</v>
      </c>
      <c r="K1131" s="47">
        <f t="array" ref="K1131">_xlfn.XLOOKUP(1,(참조!$B$2:$B$15=E1131)*(참조!$D$2:$D$15=C1131)*(참조!$E$2:$E$15=D1131),참조!$C$2:$C$15,"")</f>
        <v/>
      </c>
    </row>
    <row r="1132" hidden="1" s="27">
      <c r="A1132" s="47" t="inlineStr">
        <is>
          <t>인스모바일</t>
        </is>
      </c>
      <c r="B1132" s="47" t="inlineStr">
        <is>
          <t>[평생할인]인스 유심 스트롱 100GB+</t>
        </is>
      </c>
      <c r="C1132" s="47" t="inlineStr">
        <is>
          <t>무제한</t>
        </is>
      </c>
      <c r="D1132" s="47" t="inlineStr">
        <is>
          <t>무제한</t>
        </is>
      </c>
      <c r="E1132" s="47" t="inlineStr">
        <is>
          <t>월 100GB + 5Mbps</t>
        </is>
      </c>
      <c r="F1132" s="47" t="inlineStr">
        <is>
          <t>LG U+</t>
        </is>
      </c>
      <c r="G1132" s="47" t="inlineStr">
        <is>
          <t>LTE</t>
        </is>
      </c>
      <c r="H1132" s="48" t="n">
        <v>35450</v>
      </c>
      <c r="I1132" s="48" t="n"/>
      <c r="J1132" s="48" t="n"/>
      <c r="K1132" s="47">
        <f t="array" ref="K1132">_xlfn.XLOOKUP(1,(참조!$B$2:$B$15=E1132)*(참조!$D$2:$D$15=C1132)*(참조!$E$2:$E$15=D1132),참조!$C$2:$C$15,"")</f>
        <v/>
      </c>
    </row>
    <row r="1133" hidden="1" s="27">
      <c r="A1133" s="47" t="inlineStr">
        <is>
          <t>아이즈모바일</t>
        </is>
      </c>
      <c r="B1133" s="47" t="inlineStr">
        <is>
          <t>아이즈(100분/5GB)</t>
        </is>
      </c>
      <c r="C1133" s="47" t="inlineStr">
        <is>
          <t>100분</t>
        </is>
      </c>
      <c r="D1133" s="47" t="inlineStr">
        <is>
          <t>50건</t>
        </is>
      </c>
      <c r="E1133" s="47" t="inlineStr">
        <is>
          <t>월 5GB</t>
        </is>
      </c>
      <c r="F1133" s="47" t="inlineStr">
        <is>
          <t>SKT</t>
        </is>
      </c>
      <c r="G1133" s="47" t="inlineStr">
        <is>
          <t>LTE</t>
        </is>
      </c>
      <c r="H1133" s="48" t="n">
        <v>1490</v>
      </c>
      <c r="I1133" s="48" t="n"/>
      <c r="J1133" s="48" t="n"/>
      <c r="K1133" s="47">
        <f t="array" ref="K1133">_xlfn.XLOOKUP(1,(참조!$B$2:$B$15=E1133)*(참조!$D$2:$D$15=C1133)*(참조!$E$2:$E$15=D1133),참조!$C$2:$C$15,"")</f>
        <v/>
      </c>
    </row>
    <row r="1134" hidden="1" s="27">
      <c r="A1134" s="47" t="inlineStr">
        <is>
          <t>더원모바일</t>
        </is>
      </c>
      <c r="B1134" s="47" t="inlineStr">
        <is>
          <t>TOP 5G 200GB 기본 (밀리의서재)</t>
        </is>
      </c>
      <c r="C1134" s="47" t="inlineStr">
        <is>
          <t>무제한</t>
        </is>
      </c>
      <c r="D1134" s="47" t="inlineStr">
        <is>
          <t>무제한</t>
        </is>
      </c>
      <c r="E1134" s="47" t="inlineStr">
        <is>
          <t>월 200GB + 10Mbps</t>
        </is>
      </c>
      <c r="F1134" s="47" t="inlineStr">
        <is>
          <t>KT</t>
        </is>
      </c>
      <c r="G1134" s="47" t="inlineStr">
        <is>
          <t>5G</t>
        </is>
      </c>
      <c r="H1134" s="48" t="n">
        <v>22000</v>
      </c>
      <c r="I1134" s="48" t="n">
        <v>7</v>
      </c>
      <c r="J1134" s="48" t="n">
        <v>55000</v>
      </c>
      <c r="K1134" s="47">
        <f t="array" ref="K1134">_xlfn.XLOOKUP(1,(참조!$B$2:$B$15=E1134)*(참조!$D$2:$D$15=C1134)*(참조!$E$2:$E$15=D1134),참조!$C$2:$C$15,"")</f>
        <v/>
      </c>
    </row>
    <row r="1135" hidden="1" s="27">
      <c r="A1135" s="47" t="inlineStr">
        <is>
          <t>티플러스</t>
        </is>
      </c>
      <c r="B1135" s="47" t="inlineStr">
        <is>
          <t>티플 올리브영 7GB+(매월 5000P)</t>
        </is>
      </c>
      <c r="C1135" s="47" t="inlineStr">
        <is>
          <t>무제한</t>
        </is>
      </c>
      <c r="D1135" s="47" t="inlineStr">
        <is>
          <t>무제한</t>
        </is>
      </c>
      <c r="E1135" s="47" t="inlineStr">
        <is>
          <t>월 7GB + 1Mbps</t>
        </is>
      </c>
      <c r="F1135" s="47" t="inlineStr">
        <is>
          <t>SKT</t>
        </is>
      </c>
      <c r="G1135" s="47" t="inlineStr">
        <is>
          <t>LTE</t>
        </is>
      </c>
      <c r="H1135" s="48" t="n">
        <v>4900</v>
      </c>
      <c r="I1135" s="48" t="n">
        <v>7</v>
      </c>
      <c r="J1135" s="48" t="n">
        <v>28600</v>
      </c>
      <c r="K1135" s="47">
        <f t="array" ref="K1135">_xlfn.XLOOKUP(1,(참조!$B$2:$B$15=E1135)*(참조!$D$2:$D$15=C1135)*(참조!$E$2:$E$15=D1135),참조!$C$2:$C$15,"")</f>
        <v/>
      </c>
    </row>
    <row r="1136" hidden="1" s="27">
      <c r="A1136" s="47" t="inlineStr">
        <is>
          <t>아이즈모바일</t>
        </is>
      </c>
      <c r="B1136" s="47" t="inlineStr">
        <is>
          <t>[S]음성자유/5GB</t>
        </is>
      </c>
      <c r="C1136" s="47" t="inlineStr">
        <is>
          <t>무제한</t>
        </is>
      </c>
      <c r="D1136" s="47" t="inlineStr">
        <is>
          <t>100건</t>
        </is>
      </c>
      <c r="E1136" s="47" t="inlineStr">
        <is>
          <t>월 5GB</t>
        </is>
      </c>
      <c r="F1136" s="47" t="inlineStr">
        <is>
          <t>SKT</t>
        </is>
      </c>
      <c r="G1136" s="47" t="inlineStr">
        <is>
          <t>LTE</t>
        </is>
      </c>
      <c r="H1136" s="48" t="n">
        <v>2390</v>
      </c>
      <c r="I1136" s="48" t="n"/>
      <c r="J1136" s="48" t="n"/>
      <c r="K1136" s="47">
        <f t="array" ref="K1136">_xlfn.XLOOKUP(1,(참조!$B$2:$B$15=E1136)*(참조!$D$2:$D$15=C1136)*(참조!$E$2:$E$15=D1136),참조!$C$2:$C$15,"")</f>
        <v/>
      </c>
    </row>
    <row r="1137" hidden="1" s="27">
      <c r="A1137" s="47" t="inlineStr">
        <is>
          <t>이야기모바일</t>
        </is>
      </c>
      <c r="B1137" s="47" t="inlineStr">
        <is>
          <t>내맘대로S(200+2GB)</t>
        </is>
      </c>
      <c r="C1137" s="47" t="inlineStr">
        <is>
          <t>200분</t>
        </is>
      </c>
      <c r="D1137" s="47" t="inlineStr">
        <is>
          <t>50건</t>
        </is>
      </c>
      <c r="E1137" s="47" t="inlineStr">
        <is>
          <t>월 2GB</t>
        </is>
      </c>
      <c r="F1137" s="47" t="inlineStr">
        <is>
          <t>SKT</t>
        </is>
      </c>
      <c r="G1137" s="47" t="inlineStr">
        <is>
          <t>LTE</t>
        </is>
      </c>
      <c r="H1137" s="48" t="n">
        <v>3300</v>
      </c>
      <c r="I1137" s="48" t="n">
        <v>24</v>
      </c>
      <c r="J1137" s="48" t="n">
        <v>4100</v>
      </c>
      <c r="K1137" s="47">
        <f t="array" ref="K1137">_xlfn.XLOOKUP(1,(참조!$B$2:$B$15=E1137)*(참조!$D$2:$D$15=C1137)*(참조!$E$2:$E$15=D1137),참조!$C$2:$C$15,"")</f>
        <v/>
      </c>
    </row>
    <row r="1138" hidden="1" s="27">
      <c r="A1138" s="47" t="inlineStr">
        <is>
          <t>스마텔</t>
        </is>
      </c>
      <c r="B1138" s="47" t="inlineStr">
        <is>
          <t>우주LTE데이터(15GB+)</t>
        </is>
      </c>
      <c r="C1138" s="47" t="inlineStr">
        <is>
          <t>100분</t>
        </is>
      </c>
      <c r="D1138" s="47" t="inlineStr">
        <is>
          <t>100건</t>
        </is>
      </c>
      <c r="E1138" s="47" t="inlineStr">
        <is>
          <t>월 15GB + 3Mbps</t>
        </is>
      </c>
      <c r="F1138" s="47" t="inlineStr">
        <is>
          <t>LG U+</t>
        </is>
      </c>
      <c r="G1138" s="47" t="inlineStr">
        <is>
          <t>LTE</t>
        </is>
      </c>
      <c r="H1138" s="48" t="n">
        <v>27000</v>
      </c>
      <c r="I1138" s="48" t="n"/>
      <c r="J1138" s="48" t="n"/>
      <c r="K1138" s="47">
        <f t="array" ref="K1138">_xlfn.XLOOKUP(1,(참조!$B$2:$B$15=E1138)*(참조!$D$2:$D$15=C1138)*(참조!$E$2:$E$15=D1138),참조!$C$2:$C$15,"")</f>
        <v/>
      </c>
    </row>
    <row r="1139" hidden="1" s="27">
      <c r="A1139" s="47" t="inlineStr">
        <is>
          <t>에이모바일</t>
        </is>
      </c>
      <c r="B1139" s="47" t="inlineStr">
        <is>
          <t>A 5G 스마트 15GB/300분</t>
        </is>
      </c>
      <c r="C1139" s="47" t="inlineStr">
        <is>
          <t>300분</t>
        </is>
      </c>
      <c r="D1139" s="47" t="inlineStr">
        <is>
          <t>100건</t>
        </is>
      </c>
      <c r="E1139" s="47" t="inlineStr">
        <is>
          <t>월 15GB</t>
        </is>
      </c>
      <c r="F1139" s="47" t="inlineStr">
        <is>
          <t>SKT</t>
        </is>
      </c>
      <c r="G1139" s="47" t="inlineStr">
        <is>
          <t>5G</t>
        </is>
      </c>
      <c r="H1139" s="48" t="n">
        <v>990</v>
      </c>
      <c r="I1139" s="48" t="n">
        <v>7</v>
      </c>
      <c r="J1139" s="48" t="n">
        <v>19470</v>
      </c>
      <c r="K1139" s="47">
        <f t="array" ref="K1139">_xlfn.XLOOKUP(1,(참조!$B$2:$B$15=E1139)*(참조!$D$2:$D$15=C1139)*(참조!$E$2:$E$15=D1139),참조!$C$2:$C$15,"")</f>
        <v/>
      </c>
    </row>
    <row r="1140" hidden="1" s="27">
      <c r="A1140" s="47" t="inlineStr">
        <is>
          <t>스마텔</t>
        </is>
      </c>
      <c r="B1140" s="47" t="inlineStr">
        <is>
          <t>USIM 안심데이터 11GB</t>
        </is>
      </c>
      <c r="C1140" s="47" t="inlineStr">
        <is>
          <t>무제한</t>
        </is>
      </c>
      <c r="D1140" s="47" t="inlineStr">
        <is>
          <t>무제한</t>
        </is>
      </c>
      <c r="E1140" s="47" t="inlineStr">
        <is>
          <t>월 11GB + 매일 2GB + 3Mbps</t>
        </is>
      </c>
      <c r="F1140" s="47" t="inlineStr">
        <is>
          <t>SKT</t>
        </is>
      </c>
      <c r="G1140" s="47" t="inlineStr">
        <is>
          <t>LTE</t>
        </is>
      </c>
      <c r="H1140" s="48" t="n">
        <v>36600</v>
      </c>
      <c r="I1140" s="48" t="n"/>
      <c r="J1140" s="48" t="n"/>
      <c r="K1140" s="47">
        <f t="array" ref="K1140">_xlfn.XLOOKUP(1,(참조!$B$2:$B$15=E1140)*(참조!$D$2:$D$15=C1140)*(참조!$E$2:$E$15=D1140),참조!$C$2:$C$15,"")</f>
        <v/>
      </c>
    </row>
    <row r="1141" hidden="1" s="27">
      <c r="A1141" s="47" t="inlineStr">
        <is>
          <t>이야기모바일</t>
        </is>
      </c>
      <c r="B1141" s="47" t="inlineStr">
        <is>
          <t>함께이야기해S(200분+30GB)</t>
        </is>
      </c>
      <c r="C1141" s="47" t="inlineStr">
        <is>
          <t>200분</t>
        </is>
      </c>
      <c r="D1141" s="47" t="inlineStr">
        <is>
          <t>300건</t>
        </is>
      </c>
      <c r="E1141" s="47" t="inlineStr">
        <is>
          <t>월 30GB</t>
        </is>
      </c>
      <c r="F1141" s="47" t="inlineStr">
        <is>
          <t>SKT</t>
        </is>
      </c>
      <c r="G1141" s="47" t="inlineStr">
        <is>
          <t>LTE</t>
        </is>
      </c>
      <c r="H1141" s="48" t="n">
        <v>23500</v>
      </c>
      <c r="I1141" s="48" t="n"/>
      <c r="J1141" s="48" t="n"/>
      <c r="K1141" s="47">
        <f t="array" ref="K1141">_xlfn.XLOOKUP(1,(참조!$B$2:$B$15=E1141)*(참조!$D$2:$D$15=C1141)*(참조!$E$2:$E$15=D1141),참조!$C$2:$C$15,"")</f>
        <v/>
      </c>
    </row>
    <row r="1142" hidden="1" s="27">
      <c r="A1142" s="47" t="inlineStr">
        <is>
          <t>아이즈모바일</t>
        </is>
      </c>
      <c r="B1142" s="47" t="inlineStr">
        <is>
          <t>[L]5G 아이즈95GB+3Mbps</t>
        </is>
      </c>
      <c r="C1142" s="47" t="inlineStr">
        <is>
          <t>무제한</t>
        </is>
      </c>
      <c r="D1142" s="47" t="inlineStr">
        <is>
          <t>무제한</t>
        </is>
      </c>
      <c r="E1142" s="47" t="inlineStr">
        <is>
          <t>월 95GB + 3Mbps</t>
        </is>
      </c>
      <c r="F1142" s="47" t="inlineStr">
        <is>
          <t>LG U+</t>
        </is>
      </c>
      <c r="G1142" s="47" t="inlineStr">
        <is>
          <t>5G</t>
        </is>
      </c>
      <c r="H1142" s="48" t="n">
        <v>7100</v>
      </c>
      <c r="I1142" s="48" t="n">
        <v>7</v>
      </c>
      <c r="J1142" s="48" t="n">
        <v>53900</v>
      </c>
      <c r="K1142" s="47">
        <f t="array" ref="K1142">_xlfn.XLOOKUP(1,(참조!$B$2:$B$15=E1142)*(참조!$D$2:$D$15=C1142)*(참조!$E$2:$E$15=D1142),참조!$C$2:$C$15,"")</f>
        <v/>
      </c>
    </row>
    <row r="1143" hidden="1" s="27">
      <c r="A1143" s="47" t="inlineStr">
        <is>
          <t>티플러스</t>
        </is>
      </c>
      <c r="B1143" s="47" t="inlineStr">
        <is>
          <t>The 완전마음껏10G＋(올리브영 매월 5000P)</t>
        </is>
      </c>
      <c r="C1143" s="47" t="inlineStr">
        <is>
          <t>무제한</t>
        </is>
      </c>
      <c r="D1143" s="47" t="inlineStr">
        <is>
          <t>무제한</t>
        </is>
      </c>
      <c r="E1143" s="47" t="inlineStr">
        <is>
          <t>월 10GB + 1Mbps</t>
        </is>
      </c>
      <c r="F1143" s="47" t="inlineStr">
        <is>
          <t>LG U+</t>
        </is>
      </c>
      <c r="G1143" s="47" t="inlineStr">
        <is>
          <t>LTE</t>
        </is>
      </c>
      <c r="H1143" s="48" t="n">
        <v>17500</v>
      </c>
      <c r="I1143" s="48" t="n">
        <v>24</v>
      </c>
      <c r="J1143" s="48" t="n">
        <v>27830</v>
      </c>
      <c r="K1143" s="47">
        <f t="array" ref="K1143">_xlfn.XLOOKUP(1,(참조!$B$2:$B$15=E1143)*(참조!$D$2:$D$15=C1143)*(참조!$E$2:$E$15=D1143),참조!$C$2:$C$15,"")</f>
        <v/>
      </c>
    </row>
    <row r="1144" hidden="1" s="27">
      <c r="A1144" s="47" t="inlineStr">
        <is>
          <t>티플러스</t>
        </is>
      </c>
      <c r="B1144" s="47" t="inlineStr">
        <is>
          <t>The 완전마음껏10G+(카톡 이모티콘+예스24e북)</t>
        </is>
      </c>
      <c r="C1144" s="47" t="inlineStr">
        <is>
          <t>무제한</t>
        </is>
      </c>
      <c r="D1144" s="47" t="inlineStr">
        <is>
          <t>무제한</t>
        </is>
      </c>
      <c r="E1144" s="47" t="inlineStr">
        <is>
          <t>월 10GB + 1Mbps</t>
        </is>
      </c>
      <c r="F1144" s="47" t="inlineStr">
        <is>
          <t>LG U+</t>
        </is>
      </c>
      <c r="G1144" s="47" t="inlineStr">
        <is>
          <t>LTE</t>
        </is>
      </c>
      <c r="H1144" s="48" t="n">
        <v>17500</v>
      </c>
      <c r="I1144" s="48" t="n">
        <v>24</v>
      </c>
      <c r="J1144" s="48" t="n">
        <v>27830</v>
      </c>
      <c r="K1144" s="47">
        <f t="array" ref="K1144">_xlfn.XLOOKUP(1,(참조!$B$2:$B$15=E1144)*(참조!$D$2:$D$15=C1144)*(참조!$E$2:$E$15=D1144),참조!$C$2:$C$15,"")</f>
        <v/>
      </c>
    </row>
    <row r="1145" hidden="1" s="27">
      <c r="A1145" s="47" t="inlineStr">
        <is>
          <t>티플러스</t>
        </is>
      </c>
      <c r="B1145" s="47" t="inlineStr">
        <is>
          <t>The 완전마음껏10G+(컬쳐랜드 문화상품권 매월 5000P)</t>
        </is>
      </c>
      <c r="C1145" s="47" t="inlineStr">
        <is>
          <t>무제한</t>
        </is>
      </c>
      <c r="D1145" s="47" t="inlineStr">
        <is>
          <t>무제한</t>
        </is>
      </c>
      <c r="E1145" s="47" t="inlineStr">
        <is>
          <t>월 10GB + 1Mbps</t>
        </is>
      </c>
      <c r="F1145" s="47" t="inlineStr">
        <is>
          <t>LG U+</t>
        </is>
      </c>
      <c r="G1145" s="47" t="inlineStr">
        <is>
          <t>LTE</t>
        </is>
      </c>
      <c r="H1145" s="48" t="n">
        <v>17500</v>
      </c>
      <c r="I1145" s="48" t="n">
        <v>24</v>
      </c>
      <c r="J1145" s="48" t="n">
        <v>27830</v>
      </c>
      <c r="K1145" s="47">
        <f t="array" ref="K1145">_xlfn.XLOOKUP(1,(참조!$B$2:$B$15=E1145)*(참조!$D$2:$D$15=C1145)*(참조!$E$2:$E$15=D1145),참조!$C$2:$C$15,"")</f>
        <v/>
      </c>
    </row>
    <row r="1146" hidden="1" s="27">
      <c r="A1146" s="47" t="inlineStr">
        <is>
          <t>티플러스</t>
        </is>
      </c>
      <c r="B1146" s="47" t="inlineStr">
        <is>
          <t>The 완전마음껏10G＋(스타벅스 매월 5000P)</t>
        </is>
      </c>
      <c r="C1146" s="47" t="inlineStr">
        <is>
          <t>무제한</t>
        </is>
      </c>
      <c r="D1146" s="47" t="inlineStr">
        <is>
          <t>무제한</t>
        </is>
      </c>
      <c r="E1146" s="47" t="inlineStr">
        <is>
          <t>월 10GB + 1Mbps</t>
        </is>
      </c>
      <c r="F1146" s="47" t="inlineStr">
        <is>
          <t>LG U+</t>
        </is>
      </c>
      <c r="G1146" s="47" t="inlineStr">
        <is>
          <t>LTE</t>
        </is>
      </c>
      <c r="H1146" s="48" t="n">
        <v>17500</v>
      </c>
      <c r="I1146" s="48" t="n">
        <v>24</v>
      </c>
      <c r="J1146" s="48" t="n">
        <v>27830</v>
      </c>
      <c r="K1146" s="47">
        <f t="array" ref="K1146">_xlfn.XLOOKUP(1,(참조!$B$2:$B$15=E1146)*(참조!$D$2:$D$15=C1146)*(참조!$E$2:$E$15=D1146),참조!$C$2:$C$15,"")</f>
        <v/>
      </c>
    </row>
    <row r="1147" hidden="1" s="27">
      <c r="A1147" s="47" t="inlineStr">
        <is>
          <t>스마텔</t>
        </is>
      </c>
      <c r="B1147" s="47" t="inlineStr">
        <is>
          <t>스위트 15GB+</t>
        </is>
      </c>
      <c r="C1147" s="47" t="inlineStr">
        <is>
          <t>100분</t>
        </is>
      </c>
      <c r="D1147" s="47" t="inlineStr">
        <is>
          <t>100건</t>
        </is>
      </c>
      <c r="E1147" s="47" t="inlineStr">
        <is>
          <t>월 15GB + 3Mbps</t>
        </is>
      </c>
      <c r="F1147" s="47" t="inlineStr">
        <is>
          <t>KT</t>
        </is>
      </c>
      <c r="G1147" s="47" t="inlineStr">
        <is>
          <t>LTE</t>
        </is>
      </c>
      <c r="H1147" s="48" t="n">
        <v>27500</v>
      </c>
      <c r="I1147" s="48" t="n">
        <v>36</v>
      </c>
      <c r="J1147" s="48" t="n">
        <v>33000</v>
      </c>
      <c r="K1147" s="47">
        <f t="array" ref="K1147">_xlfn.XLOOKUP(1,(참조!$B$2:$B$15=E1147)*(참조!$D$2:$D$15=C1147)*(참조!$E$2:$E$15=D1147),참조!$C$2:$C$15,"")</f>
        <v/>
      </c>
    </row>
    <row r="1148" hidden="1" s="27">
      <c r="A1148" s="47" t="inlineStr">
        <is>
          <t>KG모바일</t>
        </is>
      </c>
      <c r="B1148" s="47" t="inlineStr">
        <is>
          <t>[일반] 실속 (10GB/100분)</t>
        </is>
      </c>
      <c r="C1148" s="47" t="inlineStr">
        <is>
          <t>100분</t>
        </is>
      </c>
      <c r="D1148" s="47" t="inlineStr">
        <is>
          <t>100건</t>
        </is>
      </c>
      <c r="E1148" s="47" t="inlineStr">
        <is>
          <t>월 10GB</t>
        </is>
      </c>
      <c r="F1148" s="47" t="inlineStr">
        <is>
          <t>LG U+</t>
        </is>
      </c>
      <c r="G1148" s="47" t="inlineStr">
        <is>
          <t>LTE</t>
        </is>
      </c>
      <c r="H1148" s="48" t="n">
        <v>4100</v>
      </c>
      <c r="I1148" s="48" t="n">
        <v>6</v>
      </c>
      <c r="J1148" s="48" t="n">
        <v>17600</v>
      </c>
      <c r="K1148" s="47">
        <f t="array" ref="K1148">_xlfn.XLOOKUP(1,(참조!$B$2:$B$15=E1148)*(참조!$D$2:$D$15=C1148)*(참조!$E$2:$E$15=D1148),참조!$C$2:$C$15,"")</f>
        <v/>
      </c>
    </row>
    <row r="1149" hidden="1" s="27">
      <c r="A1149" s="47" t="inlineStr">
        <is>
          <t>아이즈모바일</t>
        </is>
      </c>
      <c r="B1149" s="47" t="inlineStr">
        <is>
          <t>아이즈 (10GB/400분)</t>
        </is>
      </c>
      <c r="C1149" s="47" t="inlineStr">
        <is>
          <t>400분</t>
        </is>
      </c>
      <c r="D1149" s="47" t="inlineStr">
        <is>
          <t>400건</t>
        </is>
      </c>
      <c r="E1149" s="47" t="inlineStr">
        <is>
          <t>월 10GB</t>
        </is>
      </c>
      <c r="F1149" s="47" t="inlineStr">
        <is>
          <t>SKT</t>
        </is>
      </c>
      <c r="G1149" s="47" t="inlineStr">
        <is>
          <t>LTE</t>
        </is>
      </c>
      <c r="H1149" s="48" t="n">
        <v>2900</v>
      </c>
      <c r="I1149" s="48" t="n"/>
      <c r="J1149" s="48" t="n"/>
      <c r="K1149" s="47">
        <f t="array" ref="K1149">_xlfn.XLOOKUP(1,(참조!$B$2:$B$15=E1149)*(참조!$D$2:$D$15=C1149)*(참조!$E$2:$E$15=D1149),참조!$C$2:$C$15,"")</f>
        <v/>
      </c>
    </row>
    <row r="1150" hidden="1" s="27">
      <c r="A1150" s="47" t="inlineStr">
        <is>
          <t>모빙</t>
        </is>
      </c>
      <c r="B1150" s="47" t="inlineStr">
        <is>
          <t>5G 쏙쏙 300분15GB</t>
        </is>
      </c>
      <c r="C1150" s="47" t="inlineStr">
        <is>
          <t>300분</t>
        </is>
      </c>
      <c r="D1150" s="47" t="inlineStr">
        <is>
          <t>100건</t>
        </is>
      </c>
      <c r="E1150" s="47" t="inlineStr">
        <is>
          <t>월 15GB</t>
        </is>
      </c>
      <c r="F1150" s="47" t="inlineStr">
        <is>
          <t>KT</t>
        </is>
      </c>
      <c r="G1150" s="47" t="inlineStr">
        <is>
          <t>5G</t>
        </is>
      </c>
      <c r="H1150" s="48" t="n">
        <v>110</v>
      </c>
      <c r="I1150" s="48" t="n">
        <v>7</v>
      </c>
      <c r="J1150" s="48" t="n">
        <v>31900</v>
      </c>
      <c r="K1150" s="47">
        <f t="array" ref="K1150">_xlfn.XLOOKUP(1,(참조!$B$2:$B$15=E1150)*(참조!$D$2:$D$15=C1150)*(참조!$E$2:$E$15=D1150),참조!$C$2:$C$15,"")</f>
        <v/>
      </c>
    </row>
    <row r="1151" hidden="1" s="27">
      <c r="A1151" s="47" t="inlineStr">
        <is>
          <t>아이즈모바일</t>
        </is>
      </c>
      <c r="B1151" s="47" t="inlineStr">
        <is>
          <t>[L]5G 울트라(300분/15GB)</t>
        </is>
      </c>
      <c r="C1151" s="47" t="inlineStr">
        <is>
          <t>300분</t>
        </is>
      </c>
      <c r="D1151" s="47" t="inlineStr">
        <is>
          <t>300건</t>
        </is>
      </c>
      <c r="E1151" s="47" t="inlineStr">
        <is>
          <t>월 15GB</t>
        </is>
      </c>
      <c r="F1151" s="47" t="inlineStr">
        <is>
          <t>LG U+</t>
        </is>
      </c>
      <c r="G1151" s="47" t="inlineStr">
        <is>
          <t>5G</t>
        </is>
      </c>
      <c r="H1151" s="48" t="n">
        <v>990</v>
      </c>
      <c r="I1151" s="48" t="n">
        <v>6</v>
      </c>
      <c r="J1151" s="48" t="n">
        <v>25300</v>
      </c>
      <c r="K1151" s="47">
        <f t="array" ref="K1151">_xlfn.XLOOKUP(1,(참조!$B$2:$B$15=E1151)*(참조!$D$2:$D$15=C1151)*(참조!$E$2:$E$15=D1151),참조!$C$2:$C$15,"")</f>
        <v/>
      </c>
    </row>
    <row r="1152" hidden="1" s="27">
      <c r="A1152" s="47" t="inlineStr">
        <is>
          <t>아이즈모바일</t>
        </is>
      </c>
      <c r="B1152" s="47" t="inlineStr">
        <is>
          <t>[L]5G 아이즈125GB+5Mbps</t>
        </is>
      </c>
      <c r="C1152" s="47" t="inlineStr">
        <is>
          <t>무제한</t>
        </is>
      </c>
      <c r="D1152" s="47" t="inlineStr">
        <is>
          <t>무제한</t>
        </is>
      </c>
      <c r="E1152" s="47" t="inlineStr">
        <is>
          <t>월 125GB + 5Mbps</t>
        </is>
      </c>
      <c r="F1152" s="47" t="inlineStr">
        <is>
          <t>LG U+</t>
        </is>
      </c>
      <c r="G1152" s="47" t="inlineStr">
        <is>
          <t>5G</t>
        </is>
      </c>
      <c r="H1152" s="48" t="n">
        <v>7100</v>
      </c>
      <c r="I1152" s="48" t="n">
        <v>7</v>
      </c>
      <c r="J1152" s="48" t="n">
        <v>58300</v>
      </c>
      <c r="K1152" s="47">
        <f t="array" ref="K1152">_xlfn.XLOOKUP(1,(참조!$B$2:$B$15=E1152)*(참조!$D$2:$D$15=C1152)*(참조!$E$2:$E$15=D1152),참조!$C$2:$C$15,"")</f>
        <v/>
      </c>
    </row>
    <row r="1153" hidden="1" s="27">
      <c r="A1153" s="47" t="inlineStr">
        <is>
          <t>티플러스</t>
        </is>
      </c>
      <c r="B1153" s="47" t="inlineStr">
        <is>
          <t>티플 데이터마음껏15G＋(100분)</t>
        </is>
      </c>
      <c r="C1153" s="47" t="inlineStr">
        <is>
          <t>100분</t>
        </is>
      </c>
      <c r="D1153" s="47" t="inlineStr">
        <is>
          <t>100건</t>
        </is>
      </c>
      <c r="E1153" s="47" t="inlineStr">
        <is>
          <t>월 15GB + 3Mbps</t>
        </is>
      </c>
      <c r="F1153" s="47" t="inlineStr">
        <is>
          <t>LG U+</t>
        </is>
      </c>
      <c r="G1153" s="47" t="inlineStr">
        <is>
          <t>LTE</t>
        </is>
      </c>
      <c r="H1153" s="48" t="n">
        <v>27500</v>
      </c>
      <c r="I1153" s="48" t="n"/>
      <c r="J1153" s="48" t="n"/>
      <c r="K1153" s="47">
        <f t="array" ref="K1153">_xlfn.XLOOKUP(1,(참조!$B$2:$B$15=E1153)*(참조!$D$2:$D$15=C1153)*(참조!$E$2:$E$15=D1153),참조!$C$2:$C$15,"")</f>
        <v/>
      </c>
    </row>
    <row r="1154" hidden="1" s="27">
      <c r="A1154" s="47" t="inlineStr">
        <is>
          <t>이야기모바일</t>
        </is>
      </c>
      <c r="B1154" s="47" t="inlineStr">
        <is>
          <t>함께이야기해S(1000분+20GB)</t>
        </is>
      </c>
      <c r="C1154" s="47" t="inlineStr">
        <is>
          <t>1,000분</t>
        </is>
      </c>
      <c r="D1154" s="47" t="inlineStr">
        <is>
          <t>200건</t>
        </is>
      </c>
      <c r="E1154" s="47" t="inlineStr">
        <is>
          <t>월 20GB</t>
        </is>
      </c>
      <c r="F1154" s="47" t="inlineStr">
        <is>
          <t>SKT</t>
        </is>
      </c>
      <c r="G1154" s="47" t="inlineStr">
        <is>
          <t>LTE</t>
        </is>
      </c>
      <c r="H1154" s="48" t="n">
        <v>23500</v>
      </c>
      <c r="I1154" s="48" t="n">
        <v>12</v>
      </c>
      <c r="J1154" s="48" t="n">
        <v>29700</v>
      </c>
      <c r="K1154" s="47">
        <f t="array" ref="K1154">_xlfn.XLOOKUP(1,(참조!$B$2:$B$15=E1154)*(참조!$D$2:$D$15=C1154)*(참조!$E$2:$E$15=D1154),참조!$C$2:$C$15,"")</f>
        <v/>
      </c>
    </row>
    <row r="1155" hidden="1" s="27">
      <c r="A1155" s="47" t="inlineStr">
        <is>
          <t>고고모바일</t>
        </is>
      </c>
      <c r="B1155" s="47" t="inlineStr">
        <is>
          <t>[모요only] 무제한 10GB+1M(다이소 5000원)</t>
        </is>
      </c>
      <c r="C1155" s="47" t="inlineStr">
        <is>
          <t>무제한</t>
        </is>
      </c>
      <c r="D1155" s="47" t="inlineStr">
        <is>
          <t>무제한</t>
        </is>
      </c>
      <c r="E1155" s="47" t="inlineStr">
        <is>
          <t>월 10GB + 1Mbps</t>
        </is>
      </c>
      <c r="F1155" s="47" t="inlineStr">
        <is>
          <t>KT</t>
        </is>
      </c>
      <c r="G1155" s="47" t="inlineStr">
        <is>
          <t>LTE</t>
        </is>
      </c>
      <c r="H1155" s="48" t="n">
        <v>9000</v>
      </c>
      <c r="I1155" s="48" t="n">
        <v>7</v>
      </c>
      <c r="J1155" s="48" t="n">
        <v>27500</v>
      </c>
      <c r="K1155" s="47">
        <f t="array" ref="K1155">_xlfn.XLOOKUP(1,(참조!$B$2:$B$15=E1155)*(참조!$D$2:$D$15=C1155)*(참조!$E$2:$E$15=D1155),참조!$C$2:$C$15,"")</f>
        <v/>
      </c>
    </row>
    <row r="1156">
      <c r="A1156" s="47" t="inlineStr">
        <is>
          <t>스마텔</t>
        </is>
      </c>
      <c r="B1156" s="47" t="inlineStr">
        <is>
          <t>LTE 음성무제한 25GB</t>
        </is>
      </c>
      <c r="C1156" s="47" t="inlineStr">
        <is>
          <t>무제한</t>
        </is>
      </c>
      <c r="D1156" s="47" t="inlineStr">
        <is>
          <t>200건</t>
        </is>
      </c>
      <c r="E1156" s="47" t="inlineStr">
        <is>
          <t>월 25GB</t>
        </is>
      </c>
      <c r="F1156" s="47" t="inlineStr">
        <is>
          <t>SKT</t>
        </is>
      </c>
      <c r="G1156" s="47" t="inlineStr">
        <is>
          <t>LTE</t>
        </is>
      </c>
      <c r="H1156" s="48" t="n">
        <v>12600</v>
      </c>
      <c r="I1156" s="48" t="n">
        <v>7</v>
      </c>
      <c r="J1156" s="48" t="n">
        <v>29700</v>
      </c>
      <c r="K1156" s="47">
        <f t="array" ref="K1156">_xlfn.XLOOKUP(1,(참조!$B$2:$B$15=E1156)*(참조!$D$2:$D$15=C1156)*(참조!$E$2:$E$15=D1156),참조!$C$2:$C$15,"")</f>
        <v/>
      </c>
    </row>
    <row r="1157" hidden="1" s="27">
      <c r="A1157" s="47" t="inlineStr">
        <is>
          <t>시월모바일</t>
        </is>
      </c>
      <c r="B1157" s="47" t="inlineStr">
        <is>
          <t>쿠폰팩 통화기본매일5GB+</t>
        </is>
      </c>
      <c r="C1157" s="47" t="inlineStr">
        <is>
          <t>무제한</t>
        </is>
      </c>
      <c r="D1157" s="47" t="inlineStr">
        <is>
          <t>무제한</t>
        </is>
      </c>
      <c r="E1157" s="47" t="inlineStr">
        <is>
          <t>매일 5GB + 5Mbps</t>
        </is>
      </c>
      <c r="F1157" s="47" t="inlineStr">
        <is>
          <t>LG U+</t>
        </is>
      </c>
      <c r="G1157" s="47" t="inlineStr">
        <is>
          <t>LTE</t>
        </is>
      </c>
      <c r="H1157" s="48" t="n">
        <v>19810</v>
      </c>
      <c r="I1157" s="48" t="n">
        <v>7</v>
      </c>
      <c r="J1157" s="48" t="n">
        <v>48410</v>
      </c>
      <c r="K1157" s="47">
        <f t="array" ref="K1157">_xlfn.XLOOKUP(1,(참조!$B$2:$B$15=E1157)*(참조!$D$2:$D$15=C1157)*(참조!$E$2:$E$15=D1157),참조!$C$2:$C$15,"")</f>
        <v/>
      </c>
    </row>
    <row r="1158" hidden="1" s="27">
      <c r="A1158" s="47" t="inlineStr">
        <is>
          <t>스마텔</t>
        </is>
      </c>
      <c r="B1158" s="47" t="inlineStr">
        <is>
          <t>LTE 음성무제한 8GB</t>
        </is>
      </c>
      <c r="C1158" s="47" t="inlineStr">
        <is>
          <t>무제한</t>
        </is>
      </c>
      <c r="D1158" s="47" t="inlineStr">
        <is>
          <t>200건</t>
        </is>
      </c>
      <c r="E1158" s="47" t="inlineStr">
        <is>
          <t>월 8GB</t>
        </is>
      </c>
      <c r="F1158" s="47" t="inlineStr">
        <is>
          <t>SKT</t>
        </is>
      </c>
      <c r="G1158" s="47" t="inlineStr">
        <is>
          <t>LTE</t>
        </is>
      </c>
      <c r="H1158" s="48" t="n">
        <v>1200</v>
      </c>
      <c r="I1158" s="48" t="n">
        <v>7</v>
      </c>
      <c r="J1158" s="48" t="n">
        <v>18700</v>
      </c>
      <c r="K1158" s="47">
        <f t="array" ref="K1158">_xlfn.XLOOKUP(1,(참조!$B$2:$B$15=E1158)*(참조!$D$2:$D$15=C1158)*(참조!$E$2:$E$15=D1158),참조!$C$2:$C$15,"")</f>
        <v/>
      </c>
    </row>
    <row r="1159" hidden="1" s="27">
      <c r="A1159" s="47" t="inlineStr">
        <is>
          <t>스마텔</t>
        </is>
      </c>
      <c r="B1159" s="47" t="inlineStr">
        <is>
          <t>USIM 스마트 4.5GB+</t>
        </is>
      </c>
      <c r="C1159" s="47" t="inlineStr">
        <is>
          <t>무제한</t>
        </is>
      </c>
      <c r="D1159" s="47" t="inlineStr">
        <is>
          <t>무제한</t>
        </is>
      </c>
      <c r="E1159" s="47" t="inlineStr">
        <is>
          <t>월 4.5GB + 1Mbps</t>
        </is>
      </c>
      <c r="F1159" s="47" t="inlineStr">
        <is>
          <t>LG U+</t>
        </is>
      </c>
      <c r="G1159" s="47" t="inlineStr">
        <is>
          <t>LTE</t>
        </is>
      </c>
      <c r="H1159" s="48" t="n">
        <v>5000</v>
      </c>
      <c r="I1159" s="48" t="n">
        <v>12</v>
      </c>
      <c r="J1159" s="48" t="n">
        <v>16500</v>
      </c>
      <c r="K1159" s="47">
        <f t="array" ref="K1159">_xlfn.XLOOKUP(1,(참조!$B$2:$B$15=E1159)*(참조!$D$2:$D$15=C1159)*(참조!$E$2:$E$15=D1159),참조!$C$2:$C$15,"")</f>
        <v/>
      </c>
    </row>
    <row r="1160" hidden="1" s="27">
      <c r="A1160" s="47" t="inlineStr">
        <is>
          <t>아이즈모바일</t>
        </is>
      </c>
      <c r="B1160" s="47" t="inlineStr">
        <is>
          <t>[S]올리브영11GB+</t>
        </is>
      </c>
      <c r="C1160" s="47" t="inlineStr">
        <is>
          <t>무제한</t>
        </is>
      </c>
      <c r="D1160" s="47" t="inlineStr">
        <is>
          <t>무제한</t>
        </is>
      </c>
      <c r="E1160" s="47" t="inlineStr">
        <is>
          <t>월 11GB + 매일 2GB + 3Mbps</t>
        </is>
      </c>
      <c r="F1160" s="47" t="inlineStr">
        <is>
          <t>SKT</t>
        </is>
      </c>
      <c r="G1160" s="47" t="inlineStr">
        <is>
          <t>LTE</t>
        </is>
      </c>
      <c r="H1160" s="48" t="n">
        <v>7900</v>
      </c>
      <c r="I1160" s="48" t="n">
        <v>7</v>
      </c>
      <c r="J1160" s="48" t="n">
        <v>48400</v>
      </c>
      <c r="K1160" s="47">
        <f t="array" ref="K1160">_xlfn.XLOOKUP(1,(참조!$B$2:$B$15=E1160)*(참조!$D$2:$D$15=C1160)*(참조!$E$2:$E$15=D1160),참조!$C$2:$C$15,"")</f>
        <v/>
      </c>
    </row>
    <row r="1161" hidden="1" s="27">
      <c r="A1161" s="47" t="inlineStr">
        <is>
          <t>더원모바일</t>
        </is>
      </c>
      <c r="B1161" s="47" t="inlineStr">
        <is>
          <t>TOP 10GB 기본 (다이소)</t>
        </is>
      </c>
      <c r="C1161" s="47" t="inlineStr">
        <is>
          <t>무제한</t>
        </is>
      </c>
      <c r="D1161" s="47" t="inlineStr">
        <is>
          <t>무제한</t>
        </is>
      </c>
      <c r="E1161" s="47" t="inlineStr">
        <is>
          <t>월 10GB + 1Mbps</t>
        </is>
      </c>
      <c r="F1161" s="47" t="inlineStr">
        <is>
          <t>KT</t>
        </is>
      </c>
      <c r="G1161" s="47" t="inlineStr">
        <is>
          <t>LTE</t>
        </is>
      </c>
      <c r="H1161" s="48" t="n">
        <v>5500</v>
      </c>
      <c r="I1161" s="48" t="n">
        <v>7</v>
      </c>
      <c r="J1161" s="48" t="n">
        <v>28600</v>
      </c>
      <c r="K1161" s="47">
        <f t="array" ref="K1161">_xlfn.XLOOKUP(1,(참조!$B$2:$B$15=E1161)*(참조!$D$2:$D$15=C1161)*(참조!$E$2:$E$15=D1161),참조!$C$2:$C$15,"")</f>
        <v/>
      </c>
    </row>
    <row r="1162" hidden="1" s="27">
      <c r="A1162" s="47" t="inlineStr">
        <is>
          <t>스마텔</t>
        </is>
      </c>
      <c r="B1162" s="47" t="inlineStr">
        <is>
          <t>스위트 7GB+(후후) (+10GB 24개월간 추가 제공)</t>
        </is>
      </c>
      <c r="C1162" s="47" t="inlineStr">
        <is>
          <t>무제한</t>
        </is>
      </c>
      <c r="D1162" s="47" t="inlineStr">
        <is>
          <t>무제한</t>
        </is>
      </c>
      <c r="E1162" s="47" t="inlineStr">
        <is>
          <t>월 7GB + 1Mbps</t>
        </is>
      </c>
      <c r="F1162" s="47" t="inlineStr">
        <is>
          <t>KT</t>
        </is>
      </c>
      <c r="G1162" s="47" t="inlineStr">
        <is>
          <t>LTE</t>
        </is>
      </c>
      <c r="H1162" s="48" t="n">
        <v>18700</v>
      </c>
      <c r="I1162" s="48" t="n">
        <v>36</v>
      </c>
      <c r="J1162" s="48" t="n">
        <v>24200</v>
      </c>
      <c r="K1162" s="47">
        <f t="array" ref="K1162">_xlfn.XLOOKUP(1,(참조!$B$2:$B$15=E1162)*(참조!$D$2:$D$15=C1162)*(참조!$E$2:$E$15=D1162),참조!$C$2:$C$15,"")</f>
        <v/>
      </c>
    </row>
    <row r="1163" hidden="1" s="27">
      <c r="A1163" s="47" t="inlineStr">
        <is>
          <t>찬스모바일</t>
        </is>
      </c>
      <c r="B1163" s="47" t="inlineStr">
        <is>
          <t>[5G] 250분9G</t>
        </is>
      </c>
      <c r="C1163" s="47" t="inlineStr">
        <is>
          <t>250분</t>
        </is>
      </c>
      <c r="D1163" s="47" t="inlineStr">
        <is>
          <t>50건</t>
        </is>
      </c>
      <c r="E1163" s="47" t="inlineStr">
        <is>
          <t>월 9GB</t>
        </is>
      </c>
      <c r="F1163" s="47" t="inlineStr">
        <is>
          <t>LG U+</t>
        </is>
      </c>
      <c r="G1163" s="47" t="inlineStr">
        <is>
          <t>5G</t>
        </is>
      </c>
      <c r="H1163" s="48" t="n">
        <v>2280</v>
      </c>
      <c r="I1163" s="48" t="n">
        <v>6</v>
      </c>
      <c r="J1163" s="48" t="n">
        <v>13200</v>
      </c>
      <c r="K1163" s="47">
        <f t="array" ref="K1163">_xlfn.XLOOKUP(1,(참조!$B$2:$B$15=E1163)*(참조!$D$2:$D$15=C1163)*(참조!$E$2:$E$15=D1163),참조!$C$2:$C$15,"")</f>
        <v/>
      </c>
    </row>
    <row r="1164" hidden="1" s="27">
      <c r="A1164" s="47" t="inlineStr">
        <is>
          <t>KT스카이라이프</t>
        </is>
      </c>
      <c r="B1164" s="47" t="inlineStr">
        <is>
          <t>모두 충분 6GB+</t>
        </is>
      </c>
      <c r="C1164" s="47" t="inlineStr">
        <is>
          <t>무제한</t>
        </is>
      </c>
      <c r="D1164" s="47" t="inlineStr">
        <is>
          <t>무제한</t>
        </is>
      </c>
      <c r="E1164" s="47" t="inlineStr">
        <is>
          <t>월 6GB + 400Kbps</t>
        </is>
      </c>
      <c r="F1164" s="47" t="inlineStr">
        <is>
          <t>KT</t>
        </is>
      </c>
      <c r="G1164" s="47" t="inlineStr">
        <is>
          <t>LTE</t>
        </is>
      </c>
      <c r="H1164" s="48" t="n">
        <v>14900</v>
      </c>
      <c r="I1164" s="48" t="n"/>
      <c r="J1164" s="48" t="n"/>
      <c r="K1164" s="47">
        <f t="array" ref="K1164">_xlfn.XLOOKUP(1,(참조!$B$2:$B$15=E1164)*(참조!$D$2:$D$15=C1164)*(참조!$E$2:$E$15=D1164),참조!$C$2:$C$15,"")</f>
        <v/>
      </c>
    </row>
    <row r="1165" hidden="1" s="27">
      <c r="A1165" s="47" t="inlineStr">
        <is>
          <t>쉐이크모바일</t>
        </is>
      </c>
      <c r="B1165" s="47" t="inlineStr">
        <is>
          <t>[모요only] 쉐이크 LTE 15GB+/300분_CU</t>
        </is>
      </c>
      <c r="C1165" s="47" t="inlineStr">
        <is>
          <t>300분</t>
        </is>
      </c>
      <c r="D1165" s="47" t="inlineStr">
        <is>
          <t>300건</t>
        </is>
      </c>
      <c r="E1165" s="47" t="inlineStr">
        <is>
          <t>월 15GB + 3Mbps</t>
        </is>
      </c>
      <c r="F1165" s="47" t="inlineStr">
        <is>
          <t>KT</t>
        </is>
      </c>
      <c r="G1165" s="47" t="inlineStr">
        <is>
          <t>LTE</t>
        </is>
      </c>
      <c r="H1165" s="48" t="n">
        <v>16900</v>
      </c>
      <c r="I1165" s="48" t="n">
        <v>7</v>
      </c>
      <c r="J1165" s="48" t="n">
        <v>34100</v>
      </c>
      <c r="K1165" s="47">
        <f t="array" ref="K1165">_xlfn.XLOOKUP(1,(참조!$B$2:$B$15=E1165)*(참조!$D$2:$D$15=C1165)*(참조!$E$2:$E$15=D1165),참조!$C$2:$C$15,"")</f>
        <v/>
      </c>
    </row>
    <row r="1166" hidden="1" s="27">
      <c r="A1166" s="47" t="inlineStr">
        <is>
          <t>시월모바일</t>
        </is>
      </c>
      <c r="B1166" s="47" t="inlineStr">
        <is>
          <t>쿠폰팩 통화기본100GB+</t>
        </is>
      </c>
      <c r="C1166" s="47" t="inlineStr">
        <is>
          <t>무제한</t>
        </is>
      </c>
      <c r="D1166" s="47" t="inlineStr">
        <is>
          <t>무제한</t>
        </is>
      </c>
      <c r="E1166" s="47" t="inlineStr">
        <is>
          <t>월 100GB + 5Mbps</t>
        </is>
      </c>
      <c r="F1166" s="47" t="inlineStr">
        <is>
          <t>LG U+</t>
        </is>
      </c>
      <c r="G1166" s="47" t="inlineStr">
        <is>
          <t>LTE</t>
        </is>
      </c>
      <c r="H1166" s="48" t="n">
        <v>19810</v>
      </c>
      <c r="I1166" s="48" t="n">
        <v>7</v>
      </c>
      <c r="J1166" s="48" t="n">
        <v>48410</v>
      </c>
      <c r="K1166" s="47">
        <f t="array" ref="K1166">_xlfn.XLOOKUP(1,(참조!$B$2:$B$15=E1166)*(참조!$D$2:$D$15=C1166)*(참조!$E$2:$E$15=D1166),참조!$C$2:$C$15,"")</f>
        <v/>
      </c>
    </row>
    <row r="1167" hidden="1" s="27">
      <c r="A1167" s="47" t="inlineStr">
        <is>
          <t>이야기모바일</t>
        </is>
      </c>
      <c r="B1167" s="47" t="inlineStr">
        <is>
          <t>이야기 300분+7GB(5G)</t>
        </is>
      </c>
      <c r="C1167" s="47" t="inlineStr">
        <is>
          <t>300분</t>
        </is>
      </c>
      <c r="D1167" s="47" t="inlineStr">
        <is>
          <t>50건</t>
        </is>
      </c>
      <c r="E1167" s="47" t="inlineStr">
        <is>
          <t>월 7GB</t>
        </is>
      </c>
      <c r="F1167" s="47" t="inlineStr">
        <is>
          <t>SKT</t>
        </is>
      </c>
      <c r="G1167" s="47" t="inlineStr">
        <is>
          <t>5G</t>
        </is>
      </c>
      <c r="H1167" s="48" t="n">
        <v>9900</v>
      </c>
      <c r="I1167" s="48" t="n"/>
      <c r="J1167" s="48" t="n"/>
      <c r="K1167" s="47">
        <f t="array" ref="K1167">_xlfn.XLOOKUP(1,(참조!$B$2:$B$15=E1167)*(참조!$D$2:$D$15=C1167)*(참조!$E$2:$E$15=D1167),참조!$C$2:$C$15,"")</f>
        <v/>
      </c>
    </row>
    <row r="1168" hidden="1" s="27">
      <c r="A1168" s="47" t="inlineStr">
        <is>
          <t>이야기모바일</t>
        </is>
      </c>
      <c r="B1168" s="47" t="inlineStr">
        <is>
          <t>이야기 스탠다드 100분15GB+</t>
        </is>
      </c>
      <c r="C1168" s="47" t="inlineStr">
        <is>
          <t>100분</t>
        </is>
      </c>
      <c r="D1168" s="47" t="inlineStr">
        <is>
          <t>100건</t>
        </is>
      </c>
      <c r="E1168" s="47" t="inlineStr">
        <is>
          <t>월 15GB + 3Mbps</t>
        </is>
      </c>
      <c r="F1168" s="47" t="inlineStr">
        <is>
          <t>LG U+</t>
        </is>
      </c>
      <c r="G1168" s="47" t="inlineStr">
        <is>
          <t>LTE</t>
        </is>
      </c>
      <c r="H1168" s="48" t="n">
        <v>17000</v>
      </c>
      <c r="I1168" s="48" t="n">
        <v>7</v>
      </c>
      <c r="J1168" s="48" t="n">
        <v>31900</v>
      </c>
      <c r="K1168" s="47">
        <f t="array" ref="K1168">_xlfn.XLOOKUP(1,(참조!$B$2:$B$15=E1168)*(참조!$D$2:$D$15=C1168)*(참조!$E$2:$E$15=D1168),참조!$C$2:$C$15,"")</f>
        <v/>
      </c>
    </row>
    <row r="1169" hidden="1" s="27">
      <c r="A1169" s="47" t="inlineStr">
        <is>
          <t>찬스모바일</t>
        </is>
      </c>
      <c r="B1169" s="47" t="inlineStr">
        <is>
          <t>실속데이터 250분 10GB</t>
        </is>
      </c>
      <c r="C1169" s="47" t="inlineStr">
        <is>
          <t>250분</t>
        </is>
      </c>
      <c r="D1169" s="47" t="inlineStr">
        <is>
          <t>100건</t>
        </is>
      </c>
      <c r="E1169" s="47" t="inlineStr">
        <is>
          <t>월 10GB</t>
        </is>
      </c>
      <c r="F1169" s="47" t="inlineStr">
        <is>
          <t>LG U+</t>
        </is>
      </c>
      <c r="G1169" s="47" t="inlineStr">
        <is>
          <t>LTE</t>
        </is>
      </c>
      <c r="H1169" s="48" t="n">
        <v>2580</v>
      </c>
      <c r="I1169" s="48" t="n">
        <v>6</v>
      </c>
      <c r="J1169" s="48" t="n">
        <v>14300</v>
      </c>
      <c r="K1169" s="47">
        <f t="array" ref="K1169">_xlfn.XLOOKUP(1,(참조!$B$2:$B$15=E1169)*(참조!$D$2:$D$15=C1169)*(참조!$E$2:$E$15=D1169),참조!$C$2:$C$15,"")</f>
        <v/>
      </c>
    </row>
    <row r="1170" hidden="1" s="27">
      <c r="A1170" s="47" t="inlineStr">
        <is>
          <t>아이즈모바일</t>
        </is>
      </c>
      <c r="B1170" s="47" t="inlineStr">
        <is>
          <t>[S]이디야 딥블루 100GB+</t>
        </is>
      </c>
      <c r="C1170" s="47" t="inlineStr">
        <is>
          <t>무제한</t>
        </is>
      </c>
      <c r="D1170" s="47" t="inlineStr">
        <is>
          <t>무제한</t>
        </is>
      </c>
      <c r="E1170" s="47" t="inlineStr">
        <is>
          <t>월 100GB + 5Mbps</t>
        </is>
      </c>
      <c r="F1170" s="47" t="inlineStr">
        <is>
          <t>SKT</t>
        </is>
      </c>
      <c r="G1170" s="47" t="inlineStr">
        <is>
          <t>LTE</t>
        </is>
      </c>
      <c r="H1170" s="48" t="n">
        <v>10900</v>
      </c>
      <c r="I1170" s="48" t="n">
        <v>7</v>
      </c>
      <c r="J1170" s="48" t="n">
        <v>55000</v>
      </c>
      <c r="K1170" s="47">
        <f t="array" ref="K1170">_xlfn.XLOOKUP(1,(참조!$B$2:$B$15=E1170)*(참조!$D$2:$D$15=C1170)*(참조!$E$2:$E$15=D1170),참조!$C$2:$C$15,"")</f>
        <v/>
      </c>
    </row>
    <row r="1171" hidden="1" s="27">
      <c r="A1171" s="47" t="inlineStr">
        <is>
          <t>모빙</t>
        </is>
      </c>
      <c r="B1171" s="47" t="inlineStr">
        <is>
          <t>[S] 200분10GB</t>
        </is>
      </c>
      <c r="C1171" s="47" t="inlineStr">
        <is>
          <t>200분</t>
        </is>
      </c>
      <c r="D1171" s="47" t="inlineStr">
        <is>
          <t>200건</t>
        </is>
      </c>
      <c r="E1171" s="47" t="inlineStr">
        <is>
          <t>월 10GB</t>
        </is>
      </c>
      <c r="F1171" s="47" t="inlineStr">
        <is>
          <t>SKT</t>
        </is>
      </c>
      <c r="G1171" s="47" t="inlineStr">
        <is>
          <t>LTE</t>
        </is>
      </c>
      <c r="H1171" s="48" t="n">
        <v>1990</v>
      </c>
      <c r="I1171" s="48" t="n">
        <v>12</v>
      </c>
      <c r="J1171" s="48" t="n">
        <v>21000</v>
      </c>
      <c r="K1171" s="47">
        <f t="array" ref="K1171">_xlfn.XLOOKUP(1,(참조!$B$2:$B$15=E1171)*(참조!$D$2:$D$15=C1171)*(참조!$E$2:$E$15=D1171),참조!$C$2:$C$15,"")</f>
        <v/>
      </c>
    </row>
    <row r="1172" hidden="1" s="27">
      <c r="A1172" s="47" t="inlineStr">
        <is>
          <t>아이즈모바일</t>
        </is>
      </c>
      <c r="B1172" s="47" t="inlineStr">
        <is>
          <t>[K]울트라(100분/15GB)</t>
        </is>
      </c>
      <c r="C1172" s="47" t="inlineStr">
        <is>
          <t>100분</t>
        </is>
      </c>
      <c r="D1172" s="47" t="inlineStr">
        <is>
          <t>100건</t>
        </is>
      </c>
      <c r="E1172" s="47" t="inlineStr">
        <is>
          <t>월 15GB</t>
        </is>
      </c>
      <c r="F1172" s="47" t="inlineStr">
        <is>
          <t>KT</t>
        </is>
      </c>
      <c r="G1172" s="47" t="inlineStr">
        <is>
          <t>LTE</t>
        </is>
      </c>
      <c r="H1172" s="48" t="n">
        <v>10</v>
      </c>
      <c r="I1172" s="48" t="n">
        <v>10</v>
      </c>
      <c r="J1172" s="48" t="n">
        <v>23100</v>
      </c>
      <c r="K1172" s="47">
        <f t="array" ref="K1172">_xlfn.XLOOKUP(1,(참조!$B$2:$B$15=E1172)*(참조!$D$2:$D$15=C1172)*(참조!$E$2:$E$15=D1172),참조!$C$2:$C$15,"")</f>
        <v/>
      </c>
    </row>
    <row r="1173" hidden="1" s="27">
      <c r="A1173" s="47" t="inlineStr">
        <is>
          <t>핀다이렉트</t>
        </is>
      </c>
      <c r="B1173" s="47" t="inlineStr">
        <is>
          <t>[모요only] [K] 핀다이렉트Z + 밀리의서재 _PIN</t>
        </is>
      </c>
      <c r="C1173" s="47" t="inlineStr">
        <is>
          <t>무제한</t>
        </is>
      </c>
      <c r="D1173" s="47" t="inlineStr">
        <is>
          <t>무제한</t>
        </is>
      </c>
      <c r="E1173" s="47" t="inlineStr">
        <is>
          <t>월 11GB + 매일 2GB + 3Mbps</t>
        </is>
      </c>
      <c r="F1173" s="47" t="inlineStr">
        <is>
          <t>KT</t>
        </is>
      </c>
      <c r="G1173" s="47" t="inlineStr">
        <is>
          <t>LTE</t>
        </is>
      </c>
      <c r="H1173" s="48" t="n">
        <v>20000</v>
      </c>
      <c r="I1173" s="48" t="n">
        <v>7</v>
      </c>
      <c r="J1173" s="48" t="n">
        <v>39600</v>
      </c>
      <c r="K1173" s="47">
        <f t="array" ref="K1173">_xlfn.XLOOKUP(1,(참조!$B$2:$B$15=E1173)*(참조!$D$2:$D$15=C1173)*(참조!$E$2:$E$15=D1173),참조!$C$2:$C$15,"")</f>
        <v/>
      </c>
    </row>
    <row r="1174" hidden="1" s="27">
      <c r="A1174" s="47" t="inlineStr">
        <is>
          <t>아이즈모바일</t>
        </is>
      </c>
      <c r="B1174" s="47" t="inlineStr">
        <is>
          <t>[K]롯시&amp;밀리 100GB+</t>
        </is>
      </c>
      <c r="C1174" s="47" t="inlineStr">
        <is>
          <t>무제한</t>
        </is>
      </c>
      <c r="D1174" s="47" t="inlineStr">
        <is>
          <t>무제한</t>
        </is>
      </c>
      <c r="E1174" s="47" t="inlineStr">
        <is>
          <t>월 100GB + 5Mbps</t>
        </is>
      </c>
      <c r="F1174" s="47" t="inlineStr">
        <is>
          <t>KT</t>
        </is>
      </c>
      <c r="G1174" s="47" t="inlineStr">
        <is>
          <t>LTE</t>
        </is>
      </c>
      <c r="H1174" s="48" t="n">
        <v>8300</v>
      </c>
      <c r="I1174" s="48" t="n">
        <v>7</v>
      </c>
      <c r="J1174" s="48" t="n">
        <v>55000</v>
      </c>
      <c r="K1174" s="47">
        <f t="array" ref="K1174">_xlfn.XLOOKUP(1,(참조!$B$2:$B$15=E1174)*(참조!$D$2:$D$15=C1174)*(참조!$E$2:$E$15=D1174),참조!$C$2:$C$15,"")</f>
        <v/>
      </c>
    </row>
    <row r="1175" hidden="1" s="27">
      <c r="A1175" s="47" t="inlineStr">
        <is>
          <t>스마텔</t>
        </is>
      </c>
      <c r="B1175" s="47" t="inlineStr">
        <is>
          <t>스마트 11GB+</t>
        </is>
      </c>
      <c r="C1175" s="47" t="inlineStr">
        <is>
          <t>무제한</t>
        </is>
      </c>
      <c r="D1175" s="47" t="inlineStr">
        <is>
          <t>무제한</t>
        </is>
      </c>
      <c r="E1175" s="47" t="inlineStr">
        <is>
          <t>월 11GB + 매일 2GB + 3Mbps</t>
        </is>
      </c>
      <c r="F1175" s="47" t="inlineStr">
        <is>
          <t>LG U+</t>
        </is>
      </c>
      <c r="G1175" s="47" t="inlineStr">
        <is>
          <t>LTE</t>
        </is>
      </c>
      <c r="H1175" s="48" t="n">
        <v>20000</v>
      </c>
      <c r="I1175" s="48" t="n">
        <v>7</v>
      </c>
      <c r="J1175" s="48" t="n">
        <v>40700</v>
      </c>
      <c r="K1175" s="47">
        <f t="array" ref="K1175">_xlfn.XLOOKUP(1,(참조!$B$2:$B$15=E1175)*(참조!$D$2:$D$15=C1175)*(참조!$E$2:$E$15=D1175),참조!$C$2:$C$15,"")</f>
        <v/>
      </c>
    </row>
    <row r="1176" hidden="1" s="27">
      <c r="A1176" s="47" t="inlineStr">
        <is>
          <t>아이즈모바일</t>
        </is>
      </c>
      <c r="B1176" s="47" t="inlineStr">
        <is>
          <t>[K]CU&amp;롯시 100GB+</t>
        </is>
      </c>
      <c r="C1176" s="47" t="inlineStr">
        <is>
          <t>무제한</t>
        </is>
      </c>
      <c r="D1176" s="47" t="inlineStr">
        <is>
          <t>무제한</t>
        </is>
      </c>
      <c r="E1176" s="47" t="inlineStr">
        <is>
          <t>월 100GB + 5Mbps</t>
        </is>
      </c>
      <c r="F1176" s="47" t="inlineStr">
        <is>
          <t>KT</t>
        </is>
      </c>
      <c r="G1176" s="47" t="inlineStr">
        <is>
          <t>LTE</t>
        </is>
      </c>
      <c r="H1176" s="48" t="n">
        <v>8300</v>
      </c>
      <c r="I1176" s="48" t="n">
        <v>7</v>
      </c>
      <c r="J1176" s="48" t="n">
        <v>55000</v>
      </c>
      <c r="K1176" s="47">
        <f t="array" ref="K1176">_xlfn.XLOOKUP(1,(참조!$B$2:$B$15=E1176)*(참조!$D$2:$D$15=C1176)*(참조!$E$2:$E$15=D1176),참조!$C$2:$C$15,"")</f>
        <v/>
      </c>
    </row>
    <row r="1177" hidden="1" s="27">
      <c r="A1177" s="47" t="inlineStr">
        <is>
          <t>에이모바일</t>
        </is>
      </c>
      <c r="B1177" s="47" t="inlineStr">
        <is>
          <t>A 5G 스페셜</t>
        </is>
      </c>
      <c r="C1177" s="47" t="inlineStr">
        <is>
          <t>무제한</t>
        </is>
      </c>
      <c r="D1177" s="47" t="inlineStr">
        <is>
          <t>무제한</t>
        </is>
      </c>
      <c r="E1177" s="47" t="inlineStr">
        <is>
          <t>월 180GB + 10Mbps</t>
        </is>
      </c>
      <c r="F1177" s="47" t="inlineStr">
        <is>
          <t>LG U+</t>
        </is>
      </c>
      <c r="G1177" s="47" t="inlineStr">
        <is>
          <t>5G</t>
        </is>
      </c>
      <c r="H1177" s="48" t="n">
        <v>8900</v>
      </c>
      <c r="I1177" s="48" t="n">
        <v>7</v>
      </c>
      <c r="J1177" s="48" t="n">
        <v>58300</v>
      </c>
      <c r="K1177" s="47">
        <f t="array" ref="K1177">_xlfn.XLOOKUP(1,(참조!$B$2:$B$15=E1177)*(참조!$D$2:$D$15=C1177)*(참조!$E$2:$E$15=D1177),참조!$C$2:$C$15,"")</f>
        <v/>
      </c>
    </row>
    <row r="1178" hidden="1" s="27">
      <c r="A1178" s="47" t="inlineStr">
        <is>
          <t>이야기모바일</t>
        </is>
      </c>
      <c r="B1178" s="47" t="inlineStr">
        <is>
          <t>이야기K 데이터 15GB+(밀리의서재)</t>
        </is>
      </c>
      <c r="C1178" s="47" t="inlineStr">
        <is>
          <t>100분</t>
        </is>
      </c>
      <c r="D1178" s="47" t="inlineStr">
        <is>
          <t>100건</t>
        </is>
      </c>
      <c r="E1178" s="47" t="inlineStr">
        <is>
          <t>월 15GB + 3Mbps</t>
        </is>
      </c>
      <c r="F1178" s="47" t="inlineStr">
        <is>
          <t>KT</t>
        </is>
      </c>
      <c r="G1178" s="47" t="inlineStr">
        <is>
          <t>LTE</t>
        </is>
      </c>
      <c r="H1178" s="48" t="n">
        <v>16500</v>
      </c>
      <c r="I1178" s="48" t="n">
        <v>7</v>
      </c>
      <c r="J1178" s="48" t="n">
        <v>33000</v>
      </c>
      <c r="K1178" s="47">
        <f t="array" ref="K1178">_xlfn.XLOOKUP(1,(참조!$B$2:$B$15=E1178)*(참조!$D$2:$D$15=C1178)*(참조!$E$2:$E$15=D1178),참조!$C$2:$C$15,"")</f>
        <v/>
      </c>
    </row>
    <row r="1179" hidden="1" s="27">
      <c r="A1179" s="47" t="inlineStr">
        <is>
          <t>아이즈모바일</t>
        </is>
      </c>
      <c r="B1179" s="47" t="inlineStr">
        <is>
          <t>[L]5G 데이터125GB+5Mbps</t>
        </is>
      </c>
      <c r="C1179" s="47" t="inlineStr">
        <is>
          <t>무제한</t>
        </is>
      </c>
      <c r="D1179" s="47" t="inlineStr">
        <is>
          <t>무제한</t>
        </is>
      </c>
      <c r="E1179" s="47" t="inlineStr">
        <is>
          <t>월 125GB + 5Mbps</t>
        </is>
      </c>
      <c r="F1179" s="47" t="inlineStr">
        <is>
          <t>LG U+</t>
        </is>
      </c>
      <c r="G1179" s="47" t="inlineStr">
        <is>
          <t>5G</t>
        </is>
      </c>
      <c r="H1179" s="48" t="n">
        <v>27800</v>
      </c>
      <c r="I1179" s="48" t="n">
        <v>24</v>
      </c>
      <c r="J1179" s="48" t="n">
        <v>59400</v>
      </c>
      <c r="K1179" s="47">
        <f t="array" ref="K1179">_xlfn.XLOOKUP(1,(참조!$B$2:$B$15=E1179)*(참조!$D$2:$D$15=C1179)*(참조!$E$2:$E$15=D1179),참조!$C$2:$C$15,"")</f>
        <v/>
      </c>
    </row>
    <row r="1180" hidden="1" s="27">
      <c r="A1180" s="47" t="inlineStr">
        <is>
          <t>이야기모바일</t>
        </is>
      </c>
      <c r="B1180" s="47" t="inlineStr">
        <is>
          <t>이야기K 데이터 15GB+(CU할인)</t>
        </is>
      </c>
      <c r="C1180" s="47" t="inlineStr">
        <is>
          <t>100분</t>
        </is>
      </c>
      <c r="D1180" s="47" t="inlineStr">
        <is>
          <t>100건</t>
        </is>
      </c>
      <c r="E1180" s="47" t="inlineStr">
        <is>
          <t>월 15GB + 3Mbps</t>
        </is>
      </c>
      <c r="F1180" s="47" t="inlineStr">
        <is>
          <t>KT</t>
        </is>
      </c>
      <c r="G1180" s="47" t="inlineStr">
        <is>
          <t>LTE</t>
        </is>
      </c>
      <c r="H1180" s="48" t="n">
        <v>16500</v>
      </c>
      <c r="I1180" s="48" t="n">
        <v>7</v>
      </c>
      <c r="J1180" s="48" t="n">
        <v>33000</v>
      </c>
      <c r="K1180" s="47">
        <f t="array" ref="K1180">_xlfn.XLOOKUP(1,(참조!$B$2:$B$15=E1180)*(참조!$D$2:$D$15=C1180)*(참조!$E$2:$E$15=D1180),참조!$C$2:$C$15,"")</f>
        <v/>
      </c>
    </row>
    <row r="1181" hidden="1" s="27">
      <c r="A1181" s="47" t="inlineStr">
        <is>
          <t>시월모바일</t>
        </is>
      </c>
      <c r="B1181" s="47" t="inlineStr">
        <is>
          <t>쿠폰팩 300분15GB+</t>
        </is>
      </c>
      <c r="C1181" s="47" t="inlineStr">
        <is>
          <t>300분</t>
        </is>
      </c>
      <c r="D1181" s="47" t="inlineStr">
        <is>
          <t>300건</t>
        </is>
      </c>
      <c r="E1181" s="47" t="inlineStr">
        <is>
          <t>월 15GB + 3Mbps</t>
        </is>
      </c>
      <c r="F1181" s="47" t="inlineStr">
        <is>
          <t>LG U+</t>
        </is>
      </c>
      <c r="G1181" s="47" t="inlineStr">
        <is>
          <t>LTE</t>
        </is>
      </c>
      <c r="H1181" s="48" t="n">
        <v>16570</v>
      </c>
      <c r="I1181" s="48" t="n">
        <v>7</v>
      </c>
      <c r="J1181" s="48" t="n">
        <v>35270</v>
      </c>
      <c r="K1181" s="47">
        <f t="array" ref="K1181">_xlfn.XLOOKUP(1,(참조!$B$2:$B$15=E1181)*(참조!$D$2:$D$15=C1181)*(참조!$E$2:$E$15=D1181),참조!$C$2:$C$15,"")</f>
        <v/>
      </c>
    </row>
    <row r="1182" hidden="1" s="27">
      <c r="A1182" s="47" t="inlineStr">
        <is>
          <t>모빙</t>
        </is>
      </c>
      <c r="B1182" s="47" t="inlineStr">
        <is>
          <t>[S] 5G 데이터 15GB</t>
        </is>
      </c>
      <c r="C1182" s="47" t="inlineStr">
        <is>
          <t>무제한</t>
        </is>
      </c>
      <c r="D1182" s="47" t="inlineStr">
        <is>
          <t>100건</t>
        </is>
      </c>
      <c r="E1182" s="47" t="inlineStr">
        <is>
          <t>월 15GB</t>
        </is>
      </c>
      <c r="F1182" s="47" t="inlineStr">
        <is>
          <t>SKT</t>
        </is>
      </c>
      <c r="G1182" s="47" t="inlineStr">
        <is>
          <t>5G</t>
        </is>
      </c>
      <c r="H1182" s="48" t="n">
        <v>13000</v>
      </c>
      <c r="I1182" s="48" t="n"/>
      <c r="J1182" s="48" t="n"/>
      <c r="K1182" s="47">
        <f t="array" ref="K1182">_xlfn.XLOOKUP(1,(참조!$B$2:$B$15=E1182)*(참조!$D$2:$D$15=C1182)*(참조!$E$2:$E$15=D1182),참조!$C$2:$C$15,"")</f>
        <v/>
      </c>
    </row>
    <row r="1183" hidden="1" s="27">
      <c r="A1183" s="47" t="inlineStr">
        <is>
          <t>에이모바일</t>
        </is>
      </c>
      <c r="B1183" s="47" t="inlineStr">
        <is>
          <t>A 넥스트 71GB+(네이버페이 1만x7개월)</t>
        </is>
      </c>
      <c r="C1183" s="47" t="inlineStr">
        <is>
          <t>무제한</t>
        </is>
      </c>
      <c r="D1183" s="47" t="inlineStr">
        <is>
          <t>무제한</t>
        </is>
      </c>
      <c r="E1183" s="47" t="inlineStr">
        <is>
          <t>월 11GB + 매일 2GB + 3Mbps</t>
        </is>
      </c>
      <c r="F1183" s="47" t="inlineStr">
        <is>
          <t>SKT</t>
        </is>
      </c>
      <c r="G1183" s="47" t="inlineStr">
        <is>
          <t>LTE</t>
        </is>
      </c>
      <c r="H1183" s="48" t="n">
        <v>13000</v>
      </c>
      <c r="I1183" s="48" t="n">
        <v>7</v>
      </c>
      <c r="J1183" s="48" t="n">
        <v>36300</v>
      </c>
      <c r="K1183" s="47">
        <f t="array" ref="K1183">_xlfn.XLOOKUP(1,(참조!$B$2:$B$15=E1183)*(참조!$D$2:$D$15=C1183)*(참조!$E$2:$E$15=D1183),참조!$C$2:$C$15,"")</f>
        <v/>
      </c>
    </row>
    <row r="1184" hidden="1" s="27">
      <c r="A1184" s="47" t="inlineStr">
        <is>
          <t>고고모바일</t>
        </is>
      </c>
      <c r="B1184" s="47" t="inlineStr">
        <is>
          <t>프리150분</t>
        </is>
      </c>
      <c r="C1184" s="47" t="inlineStr">
        <is>
          <t>150분</t>
        </is>
      </c>
      <c r="D1184" s="47" t="inlineStr">
        <is>
          <t>150건</t>
        </is>
      </c>
      <c r="E1184" s="47" t="inlineStr">
        <is>
          <t>데이터 제공안함</t>
        </is>
      </c>
      <c r="F1184" s="47" t="inlineStr">
        <is>
          <t>KT</t>
        </is>
      </c>
      <c r="G1184" s="47" t="inlineStr">
        <is>
          <t>LTE</t>
        </is>
      </c>
      <c r="H1184" s="48" t="n">
        <v>7040</v>
      </c>
      <c r="I1184" s="48" t="n"/>
      <c r="J1184" s="48" t="n"/>
      <c r="K1184" s="47">
        <f t="array" ref="K1184">_xlfn.XLOOKUP(1,(참조!$B$2:$B$15=E1184)*(참조!$D$2:$D$15=C1184)*(참조!$E$2:$E$15=D1184),참조!$C$2:$C$15,"")</f>
        <v/>
      </c>
    </row>
    <row r="1185" hidden="1" s="27">
      <c r="A1185" s="47" t="inlineStr">
        <is>
          <t>모빙</t>
        </is>
      </c>
      <c r="B1185" s="47" t="inlineStr">
        <is>
          <t>[L] 데이터 매일5GB+_24개월</t>
        </is>
      </c>
      <c r="C1185" s="47" t="inlineStr">
        <is>
          <t>무제한</t>
        </is>
      </c>
      <c r="D1185" s="47" t="inlineStr">
        <is>
          <t>무제한</t>
        </is>
      </c>
      <c r="E1185" s="47" t="inlineStr">
        <is>
          <t>매일 5GB + 5Mbps</t>
        </is>
      </c>
      <c r="F1185" s="47" t="inlineStr">
        <is>
          <t>LG U+</t>
        </is>
      </c>
      <c r="G1185" s="47" t="inlineStr">
        <is>
          <t>LTE</t>
        </is>
      </c>
      <c r="H1185" s="48" t="n">
        <v>28000</v>
      </c>
      <c r="I1185" s="48" t="n">
        <v>24</v>
      </c>
      <c r="J1185" s="48" t="n">
        <v>53900</v>
      </c>
      <c r="K1185" s="47">
        <f t="array" ref="K1185">_xlfn.XLOOKUP(1,(참조!$B$2:$B$15=E1185)*(참조!$D$2:$D$15=C1185)*(참조!$E$2:$E$15=D1185),참조!$C$2:$C$15,"")</f>
        <v/>
      </c>
    </row>
    <row r="1186" hidden="1" s="27">
      <c r="A1186" s="47" t="inlineStr">
        <is>
          <t>티플러스</t>
        </is>
      </c>
      <c r="B1186" s="47" t="inlineStr">
        <is>
          <t>5G 티플온 180GB+_24개월프로모션</t>
        </is>
      </c>
      <c r="C1186" s="47" t="inlineStr">
        <is>
          <t>무제한</t>
        </is>
      </c>
      <c r="D1186" s="47" t="inlineStr">
        <is>
          <t>무제한</t>
        </is>
      </c>
      <c r="E1186" s="47" t="inlineStr">
        <is>
          <t>월 180GB + 10Mbps</t>
        </is>
      </c>
      <c r="F1186" s="47" t="inlineStr">
        <is>
          <t>LG U+</t>
        </is>
      </c>
      <c r="G1186" s="47" t="inlineStr">
        <is>
          <t>5G</t>
        </is>
      </c>
      <c r="H1186" s="48" t="n">
        <v>37900</v>
      </c>
      <c r="I1186" s="48" t="n">
        <v>24</v>
      </c>
      <c r="J1186" s="48" t="n">
        <v>62700</v>
      </c>
      <c r="K1186" s="47">
        <f t="array" ref="K1186">_xlfn.XLOOKUP(1,(참조!$B$2:$B$15=E1186)*(참조!$D$2:$D$15=C1186)*(참조!$E$2:$E$15=D1186),참조!$C$2:$C$15,"")</f>
        <v/>
      </c>
    </row>
    <row r="1187" hidden="1" s="27">
      <c r="A1187" s="47" t="inlineStr">
        <is>
          <t>아이즈모바일</t>
        </is>
      </c>
      <c r="B1187" s="47" t="inlineStr">
        <is>
          <t>[S]울트라(500분/20GB)</t>
        </is>
      </c>
      <c r="C1187" s="47" t="inlineStr">
        <is>
          <t>500분</t>
        </is>
      </c>
      <c r="D1187" s="47" t="inlineStr">
        <is>
          <t>100건</t>
        </is>
      </c>
      <c r="E1187" s="47" t="inlineStr">
        <is>
          <t>월 20GB</t>
        </is>
      </c>
      <c r="F1187" s="47" t="inlineStr">
        <is>
          <t>SKT</t>
        </is>
      </c>
      <c r="G1187" s="47" t="inlineStr">
        <is>
          <t>LTE</t>
        </is>
      </c>
      <c r="H1187" s="48" t="n">
        <v>8900</v>
      </c>
      <c r="I1187" s="48" t="n"/>
      <c r="J1187" s="48" t="n"/>
      <c r="K1187" s="47">
        <f t="array" ref="K1187">_xlfn.XLOOKUP(1,(참조!$B$2:$B$15=E1187)*(참조!$D$2:$D$15=C1187)*(참조!$E$2:$E$15=D1187),참조!$C$2:$C$15,"")</f>
        <v/>
      </c>
    </row>
    <row r="1188" hidden="1" s="27">
      <c r="A1188" s="47" t="inlineStr">
        <is>
          <t>이지모바일</t>
        </is>
      </c>
      <c r="B1188" s="47" t="inlineStr">
        <is>
          <t>EG 무한 100G+5(밀리의 서재 구독)</t>
        </is>
      </c>
      <c r="C1188" s="47" t="inlineStr">
        <is>
          <t>무제한</t>
        </is>
      </c>
      <c r="D1188" s="47" t="inlineStr">
        <is>
          <t>무제한</t>
        </is>
      </c>
      <c r="E1188" s="47" t="inlineStr">
        <is>
          <t>월 100GB + 5Mbps</t>
        </is>
      </c>
      <c r="F1188" s="47" t="inlineStr">
        <is>
          <t>KT</t>
        </is>
      </c>
      <c r="G1188" s="47" t="inlineStr">
        <is>
          <t>LTE</t>
        </is>
      </c>
      <c r="H1188" s="48" t="n">
        <v>19800</v>
      </c>
      <c r="I1188" s="48" t="n">
        <v>7</v>
      </c>
      <c r="J1188" s="48" t="n">
        <v>44000</v>
      </c>
      <c r="K1188" s="47">
        <f t="array" ref="K1188">_xlfn.XLOOKUP(1,(참조!$B$2:$B$15=E1188)*(참조!$D$2:$D$15=C1188)*(참조!$E$2:$E$15=D1188),참조!$C$2:$C$15,"")</f>
        <v/>
      </c>
    </row>
    <row r="1189" hidden="1" s="27">
      <c r="A1189" s="47" t="inlineStr">
        <is>
          <t>모빙</t>
        </is>
      </c>
      <c r="B1189" s="47" t="inlineStr">
        <is>
          <t>[L] 데이터 15GB+_2y_plus</t>
        </is>
      </c>
      <c r="C1189" s="47" t="inlineStr">
        <is>
          <t>무제한</t>
        </is>
      </c>
      <c r="D1189" s="47" t="inlineStr">
        <is>
          <t>무제한</t>
        </is>
      </c>
      <c r="E1189" s="47" t="inlineStr">
        <is>
          <t>월 15GB + 1Mbps</t>
        </is>
      </c>
      <c r="F1189" s="47" t="inlineStr">
        <is>
          <t>LG U+</t>
        </is>
      </c>
      <c r="G1189" s="47" t="inlineStr">
        <is>
          <t>LTE</t>
        </is>
      </c>
      <c r="H1189" s="48" t="n">
        <v>13500</v>
      </c>
      <c r="I1189" s="48" t="n">
        <v>24</v>
      </c>
      <c r="J1189" s="48" t="n">
        <v>33000</v>
      </c>
      <c r="K1189" s="47">
        <f t="array" ref="K1189">_xlfn.XLOOKUP(1,(참조!$B$2:$B$15=E1189)*(참조!$D$2:$D$15=C1189)*(참조!$E$2:$E$15=D1189),참조!$C$2:$C$15,"")</f>
        <v/>
      </c>
    </row>
    <row r="1190" hidden="1" s="27">
      <c r="A1190" s="47" t="inlineStr">
        <is>
          <t>아이즈모바일</t>
        </is>
      </c>
      <c r="B1190" s="47" t="inlineStr">
        <is>
          <t>[K]CU&amp;롯시 11GB+일2GB</t>
        </is>
      </c>
      <c r="C1190" s="47" t="inlineStr">
        <is>
          <t>무제한</t>
        </is>
      </c>
      <c r="D1190" s="47" t="inlineStr">
        <is>
          <t>무제한</t>
        </is>
      </c>
      <c r="E1190" s="47" t="inlineStr">
        <is>
          <t>월 11GB + 매일 2GB + 3Mbps</t>
        </is>
      </c>
      <c r="F1190" s="47" t="inlineStr">
        <is>
          <t>KT</t>
        </is>
      </c>
      <c r="G1190" s="47" t="inlineStr">
        <is>
          <t>LTE</t>
        </is>
      </c>
      <c r="H1190" s="48" t="n">
        <v>7700</v>
      </c>
      <c r="I1190" s="48" t="n">
        <v>7</v>
      </c>
      <c r="J1190" s="48" t="n">
        <v>48400</v>
      </c>
      <c r="K1190" s="47">
        <f t="array" ref="K1190">_xlfn.XLOOKUP(1,(참조!$B$2:$B$15=E1190)*(참조!$D$2:$D$15=C1190)*(참조!$E$2:$E$15=D1190),참조!$C$2:$C$15,"")</f>
        <v/>
      </c>
    </row>
    <row r="1191" hidden="1" s="27">
      <c r="A1191" s="47" t="inlineStr">
        <is>
          <t>아이즈모바일</t>
        </is>
      </c>
      <c r="B1191" s="47" t="inlineStr">
        <is>
          <t>[S]울트라(200분/20GB)</t>
        </is>
      </c>
      <c r="C1191" s="47" t="inlineStr">
        <is>
          <t>200분</t>
        </is>
      </c>
      <c r="D1191" s="47" t="inlineStr">
        <is>
          <t>100건</t>
        </is>
      </c>
      <c r="E1191" s="47" t="inlineStr">
        <is>
          <t>월 20GB</t>
        </is>
      </c>
      <c r="F1191" s="47" t="inlineStr">
        <is>
          <t>SKT</t>
        </is>
      </c>
      <c r="G1191" s="47" t="inlineStr">
        <is>
          <t>LTE</t>
        </is>
      </c>
      <c r="H1191" s="48" t="n">
        <v>550</v>
      </c>
      <c r="I1191" s="48" t="n">
        <v>7</v>
      </c>
      <c r="J1191" s="48" t="n">
        <v>29700</v>
      </c>
      <c r="K1191" s="47">
        <f t="array" ref="K1191">_xlfn.XLOOKUP(1,(참조!$B$2:$B$15=E1191)*(참조!$D$2:$D$15=C1191)*(참조!$E$2:$E$15=D1191),참조!$C$2:$C$15,"")</f>
        <v/>
      </c>
    </row>
    <row r="1192" hidden="1" s="27">
      <c r="A1192" s="47" t="inlineStr">
        <is>
          <t>티플러스</t>
        </is>
      </c>
      <c r="B1192" s="47" t="inlineStr">
        <is>
          <t>5G 통화안심 20GB</t>
        </is>
      </c>
      <c r="C1192" s="47" t="inlineStr">
        <is>
          <t>무제한</t>
        </is>
      </c>
      <c r="D1192" s="47" t="inlineStr">
        <is>
          <t>100건</t>
        </is>
      </c>
      <c r="E1192" s="47" t="inlineStr">
        <is>
          <t>월 20GB</t>
        </is>
      </c>
      <c r="F1192" s="47" t="inlineStr">
        <is>
          <t>SKT</t>
        </is>
      </c>
      <c r="G1192" s="47" t="inlineStr">
        <is>
          <t>5G</t>
        </is>
      </c>
      <c r="H1192" s="48" t="n">
        <v>13900</v>
      </c>
      <c r="I1192" s="48" t="n">
        <v>4</v>
      </c>
      <c r="J1192" s="48" t="n">
        <v>28600</v>
      </c>
      <c r="K1192" s="47">
        <f t="array" ref="K1192">_xlfn.XLOOKUP(1,(참조!$B$2:$B$15=E1192)*(참조!$D$2:$D$15=C1192)*(참조!$E$2:$E$15=D1192),참조!$C$2:$C$15,"")</f>
        <v/>
      </c>
    </row>
    <row r="1193" hidden="1" s="27">
      <c r="A1193" s="47" t="inlineStr">
        <is>
          <t>모빙</t>
        </is>
      </c>
      <c r="B1193" s="47" t="inlineStr">
        <is>
          <t>[S] 300분5GB</t>
        </is>
      </c>
      <c r="C1193" s="47" t="inlineStr">
        <is>
          <t>300분</t>
        </is>
      </c>
      <c r="D1193" s="47" t="inlineStr">
        <is>
          <t>300건</t>
        </is>
      </c>
      <c r="E1193" s="47" t="inlineStr">
        <is>
          <t>월 5GB</t>
        </is>
      </c>
      <c r="F1193" s="47" t="inlineStr">
        <is>
          <t>SKT</t>
        </is>
      </c>
      <c r="G1193" s="47" t="inlineStr">
        <is>
          <t>LTE</t>
        </is>
      </c>
      <c r="H1193" s="48" t="n">
        <v>990</v>
      </c>
      <c r="I1193" s="48" t="n">
        <v>12</v>
      </c>
      <c r="J1193" s="48" t="n">
        <v>20000</v>
      </c>
      <c r="K1193" s="47">
        <f t="array" ref="K1193">_xlfn.XLOOKUP(1,(참조!$B$2:$B$15=E1193)*(참조!$D$2:$D$15=C1193)*(참조!$E$2:$E$15=D1193),참조!$C$2:$C$15,"")</f>
        <v/>
      </c>
    </row>
    <row r="1194" hidden="1" s="27">
      <c r="A1194" s="47" t="inlineStr">
        <is>
          <t>모빙</t>
        </is>
      </c>
      <c r="B1194" s="47" t="inlineStr">
        <is>
          <t>[L] 5G 300분15GB+</t>
        </is>
      </c>
      <c r="C1194" s="47" t="inlineStr">
        <is>
          <t>300분</t>
        </is>
      </c>
      <c r="D1194" s="47" t="inlineStr">
        <is>
          <t>300건</t>
        </is>
      </c>
      <c r="E1194" s="47" t="inlineStr">
        <is>
          <t>월 15GB + 1Mbps</t>
        </is>
      </c>
      <c r="F1194" s="47" t="inlineStr">
        <is>
          <t>LG U+</t>
        </is>
      </c>
      <c r="G1194" s="47" t="inlineStr">
        <is>
          <t>5G</t>
        </is>
      </c>
      <c r="H1194" s="48" t="n">
        <v>3300</v>
      </c>
      <c r="I1194" s="48" t="n">
        <v>6</v>
      </c>
      <c r="J1194" s="48" t="n">
        <v>33000</v>
      </c>
      <c r="K1194" s="47">
        <f t="array" ref="K1194">_xlfn.XLOOKUP(1,(참조!$B$2:$B$15=E1194)*(참조!$D$2:$D$15=C1194)*(참조!$E$2:$E$15=D1194),참조!$C$2:$C$15,"")</f>
        <v/>
      </c>
    </row>
    <row r="1195" hidden="1" s="27">
      <c r="A1195" s="47" t="inlineStr">
        <is>
          <t>찬스모바일</t>
        </is>
      </c>
      <c r="B1195" s="47" t="inlineStr">
        <is>
          <t>[5G] 300분9G</t>
        </is>
      </c>
      <c r="C1195" s="47" t="inlineStr">
        <is>
          <t>300분</t>
        </is>
      </c>
      <c r="D1195" s="47" t="inlineStr">
        <is>
          <t>100건</t>
        </is>
      </c>
      <c r="E1195" s="47" t="inlineStr">
        <is>
          <t>월 9GB</t>
        </is>
      </c>
      <c r="F1195" s="47" t="inlineStr">
        <is>
          <t>LG U+</t>
        </is>
      </c>
      <c r="G1195" s="47" t="inlineStr">
        <is>
          <t>5G</t>
        </is>
      </c>
      <c r="H1195" s="48" t="n">
        <v>2950</v>
      </c>
      <c r="I1195" s="48" t="n">
        <v>6</v>
      </c>
      <c r="J1195" s="48" t="n">
        <v>15400</v>
      </c>
      <c r="K1195" s="47">
        <f t="array" ref="K1195">_xlfn.XLOOKUP(1,(참조!$B$2:$B$15=E1195)*(참조!$D$2:$D$15=C1195)*(참조!$E$2:$E$15=D1195),참조!$C$2:$C$15,"")</f>
        <v/>
      </c>
    </row>
    <row r="1196" hidden="1" s="27">
      <c r="A1196" s="47" t="inlineStr">
        <is>
          <t>아이즈모바일</t>
        </is>
      </c>
      <c r="B1196" s="47" t="inlineStr">
        <is>
          <t>[L]5G 아이즈팩 95GB+3Mbps</t>
        </is>
      </c>
      <c r="C1196" s="47" t="inlineStr">
        <is>
          <t>무제한</t>
        </is>
      </c>
      <c r="D1196" s="47" t="inlineStr">
        <is>
          <t>무제한</t>
        </is>
      </c>
      <c r="E1196" s="47" t="inlineStr">
        <is>
          <t>월 95GB + 3Mbps</t>
        </is>
      </c>
      <c r="F1196" s="47" t="inlineStr">
        <is>
          <t>LG U+</t>
        </is>
      </c>
      <c r="G1196" s="47" t="inlineStr">
        <is>
          <t>5G</t>
        </is>
      </c>
      <c r="H1196" s="48" t="n">
        <v>27600</v>
      </c>
      <c r="I1196" s="48" t="n">
        <v>24</v>
      </c>
      <c r="J1196" s="48" t="n">
        <v>53900</v>
      </c>
      <c r="K1196" s="47">
        <f t="array" ref="K1196">_xlfn.XLOOKUP(1,(참조!$B$2:$B$15=E1196)*(참조!$D$2:$D$15=C1196)*(참조!$E$2:$E$15=D1196),참조!$C$2:$C$15,"")</f>
        <v/>
      </c>
    </row>
    <row r="1197" hidden="1" s="27">
      <c r="A1197" s="47" t="inlineStr">
        <is>
          <t>아이즈모바일</t>
        </is>
      </c>
      <c r="B1197" s="47" t="inlineStr">
        <is>
          <t>[L]5G 아이즈150GB+</t>
        </is>
      </c>
      <c r="C1197" s="47" t="inlineStr">
        <is>
          <t>무제한</t>
        </is>
      </c>
      <c r="D1197" s="47" t="inlineStr">
        <is>
          <t>무제한</t>
        </is>
      </c>
      <c r="E1197" s="47" t="inlineStr">
        <is>
          <t>월 150GB + 5Mbps</t>
        </is>
      </c>
      <c r="F1197" s="47" t="inlineStr">
        <is>
          <t>LG U+</t>
        </is>
      </c>
      <c r="G1197" s="47" t="inlineStr">
        <is>
          <t>5G</t>
        </is>
      </c>
      <c r="H1197" s="48" t="n">
        <v>8100</v>
      </c>
      <c r="I1197" s="48" t="n">
        <v>7</v>
      </c>
      <c r="J1197" s="48" t="n">
        <v>62700</v>
      </c>
      <c r="K1197" s="47">
        <f t="array" ref="K1197">_xlfn.XLOOKUP(1,(참조!$B$2:$B$15=E1197)*(참조!$D$2:$D$15=C1197)*(참조!$E$2:$E$15=D1197),참조!$C$2:$C$15,"")</f>
        <v/>
      </c>
    </row>
    <row r="1198" hidden="1" s="27">
      <c r="A1198" s="47" t="inlineStr">
        <is>
          <t>티플러스</t>
        </is>
      </c>
      <c r="B1198" s="47" t="inlineStr">
        <is>
          <t>티플 12GB(12GB/300분)</t>
        </is>
      </c>
      <c r="C1198" s="47" t="inlineStr">
        <is>
          <t>300분</t>
        </is>
      </c>
      <c r="D1198" s="47" t="inlineStr">
        <is>
          <t>100건</t>
        </is>
      </c>
      <c r="E1198" s="47" t="inlineStr">
        <is>
          <t>월 12GB</t>
        </is>
      </c>
      <c r="F1198" s="47" t="inlineStr">
        <is>
          <t>SKT</t>
        </is>
      </c>
      <c r="G1198" s="47" t="inlineStr">
        <is>
          <t>LTE</t>
        </is>
      </c>
      <c r="H1198" s="48" t="n">
        <v>1500</v>
      </c>
      <c r="I1198" s="48" t="n">
        <v>7</v>
      </c>
      <c r="J1198" s="48" t="n">
        <v>18700</v>
      </c>
      <c r="K1198" s="47">
        <f t="array" ref="K1198">_xlfn.XLOOKUP(1,(참조!$B$2:$B$15=E1198)*(참조!$D$2:$D$15=C1198)*(참조!$E$2:$E$15=D1198),참조!$C$2:$C$15,"")</f>
        <v/>
      </c>
    </row>
    <row r="1199" hidden="1" s="27">
      <c r="A1199" s="47" t="inlineStr">
        <is>
          <t>이야기모바일</t>
        </is>
      </c>
      <c r="B1199" s="47" t="inlineStr">
        <is>
          <t>이야기 스페셜 100GB+</t>
        </is>
      </c>
      <c r="C1199" s="47" t="inlineStr">
        <is>
          <t>무제한</t>
        </is>
      </c>
      <c r="D1199" s="47" t="inlineStr">
        <is>
          <t>무제한</t>
        </is>
      </c>
      <c r="E1199" s="47" t="inlineStr">
        <is>
          <t>월 100GB + 5Mbps</t>
        </is>
      </c>
      <c r="F1199" s="47" t="inlineStr">
        <is>
          <t>LG U+</t>
        </is>
      </c>
      <c r="G1199" s="47" t="inlineStr">
        <is>
          <t>LTE</t>
        </is>
      </c>
      <c r="H1199" s="48" t="n">
        <v>23000</v>
      </c>
      <c r="I1199" s="48" t="n">
        <v>7</v>
      </c>
      <c r="J1199" s="48" t="n">
        <v>46200</v>
      </c>
      <c r="K1199" s="47">
        <f t="array" ref="K1199">_xlfn.XLOOKUP(1,(참조!$B$2:$B$15=E1199)*(참조!$D$2:$D$15=C1199)*(참조!$E$2:$E$15=D1199),참조!$C$2:$C$15,"")</f>
        <v/>
      </c>
    </row>
    <row r="1200" hidden="1" s="27">
      <c r="A1200" s="47" t="inlineStr">
        <is>
          <t>KG모바일</t>
        </is>
      </c>
      <c r="B1200" s="47" t="inlineStr">
        <is>
          <t>[모빌카드 스페셜] 데이터 마음대로 (15GB+/300분)</t>
        </is>
      </c>
      <c r="C1200" s="47" t="inlineStr">
        <is>
          <t>300분</t>
        </is>
      </c>
      <c r="D1200" s="47" t="inlineStr">
        <is>
          <t>300건</t>
        </is>
      </c>
      <c r="E1200" s="47" t="inlineStr">
        <is>
          <t>월 15GB + 3Mbps</t>
        </is>
      </c>
      <c r="F1200" s="47" t="inlineStr">
        <is>
          <t>LG U+</t>
        </is>
      </c>
      <c r="G1200" s="47" t="inlineStr">
        <is>
          <t>LTE</t>
        </is>
      </c>
      <c r="H1200" s="48" t="n">
        <v>16000</v>
      </c>
      <c r="I1200" s="48" t="n">
        <v>7</v>
      </c>
      <c r="J1200" s="48" t="n">
        <v>35200</v>
      </c>
      <c r="K1200" s="47">
        <f t="array" ref="K1200">_xlfn.XLOOKUP(1,(참조!$B$2:$B$15=E1200)*(참조!$D$2:$D$15=C1200)*(참조!$E$2:$E$15=D1200),참조!$C$2:$C$15,"")</f>
        <v/>
      </c>
    </row>
    <row r="1201" hidden="1" s="27">
      <c r="A1201" s="47" t="inlineStr">
        <is>
          <t>핀다이렉트</t>
        </is>
      </c>
      <c r="B1201" s="47" t="inlineStr">
        <is>
          <t>[모요only] [K] 핀다이렉트Z Light _PIN</t>
        </is>
      </c>
      <c r="C1201" s="47" t="inlineStr">
        <is>
          <t>100분</t>
        </is>
      </c>
      <c r="D1201" s="47" t="inlineStr">
        <is>
          <t>100건</t>
        </is>
      </c>
      <c r="E1201" s="47" t="inlineStr">
        <is>
          <t>월 15GB + 3Mbps</t>
        </is>
      </c>
      <c r="F1201" s="47" t="inlineStr">
        <is>
          <t>KT</t>
        </is>
      </c>
      <c r="G1201" s="47" t="inlineStr">
        <is>
          <t>LTE</t>
        </is>
      </c>
      <c r="H1201" s="48" t="n">
        <v>17000</v>
      </c>
      <c r="I1201" s="48" t="n">
        <v>7</v>
      </c>
      <c r="J1201" s="48" t="n">
        <v>30800</v>
      </c>
      <c r="K1201" s="47">
        <f t="array" ref="K1201">_xlfn.XLOOKUP(1,(참조!$B$2:$B$15=E1201)*(참조!$D$2:$D$15=C1201)*(참조!$E$2:$E$15=D1201),참조!$C$2:$C$15,"")</f>
        <v/>
      </c>
    </row>
    <row r="1202" hidden="1" s="27">
      <c r="A1202" s="47" t="inlineStr">
        <is>
          <t>쉐이크모바일</t>
        </is>
      </c>
      <c r="B1202" s="47" t="inlineStr">
        <is>
          <t>[모요only] 쉐이크 LTE 7GB+_웨이브(OTT)</t>
        </is>
      </c>
      <c r="C1202" s="47" t="inlineStr">
        <is>
          <t>무제한</t>
        </is>
      </c>
      <c r="D1202" s="47" t="inlineStr">
        <is>
          <t>무제한</t>
        </is>
      </c>
      <c r="E1202" s="47" t="inlineStr">
        <is>
          <t>월 7GB + 1Mbps</t>
        </is>
      </c>
      <c r="F1202" s="47" t="inlineStr">
        <is>
          <t>KT</t>
        </is>
      </c>
      <c r="G1202" s="47" t="inlineStr">
        <is>
          <t>LTE</t>
        </is>
      </c>
      <c r="H1202" s="48" t="n">
        <v>9900</v>
      </c>
      <c r="I1202" s="48" t="n">
        <v>7</v>
      </c>
      <c r="J1202" s="48" t="n">
        <v>25300</v>
      </c>
      <c r="K1202" s="47">
        <f t="array" ref="K1202">_xlfn.XLOOKUP(1,(참조!$B$2:$B$15=E1202)*(참조!$D$2:$D$15=C1202)*(참조!$E$2:$E$15=D1202),참조!$C$2:$C$15,"")</f>
        <v/>
      </c>
    </row>
    <row r="1203" hidden="1" s="27">
      <c r="A1203" s="47" t="inlineStr">
        <is>
          <t>아이즈모바일</t>
        </is>
      </c>
      <c r="B1203" s="47" t="inlineStr">
        <is>
          <t>[L]무한100GB+</t>
        </is>
      </c>
      <c r="C1203" s="47" t="inlineStr">
        <is>
          <t>무제한</t>
        </is>
      </c>
      <c r="D1203" s="47" t="inlineStr">
        <is>
          <t>무제한</t>
        </is>
      </c>
      <c r="E1203" s="47" t="inlineStr">
        <is>
          <t>월 100GB + 5Mbps</t>
        </is>
      </c>
      <c r="F1203" s="47" t="inlineStr">
        <is>
          <t>LG U+</t>
        </is>
      </c>
      <c r="G1203" s="47" t="inlineStr">
        <is>
          <t>LTE</t>
        </is>
      </c>
      <c r="H1203" s="48" t="n">
        <v>29500</v>
      </c>
      <c r="I1203" s="48" t="n"/>
      <c r="J1203" s="48" t="n"/>
      <c r="K1203" s="47">
        <f t="array" ref="K1203">_xlfn.XLOOKUP(1,(참조!$B$2:$B$15=E1203)*(참조!$D$2:$D$15=C1203)*(참조!$E$2:$E$15=D1203),참조!$C$2:$C$15,"")</f>
        <v/>
      </c>
    </row>
    <row r="1204" hidden="1" s="27">
      <c r="A1204" s="47" t="inlineStr">
        <is>
          <t>고고모바일</t>
        </is>
      </c>
      <c r="B1204" s="47" t="inlineStr">
        <is>
          <t>고고 LTE 무제한 10GB+1M_모요</t>
        </is>
      </c>
      <c r="C1204" s="47" t="inlineStr">
        <is>
          <t>무제한</t>
        </is>
      </c>
      <c r="D1204" s="47" t="inlineStr">
        <is>
          <t>무제한</t>
        </is>
      </c>
      <c r="E1204" s="47" t="inlineStr">
        <is>
          <t>월 10GB + 1Mbps</t>
        </is>
      </c>
      <c r="F1204" s="47" t="inlineStr">
        <is>
          <t>SKT</t>
        </is>
      </c>
      <c r="G1204" s="47" t="inlineStr">
        <is>
          <t>LTE</t>
        </is>
      </c>
      <c r="H1204" s="48" t="n">
        <v>6000</v>
      </c>
      <c r="I1204" s="48" t="n">
        <v>7</v>
      </c>
      <c r="J1204" s="48" t="n">
        <v>28600</v>
      </c>
      <c r="K1204" s="47">
        <f t="array" ref="K1204">_xlfn.XLOOKUP(1,(참조!$B$2:$B$15=E1204)*(참조!$D$2:$D$15=C1204)*(참조!$E$2:$E$15=D1204),참조!$C$2:$C$15,"")</f>
        <v/>
      </c>
    </row>
    <row r="1205" hidden="1" s="27">
      <c r="A1205" s="47" t="inlineStr">
        <is>
          <t>에이모바일</t>
        </is>
      </c>
      <c r="B1205" s="47" t="inlineStr">
        <is>
          <t>A 갓성비 20GB/100분 (기본 10GB+추가 10GB 제공)</t>
        </is>
      </c>
      <c r="C1205" s="47" t="inlineStr">
        <is>
          <t>100분</t>
        </is>
      </c>
      <c r="D1205" s="47" t="inlineStr">
        <is>
          <t>100건</t>
        </is>
      </c>
      <c r="E1205" s="47" t="inlineStr">
        <is>
          <t>월 10GB</t>
        </is>
      </c>
      <c r="F1205" s="47" t="inlineStr">
        <is>
          <t>LG U+</t>
        </is>
      </c>
      <c r="G1205" s="47" t="inlineStr">
        <is>
          <t>LTE</t>
        </is>
      </c>
      <c r="H1205" s="48" t="n">
        <v>10</v>
      </c>
      <c r="I1205" s="48" t="n">
        <v>7</v>
      </c>
      <c r="J1205" s="48" t="n">
        <v>19800</v>
      </c>
      <c r="K1205" s="47">
        <f t="array" ref="K1205">_xlfn.XLOOKUP(1,(참조!$B$2:$B$15=E1205)*(참조!$D$2:$D$15=C1205)*(참조!$E$2:$E$15=D1205),참조!$C$2:$C$15,"")</f>
        <v/>
      </c>
    </row>
    <row r="1206" hidden="1" s="27">
      <c r="A1206" s="47" t="inlineStr">
        <is>
          <t>모빙</t>
        </is>
      </c>
      <c r="B1206" s="47" t="inlineStr">
        <is>
          <t>[L] 5G 100분10GB</t>
        </is>
      </c>
      <c r="C1206" s="47" t="inlineStr">
        <is>
          <t>100분</t>
        </is>
      </c>
      <c r="D1206" s="47" t="inlineStr">
        <is>
          <t>100건</t>
        </is>
      </c>
      <c r="E1206" s="47" t="inlineStr">
        <is>
          <t>월 10GB</t>
        </is>
      </c>
      <c r="F1206" s="47" t="inlineStr">
        <is>
          <t>LG U+</t>
        </is>
      </c>
      <c r="G1206" s="47" t="inlineStr">
        <is>
          <t>5G</t>
        </is>
      </c>
      <c r="H1206" s="48" t="n">
        <v>10</v>
      </c>
      <c r="I1206" s="48" t="n">
        <v>6</v>
      </c>
      <c r="J1206" s="48" t="n">
        <v>22000</v>
      </c>
      <c r="K1206" s="47">
        <f t="array" ref="K1206">_xlfn.XLOOKUP(1,(참조!$B$2:$B$15=E1206)*(참조!$D$2:$D$15=C1206)*(참조!$E$2:$E$15=D1206),참조!$C$2:$C$15,"")</f>
        <v/>
      </c>
    </row>
    <row r="1207" hidden="1" s="27">
      <c r="A1207" s="47" t="inlineStr">
        <is>
          <t>이지모바일</t>
        </is>
      </c>
      <c r="B1207" s="47" t="inlineStr">
        <is>
          <t>EG 무제한 11G+3(매월 NPAY5000P)</t>
        </is>
      </c>
      <c r="C1207" s="47" t="inlineStr">
        <is>
          <t>무제한</t>
        </is>
      </c>
      <c r="D1207" s="47" t="inlineStr">
        <is>
          <t>무제한</t>
        </is>
      </c>
      <c r="E1207" s="47" t="inlineStr">
        <is>
          <t>월 11GB + 매일 2GB + 3Mbps</t>
        </is>
      </c>
      <c r="F1207" s="47" t="inlineStr">
        <is>
          <t>KT</t>
        </is>
      </c>
      <c r="G1207" s="47" t="inlineStr">
        <is>
          <t>LTE</t>
        </is>
      </c>
      <c r="H1207" s="48" t="n">
        <v>21000</v>
      </c>
      <c r="I1207" s="48" t="n">
        <v>7</v>
      </c>
      <c r="J1207" s="48" t="n">
        <v>41250</v>
      </c>
      <c r="K1207" s="47">
        <f t="array" ref="K1207">_xlfn.XLOOKUP(1,(참조!$B$2:$B$15=E1207)*(참조!$D$2:$D$15=C1207)*(참조!$E$2:$E$15=D1207),참조!$C$2:$C$15,"")</f>
        <v/>
      </c>
    </row>
    <row r="1208" hidden="1" s="27">
      <c r="A1208" s="47" t="inlineStr">
        <is>
          <t>아이즈모바일</t>
        </is>
      </c>
      <c r="B1208" s="47" t="inlineStr">
        <is>
          <t>[L]5G 데이터150GB+</t>
        </is>
      </c>
      <c r="C1208" s="47" t="inlineStr">
        <is>
          <t>무제한</t>
        </is>
      </c>
      <c r="D1208" s="47" t="inlineStr">
        <is>
          <t>무제한</t>
        </is>
      </c>
      <c r="E1208" s="47" t="inlineStr">
        <is>
          <t>월 150GB + 5Mbps</t>
        </is>
      </c>
      <c r="F1208" s="47" t="inlineStr">
        <is>
          <t>LG U+</t>
        </is>
      </c>
      <c r="G1208" s="47" t="inlineStr">
        <is>
          <t>5G</t>
        </is>
      </c>
      <c r="H1208" s="48" t="n">
        <v>27900</v>
      </c>
      <c r="I1208" s="48" t="n">
        <v>24</v>
      </c>
      <c r="J1208" s="48" t="n">
        <v>63000</v>
      </c>
      <c r="K1208" s="47">
        <f t="array" ref="K1208">_xlfn.XLOOKUP(1,(참조!$B$2:$B$15=E1208)*(참조!$D$2:$D$15=C1208)*(참조!$E$2:$E$15=D1208),참조!$C$2:$C$15,"")</f>
        <v/>
      </c>
    </row>
    <row r="1209" hidden="1" s="27">
      <c r="A1209" s="47" t="inlineStr">
        <is>
          <t>아이즈모바일</t>
        </is>
      </c>
      <c r="B1209" s="47" t="inlineStr">
        <is>
          <t>아이즈우정(300분/5G)</t>
        </is>
      </c>
      <c r="C1209" s="47" t="inlineStr">
        <is>
          <t>300분</t>
        </is>
      </c>
      <c r="D1209" s="47" t="inlineStr">
        <is>
          <t>100건</t>
        </is>
      </c>
      <c r="E1209" s="47" t="inlineStr">
        <is>
          <t>월 5GB</t>
        </is>
      </c>
      <c r="F1209" s="47" t="inlineStr">
        <is>
          <t>SKT</t>
        </is>
      </c>
      <c r="G1209" s="47" t="inlineStr">
        <is>
          <t>LTE</t>
        </is>
      </c>
      <c r="H1209" s="48" t="n">
        <v>90</v>
      </c>
      <c r="I1209" s="48" t="n">
        <v>18</v>
      </c>
      <c r="J1209" s="48" t="n">
        <v>8500</v>
      </c>
      <c r="K1209" s="47">
        <f t="array" ref="K1209">_xlfn.XLOOKUP(1,(참조!$B$2:$B$15=E1209)*(참조!$D$2:$D$15=C1209)*(참조!$E$2:$E$15=D1209),참조!$C$2:$C$15,"")</f>
        <v/>
      </c>
    </row>
    <row r="1210" hidden="1" s="27">
      <c r="A1210" s="47" t="inlineStr">
        <is>
          <t>KG모바일</t>
        </is>
      </c>
      <c r="B1210" s="47" t="inlineStr">
        <is>
          <t>[일반] 실속 (5GB/100분)</t>
        </is>
      </c>
      <c r="C1210" s="47" t="inlineStr">
        <is>
          <t>100분</t>
        </is>
      </c>
      <c r="D1210" s="47" t="inlineStr">
        <is>
          <t>100건</t>
        </is>
      </c>
      <c r="E1210" s="47" t="inlineStr">
        <is>
          <t>월 5GB</t>
        </is>
      </c>
      <c r="F1210" s="47" t="inlineStr">
        <is>
          <t>LG U+</t>
        </is>
      </c>
      <c r="G1210" s="47" t="inlineStr">
        <is>
          <t>LTE</t>
        </is>
      </c>
      <c r="H1210" s="48" t="n">
        <v>1200</v>
      </c>
      <c r="I1210" s="48" t="n">
        <v>6</v>
      </c>
      <c r="J1210" s="48" t="n">
        <v>9900</v>
      </c>
      <c r="K1210" s="47">
        <f t="array" ref="K1210">_xlfn.XLOOKUP(1,(참조!$B$2:$B$15=E1210)*(참조!$D$2:$D$15=C1210)*(참조!$E$2:$E$15=D1210),참조!$C$2:$C$15,"")</f>
        <v/>
      </c>
    </row>
    <row r="1211" hidden="1" s="27">
      <c r="A1211" s="47" t="inlineStr">
        <is>
          <t>모빙</t>
        </is>
      </c>
      <c r="B1211" s="47" t="inlineStr">
        <is>
          <t>실속 500분10GB</t>
        </is>
      </c>
      <c r="C1211" s="47" t="inlineStr">
        <is>
          <t>500분</t>
        </is>
      </c>
      <c r="D1211" s="47" t="inlineStr">
        <is>
          <t>100건</t>
        </is>
      </c>
      <c r="E1211" s="47" t="inlineStr">
        <is>
          <t>월 10GB</t>
        </is>
      </c>
      <c r="F1211" s="47" t="inlineStr">
        <is>
          <t>LG U+</t>
        </is>
      </c>
      <c r="G1211" s="47" t="inlineStr">
        <is>
          <t>LTE</t>
        </is>
      </c>
      <c r="H1211" s="48" t="n">
        <v>10</v>
      </c>
      <c r="I1211" s="48" t="n">
        <v>6</v>
      </c>
      <c r="J1211" s="48" t="n">
        <v>22000</v>
      </c>
      <c r="K1211" s="47">
        <f t="array" ref="K1211">_xlfn.XLOOKUP(1,(참조!$B$2:$B$15=E1211)*(참조!$D$2:$D$15=C1211)*(참조!$E$2:$E$15=D1211),참조!$C$2:$C$15,"")</f>
        <v/>
      </c>
    </row>
    <row r="1212" hidden="1" s="27">
      <c r="A1212" s="47" t="inlineStr">
        <is>
          <t>이야기모바일</t>
        </is>
      </c>
      <c r="B1212" s="47" t="inlineStr">
        <is>
          <t>이야기 스탠다드S 100분15GB+</t>
        </is>
      </c>
      <c r="C1212" s="47" t="inlineStr">
        <is>
          <t>100분</t>
        </is>
      </c>
      <c r="D1212" s="47" t="inlineStr">
        <is>
          <t>100건</t>
        </is>
      </c>
      <c r="E1212" s="47" t="inlineStr">
        <is>
          <t>월 15GB + 3Mbps</t>
        </is>
      </c>
      <c r="F1212" s="47" t="inlineStr">
        <is>
          <t>SKT</t>
        </is>
      </c>
      <c r="G1212" s="47" t="inlineStr">
        <is>
          <t>LTE</t>
        </is>
      </c>
      <c r="H1212" s="48" t="n">
        <v>17000</v>
      </c>
      <c r="I1212" s="48" t="n">
        <v>7</v>
      </c>
      <c r="J1212" s="48" t="n">
        <v>31900</v>
      </c>
      <c r="K1212" s="47">
        <f t="array" ref="K1212">_xlfn.XLOOKUP(1,(참조!$B$2:$B$15=E1212)*(참조!$D$2:$D$15=C1212)*(참조!$E$2:$E$15=D1212),참조!$C$2:$C$15,"")</f>
        <v/>
      </c>
    </row>
    <row r="1213" hidden="1" s="27">
      <c r="A1213" s="47" t="inlineStr">
        <is>
          <t>아이즈모바일</t>
        </is>
      </c>
      <c r="B1213" s="47" t="inlineStr">
        <is>
          <t>[S]이디야 화이트 20GB</t>
        </is>
      </c>
      <c r="C1213" s="47" t="inlineStr">
        <is>
          <t>200분</t>
        </is>
      </c>
      <c r="D1213" s="47" t="inlineStr">
        <is>
          <t>100건</t>
        </is>
      </c>
      <c r="E1213" s="47" t="inlineStr">
        <is>
          <t>월 20GB</t>
        </is>
      </c>
      <c r="F1213" s="47" t="inlineStr">
        <is>
          <t>SKT</t>
        </is>
      </c>
      <c r="G1213" s="47" t="inlineStr">
        <is>
          <t>LTE</t>
        </is>
      </c>
      <c r="H1213" s="48" t="n">
        <v>16400</v>
      </c>
      <c r="I1213" s="48" t="n"/>
      <c r="J1213" s="48" t="n"/>
      <c r="K1213" s="47">
        <f t="array" ref="K1213">_xlfn.XLOOKUP(1,(참조!$B$2:$B$15=E1213)*(참조!$D$2:$D$15=C1213)*(참조!$E$2:$E$15=D1213),참조!$C$2:$C$15,"")</f>
        <v/>
      </c>
    </row>
    <row r="1214" hidden="1" s="27">
      <c r="A1214" s="47" t="inlineStr">
        <is>
          <t>모빙</t>
        </is>
      </c>
      <c r="B1214" s="47" t="inlineStr">
        <is>
          <t>[L] 데이터11GB+_2y_plus</t>
        </is>
      </c>
      <c r="C1214" s="47" t="inlineStr">
        <is>
          <t>무제한</t>
        </is>
      </c>
      <c r="D1214" s="47" t="inlineStr">
        <is>
          <t>무제한</t>
        </is>
      </c>
      <c r="E1214" s="47" t="inlineStr">
        <is>
          <t>월 11GB + 매일 2GB + 3Mbps</t>
        </is>
      </c>
      <c r="F1214" s="47" t="inlineStr">
        <is>
          <t>LG U+</t>
        </is>
      </c>
      <c r="G1214" s="47" t="inlineStr">
        <is>
          <t>LTE</t>
        </is>
      </c>
      <c r="H1214" s="48" t="n">
        <v>26500</v>
      </c>
      <c r="I1214" s="48" t="n">
        <v>24</v>
      </c>
      <c r="J1214" s="48" t="n">
        <v>46000</v>
      </c>
      <c r="K1214" s="47">
        <f t="array" ref="K1214">_xlfn.XLOOKUP(1,(참조!$B$2:$B$15=E1214)*(참조!$D$2:$D$15=C1214)*(참조!$E$2:$E$15=D1214),참조!$C$2:$C$15,"")</f>
        <v/>
      </c>
    </row>
    <row r="1215" hidden="1" s="27">
      <c r="A1215" s="47" t="inlineStr">
        <is>
          <t>에이모바일</t>
        </is>
      </c>
      <c r="B1215" s="47" t="inlineStr">
        <is>
          <t>A 5G 스마트 20GB/300분</t>
        </is>
      </c>
      <c r="C1215" s="47" t="inlineStr">
        <is>
          <t>300분</t>
        </is>
      </c>
      <c r="D1215" s="47" t="inlineStr">
        <is>
          <t>100건</t>
        </is>
      </c>
      <c r="E1215" s="47" t="inlineStr">
        <is>
          <t>월 20GB</t>
        </is>
      </c>
      <c r="F1215" s="47" t="inlineStr">
        <is>
          <t>SKT</t>
        </is>
      </c>
      <c r="G1215" s="47" t="inlineStr">
        <is>
          <t>5G</t>
        </is>
      </c>
      <c r="H1215" s="48" t="n">
        <v>1650</v>
      </c>
      <c r="I1215" s="48" t="n">
        <v>7</v>
      </c>
      <c r="J1215" s="48" t="n">
        <v>24200</v>
      </c>
      <c r="K1215" s="47">
        <f t="array" ref="K1215">_xlfn.XLOOKUP(1,(참조!$B$2:$B$15=E1215)*(참조!$D$2:$D$15=C1215)*(참조!$E$2:$E$15=D1215),참조!$C$2:$C$15,"")</f>
        <v/>
      </c>
    </row>
    <row r="1216" hidden="1" s="27">
      <c r="A1216" s="47" t="inlineStr">
        <is>
          <t>에이모바일</t>
        </is>
      </c>
      <c r="B1216" s="47" t="inlineStr">
        <is>
          <t>A 5G 스페셜 150GB+</t>
        </is>
      </c>
      <c r="C1216" s="47" t="inlineStr">
        <is>
          <t>무제한</t>
        </is>
      </c>
      <c r="D1216" s="47" t="inlineStr">
        <is>
          <t>무제한</t>
        </is>
      </c>
      <c r="E1216" s="47" t="inlineStr">
        <is>
          <t>월 150GB + 5Mbps</t>
        </is>
      </c>
      <c r="F1216" s="47" t="inlineStr">
        <is>
          <t>LG U+</t>
        </is>
      </c>
      <c r="G1216" s="47" t="inlineStr">
        <is>
          <t>5G</t>
        </is>
      </c>
      <c r="H1216" s="48" t="n">
        <v>7401</v>
      </c>
      <c r="I1216" s="48" t="n">
        <v>7</v>
      </c>
      <c r="J1216" s="48" t="n">
        <v>49001</v>
      </c>
      <c r="K1216" s="47">
        <f t="array" ref="K1216">_xlfn.XLOOKUP(1,(참조!$B$2:$B$15=E1216)*(참조!$D$2:$D$15=C1216)*(참조!$E$2:$E$15=D1216),참조!$C$2:$C$15,"")</f>
        <v/>
      </c>
    </row>
    <row r="1217" hidden="1" s="27">
      <c r="A1217" s="47" t="inlineStr">
        <is>
          <t>에이모바일</t>
        </is>
      </c>
      <c r="B1217" s="47" t="inlineStr">
        <is>
          <t>A 스페셜 100GB+ (24개월)</t>
        </is>
      </c>
      <c r="C1217" s="47" t="inlineStr">
        <is>
          <t>무제한</t>
        </is>
      </c>
      <c r="D1217" s="47" t="inlineStr">
        <is>
          <t>무제한</t>
        </is>
      </c>
      <c r="E1217" s="47" t="inlineStr">
        <is>
          <t>월 100GB + 5Mbps</t>
        </is>
      </c>
      <c r="F1217" s="47" t="inlineStr">
        <is>
          <t>LG U+</t>
        </is>
      </c>
      <c r="G1217" s="47" t="inlineStr">
        <is>
          <t>LTE</t>
        </is>
      </c>
      <c r="H1217" s="48" t="n">
        <v>27900</v>
      </c>
      <c r="I1217" s="48" t="n">
        <v>24</v>
      </c>
      <c r="J1217" s="48" t="n">
        <v>47960</v>
      </c>
      <c r="K1217" s="47">
        <f t="array" ref="K1217">_xlfn.XLOOKUP(1,(참조!$B$2:$B$15=E1217)*(참조!$D$2:$D$15=C1217)*(참조!$E$2:$E$15=D1217),참조!$C$2:$C$15,"")</f>
        <v/>
      </c>
    </row>
    <row r="1218" hidden="1" s="27">
      <c r="A1218" s="47" t="inlineStr">
        <is>
          <t>스마텔</t>
        </is>
      </c>
      <c r="B1218" s="47" t="inlineStr">
        <is>
          <t>스마일 7GB+</t>
        </is>
      </c>
      <c r="C1218" s="47" t="inlineStr">
        <is>
          <t>무제한</t>
        </is>
      </c>
      <c r="D1218" s="47" t="inlineStr">
        <is>
          <t>무제한</t>
        </is>
      </c>
      <c r="E1218" s="47" t="inlineStr">
        <is>
          <t>월 7GB + 1Mbps</t>
        </is>
      </c>
      <c r="F1218" s="47" t="inlineStr">
        <is>
          <t>SKT</t>
        </is>
      </c>
      <c r="G1218" s="47" t="inlineStr">
        <is>
          <t>LTE</t>
        </is>
      </c>
      <c r="H1218" s="48" t="n">
        <v>5500</v>
      </c>
      <c r="I1218" s="48" t="n">
        <v>7</v>
      </c>
      <c r="J1218" s="48" t="n">
        <v>24200</v>
      </c>
      <c r="K1218" s="47">
        <f t="array" ref="K1218">_xlfn.XLOOKUP(1,(참조!$B$2:$B$15=E1218)*(참조!$D$2:$D$15=C1218)*(참조!$E$2:$E$15=D1218),참조!$C$2:$C$15,"")</f>
        <v/>
      </c>
    </row>
    <row r="1219" hidden="1" s="27">
      <c r="A1219" s="47" t="inlineStr">
        <is>
          <t>모빙</t>
        </is>
      </c>
      <c r="B1219" s="47" t="inlineStr">
        <is>
          <t>모빙 200분7GB</t>
        </is>
      </c>
      <c r="C1219" s="47" t="inlineStr">
        <is>
          <t>200분</t>
        </is>
      </c>
      <c r="D1219" s="47" t="inlineStr">
        <is>
          <t>200건</t>
        </is>
      </c>
      <c r="E1219" s="47" t="inlineStr">
        <is>
          <t>월 7GB</t>
        </is>
      </c>
      <c r="F1219" s="47" t="inlineStr">
        <is>
          <t>SKT</t>
        </is>
      </c>
      <c r="G1219" s="47" t="inlineStr">
        <is>
          <t>LTE</t>
        </is>
      </c>
      <c r="H1219" s="48" t="n">
        <v>10</v>
      </c>
      <c r="I1219" s="48" t="n">
        <v>12</v>
      </c>
      <c r="J1219" s="48" t="n">
        <v>17600</v>
      </c>
      <c r="K1219" s="47">
        <f t="array" ref="K1219">_xlfn.XLOOKUP(1,(참조!$B$2:$B$15=E1219)*(참조!$D$2:$D$15=C1219)*(참조!$E$2:$E$15=D1219),참조!$C$2:$C$15,"")</f>
        <v/>
      </c>
    </row>
    <row r="1220" hidden="1" s="27">
      <c r="A1220" s="47" t="inlineStr">
        <is>
          <t>스마텔</t>
        </is>
      </c>
      <c r="B1220" s="47" t="inlineStr">
        <is>
          <t>후후 스마트 11GB+</t>
        </is>
      </c>
      <c r="C1220" s="47" t="inlineStr">
        <is>
          <t>무제한</t>
        </is>
      </c>
      <c r="D1220" s="47" t="inlineStr">
        <is>
          <t>무제한</t>
        </is>
      </c>
      <c r="E1220" s="47" t="inlineStr">
        <is>
          <t>월 11GB + 매일 2GB + 3Mbps</t>
        </is>
      </c>
      <c r="F1220" s="47" t="inlineStr">
        <is>
          <t>LG U+</t>
        </is>
      </c>
      <c r="G1220" s="47" t="inlineStr">
        <is>
          <t>LTE</t>
        </is>
      </c>
      <c r="H1220" s="48" t="n">
        <v>20330</v>
      </c>
      <c r="I1220" s="48" t="n">
        <v>7</v>
      </c>
      <c r="J1220" s="48" t="n">
        <v>41030</v>
      </c>
      <c r="K1220" s="47">
        <f t="array" ref="K1220">_xlfn.XLOOKUP(1,(참조!$B$2:$B$15=E1220)*(참조!$D$2:$D$15=C1220)*(참조!$E$2:$E$15=D1220),참조!$C$2:$C$15,"")</f>
        <v/>
      </c>
    </row>
    <row r="1221" hidden="1" s="27">
      <c r="A1221" s="47" t="inlineStr">
        <is>
          <t>모나</t>
        </is>
      </c>
      <c r="B1221" s="47" t="inlineStr">
        <is>
          <t>카카오이모티콘+_100G+5M</t>
        </is>
      </c>
      <c r="C1221" s="47" t="inlineStr">
        <is>
          <t>무제한</t>
        </is>
      </c>
      <c r="D1221" s="47" t="inlineStr">
        <is>
          <t>무제한</t>
        </is>
      </c>
      <c r="E1221" s="47" t="inlineStr">
        <is>
          <t>월 100GB + 5Mbps</t>
        </is>
      </c>
      <c r="F1221" s="47" t="inlineStr">
        <is>
          <t>LG U+</t>
        </is>
      </c>
      <c r="G1221" s="47" t="inlineStr">
        <is>
          <t>LTE</t>
        </is>
      </c>
      <c r="H1221" s="48" t="n">
        <v>20900</v>
      </c>
      <c r="I1221" s="48" t="n">
        <v>7</v>
      </c>
      <c r="J1221" s="48" t="n">
        <v>48400</v>
      </c>
      <c r="K1221" s="47">
        <f t="array" ref="K1221">_xlfn.XLOOKUP(1,(참조!$B$2:$B$15=E1221)*(참조!$D$2:$D$15=C1221)*(참조!$E$2:$E$15=D1221),참조!$C$2:$C$15,"")</f>
        <v/>
      </c>
    </row>
    <row r="1222" hidden="1" s="27">
      <c r="A1222" s="47" t="inlineStr">
        <is>
          <t>에이모바일</t>
        </is>
      </c>
      <c r="B1222" s="47" t="inlineStr">
        <is>
          <t>A 스마트 15GB</t>
        </is>
      </c>
      <c r="C1222" s="47" t="inlineStr">
        <is>
          <t>무제한</t>
        </is>
      </c>
      <c r="D1222" s="47" t="inlineStr">
        <is>
          <t>무제한</t>
        </is>
      </c>
      <c r="E1222" s="47" t="inlineStr">
        <is>
          <t>월 15GB</t>
        </is>
      </c>
      <c r="F1222" s="47" t="inlineStr">
        <is>
          <t>SKT</t>
        </is>
      </c>
      <c r="G1222" s="47" t="inlineStr">
        <is>
          <t>LTE</t>
        </is>
      </c>
      <c r="H1222" s="48" t="n">
        <v>1100</v>
      </c>
      <c r="I1222" s="48" t="n">
        <v>7</v>
      </c>
      <c r="J1222" s="48" t="n">
        <v>21340</v>
      </c>
      <c r="K1222" s="47">
        <f t="array" ref="K1222">_xlfn.XLOOKUP(1,(참조!$B$2:$B$15=E1222)*(참조!$D$2:$D$15=C1222)*(참조!$E$2:$E$15=D1222),참조!$C$2:$C$15,"")</f>
        <v/>
      </c>
    </row>
    <row r="1223" hidden="1" s="27">
      <c r="A1223" s="47" t="inlineStr">
        <is>
          <t>모빙</t>
        </is>
      </c>
      <c r="B1223" s="47" t="inlineStr">
        <is>
          <t>[L] 데이터 100GB+_24개월</t>
        </is>
      </c>
      <c r="C1223" s="47" t="inlineStr">
        <is>
          <t>무제한</t>
        </is>
      </c>
      <c r="D1223" s="47" t="inlineStr">
        <is>
          <t>무제한</t>
        </is>
      </c>
      <c r="E1223" s="47" t="inlineStr">
        <is>
          <t>월 100GB + 5Mbps</t>
        </is>
      </c>
      <c r="F1223" s="47" t="inlineStr">
        <is>
          <t>LG U+</t>
        </is>
      </c>
      <c r="G1223" s="47" t="inlineStr">
        <is>
          <t>LTE</t>
        </is>
      </c>
      <c r="H1223" s="48" t="n">
        <v>28000</v>
      </c>
      <c r="I1223" s="48" t="n">
        <v>24</v>
      </c>
      <c r="J1223" s="48" t="n">
        <v>53900</v>
      </c>
      <c r="K1223" s="47">
        <f t="array" ref="K1223">_xlfn.XLOOKUP(1,(참조!$B$2:$B$15=E1223)*(참조!$D$2:$D$15=C1223)*(참조!$E$2:$E$15=D1223),참조!$C$2:$C$15,"")</f>
        <v/>
      </c>
    </row>
    <row r="1224" hidden="1" s="27">
      <c r="A1224" s="47" t="inlineStr">
        <is>
          <t>아이즈모바일</t>
        </is>
      </c>
      <c r="B1224" s="47" t="inlineStr">
        <is>
          <t>[K]롯시&amp;밀리 11GB+일2GB</t>
        </is>
      </c>
      <c r="C1224" s="47" t="inlineStr">
        <is>
          <t>무제한</t>
        </is>
      </c>
      <c r="D1224" s="47" t="inlineStr">
        <is>
          <t>무제한</t>
        </is>
      </c>
      <c r="E1224" s="47" t="inlineStr">
        <is>
          <t>월 11GB + 매일 2GB + 3Mbps</t>
        </is>
      </c>
      <c r="F1224" s="47" t="inlineStr">
        <is>
          <t>KT</t>
        </is>
      </c>
      <c r="G1224" s="47" t="inlineStr">
        <is>
          <t>LTE</t>
        </is>
      </c>
      <c r="H1224" s="48" t="n">
        <v>7700</v>
      </c>
      <c r="I1224" s="48" t="n">
        <v>7</v>
      </c>
      <c r="J1224" s="48" t="n">
        <v>48400</v>
      </c>
      <c r="K1224" s="47">
        <f t="array" ref="K1224">_xlfn.XLOOKUP(1,(참조!$B$2:$B$15=E1224)*(참조!$D$2:$D$15=C1224)*(참조!$E$2:$E$15=D1224),참조!$C$2:$C$15,"")</f>
        <v/>
      </c>
    </row>
    <row r="1225">
      <c r="A1225" s="47" t="inlineStr">
        <is>
          <t>고고모바일</t>
        </is>
      </c>
      <c r="B1225" s="47" t="inlineStr">
        <is>
          <t>[모요only] 5G 무제한 50GB+1Mbps</t>
        </is>
      </c>
      <c r="C1225" s="47" t="inlineStr">
        <is>
          <t>무제한</t>
        </is>
      </c>
      <c r="D1225" s="47" t="inlineStr">
        <is>
          <t>무제한</t>
        </is>
      </c>
      <c r="E1225" s="47" t="inlineStr">
        <is>
          <t>월 50GB + 1Mbps</t>
        </is>
      </c>
      <c r="F1225" s="47" t="inlineStr">
        <is>
          <t>KT</t>
        </is>
      </c>
      <c r="G1225" s="47" t="inlineStr">
        <is>
          <t>5G</t>
        </is>
      </c>
      <c r="H1225" s="48" t="n">
        <v>30000</v>
      </c>
      <c r="I1225" s="48" t="n">
        <v>12</v>
      </c>
      <c r="J1225" s="48" t="n">
        <v>41580</v>
      </c>
      <c r="K1225" s="47">
        <f t="array" ref="K1225">_xlfn.XLOOKUP(1,(참조!$B$2:$B$15=E1225)*(참조!$D$2:$D$15=C1225)*(참조!$E$2:$E$15=D1225),참조!$C$2:$C$15,"")</f>
        <v/>
      </c>
    </row>
    <row r="1226" hidden="1" s="27">
      <c r="A1226" s="47" t="inlineStr">
        <is>
          <t>티플러스</t>
        </is>
      </c>
      <c r="B1226" s="47" t="inlineStr">
        <is>
          <t>티플 7G＋(CU멤버십＋매월 5000P)</t>
        </is>
      </c>
      <c r="C1226" s="47" t="inlineStr">
        <is>
          <t>무제한</t>
        </is>
      </c>
      <c r="D1226" s="47" t="inlineStr">
        <is>
          <t>무제한</t>
        </is>
      </c>
      <c r="E1226" s="47" t="inlineStr">
        <is>
          <t>월 7GB + 1Mbps</t>
        </is>
      </c>
      <c r="F1226" s="47" t="inlineStr">
        <is>
          <t>SKT</t>
        </is>
      </c>
      <c r="G1226" s="47" t="inlineStr">
        <is>
          <t>LTE</t>
        </is>
      </c>
      <c r="H1226" s="48" t="n">
        <v>6900</v>
      </c>
      <c r="I1226" s="48" t="n">
        <v>7</v>
      </c>
      <c r="J1226" s="48" t="n">
        <v>29700</v>
      </c>
      <c r="K1226" s="47">
        <f t="array" ref="K1226">_xlfn.XLOOKUP(1,(참조!$B$2:$B$15=E1226)*(참조!$D$2:$D$15=C1226)*(참조!$E$2:$E$15=D1226),참조!$C$2:$C$15,"")</f>
        <v/>
      </c>
    </row>
    <row r="1227">
      <c r="A1227" s="47" t="inlineStr">
        <is>
          <t>쉐이크모바일</t>
        </is>
      </c>
      <c r="B1227" s="47" t="inlineStr">
        <is>
          <t>[모요only] 쉐이크 LTE 10GB+_CU</t>
        </is>
      </c>
      <c r="C1227" s="47" t="inlineStr">
        <is>
          <t>무제한</t>
        </is>
      </c>
      <c r="D1227" s="47" t="inlineStr">
        <is>
          <t>무제한</t>
        </is>
      </c>
      <c r="E1227" s="47" t="inlineStr">
        <is>
          <t>월 10GB + 1Mbps</t>
        </is>
      </c>
      <c r="F1227" s="47" t="inlineStr">
        <is>
          <t>KT</t>
        </is>
      </c>
      <c r="G1227" s="47" t="inlineStr">
        <is>
          <t>LTE</t>
        </is>
      </c>
      <c r="H1227" s="48" t="n">
        <v>8800</v>
      </c>
      <c r="I1227" s="48" t="n">
        <v>7</v>
      </c>
      <c r="J1227" s="48" t="n">
        <v>25300</v>
      </c>
      <c r="K1227" s="47">
        <f t="array" ref="K1227">_xlfn.XLOOKUP(1,(참조!$B$2:$B$15=E1227)*(참조!$D$2:$D$15=C1227)*(참조!$E$2:$E$15=D1227),참조!$C$2:$C$15,"")</f>
        <v/>
      </c>
    </row>
    <row r="1228" hidden="1" s="27">
      <c r="A1228" s="47" t="inlineStr">
        <is>
          <t>아이즈모바일</t>
        </is>
      </c>
      <c r="B1228" s="47" t="inlineStr">
        <is>
          <t>[L]무한100분/15GB+</t>
        </is>
      </c>
      <c r="C1228" s="47" t="inlineStr">
        <is>
          <t>100분</t>
        </is>
      </c>
      <c r="D1228" s="47" t="inlineStr">
        <is>
          <t>100건</t>
        </is>
      </c>
      <c r="E1228" s="47" t="inlineStr">
        <is>
          <t>월 15GB + 3Mbps</t>
        </is>
      </c>
      <c r="F1228" s="47" t="inlineStr">
        <is>
          <t>LG U+</t>
        </is>
      </c>
      <c r="G1228" s="47" t="inlineStr">
        <is>
          <t>LTE</t>
        </is>
      </c>
      <c r="H1228" s="48" t="n">
        <v>18900</v>
      </c>
      <c r="I1228" s="48" t="n"/>
      <c r="J1228" s="48" t="n"/>
      <c r="K1228" s="47">
        <f t="array" ref="K1228">_xlfn.XLOOKUP(1,(참조!$B$2:$B$15=E1228)*(참조!$D$2:$D$15=C1228)*(참조!$E$2:$E$15=D1228),참조!$C$2:$C$15,"")</f>
        <v/>
      </c>
    </row>
    <row r="1229" hidden="1" s="27">
      <c r="A1229" s="47" t="inlineStr">
        <is>
          <t>이야기모바일</t>
        </is>
      </c>
      <c r="B1229" s="47" t="inlineStr">
        <is>
          <t>이야기 라이트 10GB+(24개월)</t>
        </is>
      </c>
      <c r="C1229" s="47" t="inlineStr">
        <is>
          <t>무제한</t>
        </is>
      </c>
      <c r="D1229" s="47" t="inlineStr">
        <is>
          <t>무제한</t>
        </is>
      </c>
      <c r="E1229" s="47" t="inlineStr">
        <is>
          <t>월 10GB + 1Mbps</t>
        </is>
      </c>
      <c r="F1229" s="47" t="inlineStr">
        <is>
          <t>LG U+</t>
        </is>
      </c>
      <c r="G1229" s="47" t="inlineStr">
        <is>
          <t>LTE</t>
        </is>
      </c>
      <c r="H1229" s="48" t="n">
        <v>19000</v>
      </c>
      <c r="I1229" s="48" t="n">
        <v>24</v>
      </c>
      <c r="J1229" s="48" t="n">
        <v>26400</v>
      </c>
      <c r="K1229" s="47">
        <f t="array" ref="K1229">_xlfn.XLOOKUP(1,(참조!$B$2:$B$15=E1229)*(참조!$D$2:$D$15=C1229)*(참조!$E$2:$E$15=D1229),참조!$C$2:$C$15,"")</f>
        <v/>
      </c>
    </row>
    <row r="1230" hidden="1" s="27">
      <c r="A1230" s="47" t="inlineStr">
        <is>
          <t>에이모바일</t>
        </is>
      </c>
      <c r="B1230" s="47" t="inlineStr">
        <is>
          <t>A 스페셜 매일 5GB+ (24개월)</t>
        </is>
      </c>
      <c r="C1230" s="47" t="inlineStr">
        <is>
          <t>무제한</t>
        </is>
      </c>
      <c r="D1230" s="47" t="inlineStr">
        <is>
          <t>무제한</t>
        </is>
      </c>
      <c r="E1230" s="47" t="inlineStr">
        <is>
          <t>매일 5GB + 5Mbps</t>
        </is>
      </c>
      <c r="F1230" s="47" t="inlineStr">
        <is>
          <t>LG U+</t>
        </is>
      </c>
      <c r="G1230" s="47" t="inlineStr">
        <is>
          <t>LTE</t>
        </is>
      </c>
      <c r="H1230" s="48" t="n">
        <v>27900</v>
      </c>
      <c r="I1230" s="48" t="n">
        <v>24</v>
      </c>
      <c r="J1230" s="48" t="n">
        <v>47960</v>
      </c>
      <c r="K1230" s="47">
        <f t="array" ref="K1230">_xlfn.XLOOKUP(1,(참조!$B$2:$B$15=E1230)*(참조!$D$2:$D$15=C1230)*(참조!$E$2:$E$15=D1230),참조!$C$2:$C$15,"")</f>
        <v/>
      </c>
    </row>
    <row r="1231" hidden="1" s="27">
      <c r="A1231" s="47" t="inlineStr">
        <is>
          <t>아이즈모바일</t>
        </is>
      </c>
      <c r="B1231" s="47" t="inlineStr">
        <is>
          <t>[S]아이즈팩 100GB+</t>
        </is>
      </c>
      <c r="C1231" s="47" t="inlineStr">
        <is>
          <t>무제한</t>
        </is>
      </c>
      <c r="D1231" s="47" t="inlineStr">
        <is>
          <t>무제한</t>
        </is>
      </c>
      <c r="E1231" s="47" t="inlineStr">
        <is>
          <t>월 100GB + 5Mbps</t>
        </is>
      </c>
      <c r="F1231" s="47" t="inlineStr">
        <is>
          <t>SKT</t>
        </is>
      </c>
      <c r="G1231" s="47" t="inlineStr">
        <is>
          <t>LTE</t>
        </is>
      </c>
      <c r="H1231" s="48" t="n">
        <v>12500</v>
      </c>
      <c r="I1231" s="48" t="n">
        <v>7</v>
      </c>
      <c r="J1231" s="48" t="n">
        <v>53900</v>
      </c>
      <c r="K1231" s="47">
        <f t="array" ref="K1231">_xlfn.XLOOKUP(1,(참조!$B$2:$B$15=E1231)*(참조!$D$2:$D$15=C1231)*(참조!$E$2:$E$15=D1231),참조!$C$2:$C$15,"")</f>
        <v/>
      </c>
    </row>
    <row r="1232" hidden="1" s="27">
      <c r="A1232" s="47" t="inlineStr">
        <is>
          <t>스마텔</t>
        </is>
      </c>
      <c r="B1232" s="47" t="inlineStr">
        <is>
          <t>CU 스위트 무제한 11GB+</t>
        </is>
      </c>
      <c r="C1232" s="47" t="inlineStr">
        <is>
          <t>무제한</t>
        </is>
      </c>
      <c r="D1232" s="47" t="inlineStr">
        <is>
          <t>무제한</t>
        </is>
      </c>
      <c r="E1232" s="47" t="inlineStr">
        <is>
          <t>월 11GB + 매일 2GB + 3Mbps</t>
        </is>
      </c>
      <c r="F1232" s="47" t="inlineStr">
        <is>
          <t>KT</t>
        </is>
      </c>
      <c r="G1232" s="47" t="inlineStr">
        <is>
          <t>LTE</t>
        </is>
      </c>
      <c r="H1232" s="48" t="n">
        <v>21000</v>
      </c>
      <c r="I1232" s="48" t="n">
        <v>7</v>
      </c>
      <c r="J1232" s="48" t="n">
        <v>40700</v>
      </c>
      <c r="K1232" s="47">
        <f t="array" ref="K1232">_xlfn.XLOOKUP(1,(참조!$B$2:$B$15=E1232)*(참조!$D$2:$D$15=C1232)*(참조!$E$2:$E$15=D1232),참조!$C$2:$C$15,"")</f>
        <v/>
      </c>
    </row>
    <row r="1233" hidden="1" s="27">
      <c r="A1233" s="47" t="inlineStr">
        <is>
          <t>이지모바일</t>
        </is>
      </c>
      <c r="B1233" s="47" t="inlineStr">
        <is>
          <t>EG 무제한 15GB+1(밀리의 서재)</t>
        </is>
      </c>
      <c r="C1233" s="47" t="inlineStr">
        <is>
          <t>무제한</t>
        </is>
      </c>
      <c r="D1233" s="47" t="inlineStr">
        <is>
          <t>무제한</t>
        </is>
      </c>
      <c r="E1233" s="47" t="inlineStr">
        <is>
          <t>월 15GB + 1Mbps</t>
        </is>
      </c>
      <c r="F1233" s="47" t="inlineStr">
        <is>
          <t>KT</t>
        </is>
      </c>
      <c r="G1233" s="47" t="inlineStr">
        <is>
          <t>LTE</t>
        </is>
      </c>
      <c r="H1233" s="48" t="n">
        <v>15950</v>
      </c>
      <c r="I1233" s="48" t="n">
        <v>7</v>
      </c>
      <c r="J1233" s="48" t="n">
        <v>25850</v>
      </c>
      <c r="K1233" s="47">
        <f t="array" ref="K1233">_xlfn.XLOOKUP(1,(참조!$B$2:$B$15=E1233)*(참조!$D$2:$D$15=C1233)*(참조!$E$2:$E$15=D1233),참조!$C$2:$C$15,"")</f>
        <v/>
      </c>
    </row>
    <row r="1234" hidden="1" s="27">
      <c r="A1234" s="47" t="inlineStr">
        <is>
          <t>핀다이렉트</t>
        </is>
      </c>
      <c r="B1234" s="47" t="inlineStr">
        <is>
          <t>[L] DIGITAL DETOX 3GB 챌린지</t>
        </is>
      </c>
      <c r="C1234" s="47" t="inlineStr">
        <is>
          <t>100분</t>
        </is>
      </c>
      <c r="D1234" s="47" t="inlineStr">
        <is>
          <t>100건</t>
        </is>
      </c>
      <c r="E1234" s="47" t="inlineStr">
        <is>
          <t>월 3GB</t>
        </is>
      </c>
      <c r="F1234" s="47" t="inlineStr">
        <is>
          <t>LG U+</t>
        </is>
      </c>
      <c r="G1234" s="47" t="inlineStr">
        <is>
          <t>LTE</t>
        </is>
      </c>
      <c r="H1234" s="48" t="n">
        <v>330</v>
      </c>
      <c r="I1234" s="48" t="n">
        <v>7</v>
      </c>
      <c r="J1234" s="48" t="n">
        <v>8800</v>
      </c>
      <c r="K1234" s="47">
        <f t="array" ref="K1234">_xlfn.XLOOKUP(1,(참조!$B$2:$B$15=E1234)*(참조!$D$2:$D$15=C1234)*(참조!$E$2:$E$15=D1234),참조!$C$2:$C$15,"")</f>
        <v/>
      </c>
    </row>
    <row r="1235" hidden="1" s="27">
      <c r="A1235" s="47" t="inlineStr">
        <is>
          <t>핀다이렉트</t>
        </is>
      </c>
      <c r="B1235" s="47" t="inlineStr">
        <is>
          <t>[S] DIGITAL DETOX 3GB 챌린지</t>
        </is>
      </c>
      <c r="C1235" s="47" t="inlineStr">
        <is>
          <t>100분</t>
        </is>
      </c>
      <c r="D1235" s="47" t="inlineStr">
        <is>
          <t>100건</t>
        </is>
      </c>
      <c r="E1235" s="47" t="inlineStr">
        <is>
          <t>월 3GB</t>
        </is>
      </c>
      <c r="F1235" s="47" t="inlineStr">
        <is>
          <t>SKT</t>
        </is>
      </c>
      <c r="G1235" s="47" t="inlineStr">
        <is>
          <t>LTE</t>
        </is>
      </c>
      <c r="H1235" s="48" t="n">
        <v>330</v>
      </c>
      <c r="I1235" s="48" t="n">
        <v>7</v>
      </c>
      <c r="J1235" s="48" t="n">
        <v>8800</v>
      </c>
      <c r="K1235" s="47">
        <f t="array" ref="K1235">_xlfn.XLOOKUP(1,(참조!$B$2:$B$15=E1235)*(참조!$D$2:$D$15=C1235)*(참조!$E$2:$E$15=D1235),참조!$C$2:$C$15,"")</f>
        <v/>
      </c>
    </row>
    <row r="1236" hidden="1" s="27">
      <c r="A1236" s="47" t="inlineStr">
        <is>
          <t>모빙</t>
        </is>
      </c>
      <c r="B1236" s="47" t="inlineStr">
        <is>
          <t>[S] 100분1GB</t>
        </is>
      </c>
      <c r="C1236" s="47" t="inlineStr">
        <is>
          <t>100분</t>
        </is>
      </c>
      <c r="D1236" s="47" t="inlineStr">
        <is>
          <t>100건</t>
        </is>
      </c>
      <c r="E1236" s="47" t="inlineStr">
        <is>
          <t>월 1GB</t>
        </is>
      </c>
      <c r="F1236" s="47" t="inlineStr">
        <is>
          <t>SKT</t>
        </is>
      </c>
      <c r="G1236" s="47" t="inlineStr">
        <is>
          <t>LTE</t>
        </is>
      </c>
      <c r="H1236" s="48" t="n">
        <v>2800</v>
      </c>
      <c r="I1236" s="48" t="n"/>
      <c r="J1236" s="48" t="n"/>
      <c r="K1236" s="47">
        <f t="array" ref="K1236">_xlfn.XLOOKUP(1,(참조!$B$2:$B$15=E1236)*(참조!$D$2:$D$15=C1236)*(참조!$E$2:$E$15=D1236),참조!$C$2:$C$15,"")</f>
        <v/>
      </c>
    </row>
    <row r="1237" hidden="1" s="27">
      <c r="A1237" s="47" t="inlineStr">
        <is>
          <t>인스모바일</t>
        </is>
      </c>
      <c r="B1237" s="47" t="inlineStr">
        <is>
          <t>[평생할인]올프리 1GB+(USIM)</t>
        </is>
      </c>
      <c r="C1237" s="47" t="inlineStr">
        <is>
          <t>무제한</t>
        </is>
      </c>
      <c r="D1237" s="47" t="inlineStr">
        <is>
          <t>무제한</t>
        </is>
      </c>
      <c r="E1237" s="47" t="inlineStr">
        <is>
          <t>월 1GB + 1Mbps</t>
        </is>
      </c>
      <c r="F1237" s="47" t="inlineStr">
        <is>
          <t>LG U+</t>
        </is>
      </c>
      <c r="G1237" s="47" t="inlineStr">
        <is>
          <t>LTE</t>
        </is>
      </c>
      <c r="H1237" s="48" t="n">
        <v>8140</v>
      </c>
      <c r="I1237" s="48" t="n"/>
      <c r="J1237" s="48" t="n"/>
      <c r="K1237" s="47">
        <f t="array" ref="K1237">_xlfn.XLOOKUP(1,(참조!$B$2:$B$15=E1237)*(참조!$D$2:$D$15=C1237)*(참조!$E$2:$E$15=D1237),참조!$C$2:$C$15,"")</f>
        <v/>
      </c>
    </row>
    <row r="1238" hidden="1" s="27">
      <c r="A1238" s="47" t="inlineStr">
        <is>
          <t>모빙</t>
        </is>
      </c>
      <c r="B1238" s="47" t="inlineStr">
        <is>
          <t>[L] 5G 데이터 125GB+_2y_plus</t>
        </is>
      </c>
      <c r="C1238" s="47" t="inlineStr">
        <is>
          <t>무제한</t>
        </is>
      </c>
      <c r="D1238" s="47" t="inlineStr">
        <is>
          <t>무제한</t>
        </is>
      </c>
      <c r="E1238" s="47" t="inlineStr">
        <is>
          <t>월 125GB + 5Mbps</t>
        </is>
      </c>
      <c r="F1238" s="47" t="inlineStr">
        <is>
          <t>LG U+</t>
        </is>
      </c>
      <c r="G1238" s="47" t="inlineStr">
        <is>
          <t>5G</t>
        </is>
      </c>
      <c r="H1238" s="48" t="n">
        <v>28500</v>
      </c>
      <c r="I1238" s="48" t="n">
        <v>24</v>
      </c>
      <c r="J1238" s="48" t="n">
        <v>53900</v>
      </c>
      <c r="K1238" s="47">
        <f t="array" ref="K1238">_xlfn.XLOOKUP(1,(참조!$B$2:$B$15=E1238)*(참조!$D$2:$D$15=C1238)*(참조!$E$2:$E$15=D1238),참조!$C$2:$C$15,"")</f>
        <v/>
      </c>
    </row>
    <row r="1239" hidden="1" s="27">
      <c r="A1239" s="47" t="inlineStr">
        <is>
          <t>이야기모바일</t>
        </is>
      </c>
      <c r="B1239" s="47" t="inlineStr">
        <is>
          <t>5G 함께이야기해S (200분+6GB)</t>
        </is>
      </c>
      <c r="C1239" s="47" t="inlineStr">
        <is>
          <t>200분</t>
        </is>
      </c>
      <c r="D1239" s="47" t="inlineStr">
        <is>
          <t>100건</t>
        </is>
      </c>
      <c r="E1239" s="47" t="inlineStr">
        <is>
          <t>월 6GB</t>
        </is>
      </c>
      <c r="F1239" s="47" t="inlineStr">
        <is>
          <t>SKT</t>
        </is>
      </c>
      <c r="G1239" s="47" t="inlineStr">
        <is>
          <t>5G</t>
        </is>
      </c>
      <c r="H1239" s="48" t="n">
        <v>8800</v>
      </c>
      <c r="I1239" s="48" t="n"/>
      <c r="J1239" s="48" t="n"/>
      <c r="K1239" s="47">
        <f t="array" ref="K1239">_xlfn.XLOOKUP(1,(참조!$B$2:$B$15=E1239)*(참조!$D$2:$D$15=C1239)*(참조!$E$2:$E$15=D1239),참조!$C$2:$C$15,"")</f>
        <v/>
      </c>
    </row>
    <row r="1240" hidden="1" s="27">
      <c r="A1240" s="47" t="inlineStr">
        <is>
          <t>이지모바일</t>
        </is>
      </c>
      <c r="B1240" s="47" t="inlineStr">
        <is>
          <t>EG 무제한 일5G+5</t>
        </is>
      </c>
      <c r="C1240" s="47" t="inlineStr">
        <is>
          <t>무제한</t>
        </is>
      </c>
      <c r="D1240" s="47" t="inlineStr">
        <is>
          <t>무제한</t>
        </is>
      </c>
      <c r="E1240" s="47" t="inlineStr">
        <is>
          <t>매일 5GB + 5Mbps</t>
        </is>
      </c>
      <c r="F1240" s="47" t="inlineStr">
        <is>
          <t>KT</t>
        </is>
      </c>
      <c r="G1240" s="47" t="inlineStr">
        <is>
          <t>LTE</t>
        </is>
      </c>
      <c r="H1240" s="48" t="n">
        <v>20350</v>
      </c>
      <c r="I1240" s="48" t="n">
        <v>7</v>
      </c>
      <c r="J1240" s="48" t="n">
        <v>45100</v>
      </c>
      <c r="K1240" s="47">
        <f t="array" ref="K1240">_xlfn.XLOOKUP(1,(참조!$B$2:$B$15=E1240)*(참조!$D$2:$D$15=C1240)*(참조!$E$2:$E$15=D1240),참조!$C$2:$C$15,"")</f>
        <v/>
      </c>
    </row>
    <row r="1241" hidden="1" s="27">
      <c r="A1241" s="47" t="inlineStr">
        <is>
          <t>아이즈모바일</t>
        </is>
      </c>
      <c r="B1241" s="47" t="inlineStr">
        <is>
          <t>[K]5G 네이버페이 110GB+</t>
        </is>
      </c>
      <c r="C1241" s="47" t="inlineStr">
        <is>
          <t>무제한</t>
        </is>
      </c>
      <c r="D1241" s="47" t="inlineStr">
        <is>
          <t>무제한</t>
        </is>
      </c>
      <c r="E1241" s="47" t="inlineStr">
        <is>
          <t>월 110GB + 5Mbps</t>
        </is>
      </c>
      <c r="F1241" s="47" t="inlineStr">
        <is>
          <t>KT</t>
        </is>
      </c>
      <c r="G1241" s="47" t="inlineStr">
        <is>
          <t>5G</t>
        </is>
      </c>
      <c r="H1241" s="48" t="n">
        <v>11900</v>
      </c>
      <c r="I1241" s="48" t="n">
        <v>7</v>
      </c>
      <c r="J1241" s="48" t="n">
        <v>58300</v>
      </c>
      <c r="K1241" s="47">
        <f t="array" ref="K1241">_xlfn.XLOOKUP(1,(참조!$B$2:$B$15=E1241)*(참조!$D$2:$D$15=C1241)*(참조!$E$2:$E$15=D1241),참조!$C$2:$C$15,"")</f>
        <v/>
      </c>
    </row>
    <row r="1242" hidden="1" s="27">
      <c r="A1242" s="47" t="inlineStr">
        <is>
          <t>핀다이렉트</t>
        </is>
      </c>
      <c r="B1242" s="47" t="inlineStr">
        <is>
          <t>[L] 핀다이렉트e Xtra 2GB</t>
        </is>
      </c>
      <c r="C1242" s="47" t="inlineStr">
        <is>
          <t>100분</t>
        </is>
      </c>
      <c r="D1242" s="47" t="inlineStr">
        <is>
          <t>100건</t>
        </is>
      </c>
      <c r="E1242" s="47" t="inlineStr">
        <is>
          <t>월 2GB</t>
        </is>
      </c>
      <c r="F1242" s="47" t="inlineStr">
        <is>
          <t>LG U+</t>
        </is>
      </c>
      <c r="G1242" s="47" t="inlineStr">
        <is>
          <t>5G</t>
        </is>
      </c>
      <c r="H1242" s="48" t="n">
        <v>220</v>
      </c>
      <c r="I1242" s="48" t="n">
        <v>7</v>
      </c>
      <c r="J1242" s="48" t="n">
        <v>8800</v>
      </c>
      <c r="K1242" s="47">
        <f t="array" ref="K1242">_xlfn.XLOOKUP(1,(참조!$B$2:$B$15=E1242)*(참조!$D$2:$D$15=C1242)*(참조!$E$2:$E$15=D1242),참조!$C$2:$C$15,"")</f>
        <v/>
      </c>
    </row>
    <row r="1243" hidden="1" s="27">
      <c r="A1243" s="47" t="inlineStr">
        <is>
          <t>모빙</t>
        </is>
      </c>
      <c r="B1243" s="47" t="inlineStr">
        <is>
          <t>[S] 5G 모빙 500분15GB</t>
        </is>
      </c>
      <c r="C1243" s="47" t="inlineStr">
        <is>
          <t>500분</t>
        </is>
      </c>
      <c r="D1243" s="47" t="inlineStr">
        <is>
          <t>100건</t>
        </is>
      </c>
      <c r="E1243" s="47" t="inlineStr">
        <is>
          <t>월 15GB</t>
        </is>
      </c>
      <c r="F1243" s="47" t="inlineStr">
        <is>
          <t>SKT</t>
        </is>
      </c>
      <c r="G1243" s="47" t="inlineStr">
        <is>
          <t>5G</t>
        </is>
      </c>
      <c r="H1243" s="48" t="n">
        <v>12000</v>
      </c>
      <c r="I1243" s="48" t="n"/>
      <c r="J1243" s="48" t="n"/>
      <c r="K1243" s="47">
        <f t="array" ref="K1243">_xlfn.XLOOKUP(1,(참조!$B$2:$B$15=E1243)*(참조!$D$2:$D$15=C1243)*(참조!$E$2:$E$15=D1243),참조!$C$2:$C$15,"")</f>
        <v/>
      </c>
    </row>
    <row r="1244" hidden="1" s="27">
      <c r="A1244" s="47" t="inlineStr">
        <is>
          <t>아이즈모바일</t>
        </is>
      </c>
      <c r="B1244" s="47" t="inlineStr">
        <is>
          <t>[L]아이즈팩 300분/15GB+</t>
        </is>
      </c>
      <c r="C1244" s="47" t="inlineStr">
        <is>
          <t>300분</t>
        </is>
      </c>
      <c r="D1244" s="47" t="inlineStr">
        <is>
          <t>300건</t>
        </is>
      </c>
      <c r="E1244" s="47" t="inlineStr">
        <is>
          <t>월 15GB + 3Mbps</t>
        </is>
      </c>
      <c r="F1244" s="47" t="inlineStr">
        <is>
          <t>LG U+</t>
        </is>
      </c>
      <c r="G1244" s="47" t="inlineStr">
        <is>
          <t>LTE</t>
        </is>
      </c>
      <c r="H1244" s="48" t="n">
        <v>19500</v>
      </c>
      <c r="I1244" s="48" t="n">
        <v>24</v>
      </c>
      <c r="J1244" s="48" t="n">
        <v>36900</v>
      </c>
      <c r="K1244" s="47">
        <f t="array" ref="K1244">_xlfn.XLOOKUP(1,(참조!$B$2:$B$15=E1244)*(참조!$D$2:$D$15=C1244)*(참조!$E$2:$E$15=D1244),참조!$C$2:$C$15,"")</f>
        <v/>
      </c>
    </row>
    <row r="1245" hidden="1" s="27">
      <c r="A1245" s="47" t="inlineStr">
        <is>
          <t>에이모바일</t>
        </is>
      </c>
      <c r="B1245" s="47" t="inlineStr">
        <is>
          <t>A 올라잇 11GB+ 밀리의서재</t>
        </is>
      </c>
      <c r="C1245" s="47" t="inlineStr">
        <is>
          <t>무제한</t>
        </is>
      </c>
      <c r="D1245" s="47" t="inlineStr">
        <is>
          <t>무제한</t>
        </is>
      </c>
      <c r="E1245" s="47" t="inlineStr">
        <is>
          <t>월 11GB + 매일 2GB + 3Mbps</t>
        </is>
      </c>
      <c r="F1245" s="47" t="inlineStr">
        <is>
          <t>KT</t>
        </is>
      </c>
      <c r="G1245" s="47" t="inlineStr">
        <is>
          <t>LTE</t>
        </is>
      </c>
      <c r="H1245" s="48" t="n">
        <v>7900</v>
      </c>
      <c r="I1245" s="48" t="n">
        <v>7</v>
      </c>
      <c r="J1245" s="48" t="n">
        <v>39600</v>
      </c>
      <c r="K1245" s="47">
        <f t="array" ref="K1245">_xlfn.XLOOKUP(1,(참조!$B$2:$B$15=E1245)*(참조!$D$2:$D$15=C1245)*(참조!$E$2:$E$15=D1245),참조!$C$2:$C$15,"")</f>
        <v/>
      </c>
    </row>
    <row r="1246" hidden="1" s="27">
      <c r="A1246" s="47" t="inlineStr">
        <is>
          <t>아이즈모바일</t>
        </is>
      </c>
      <c r="B1246" s="47" t="inlineStr">
        <is>
          <t>[S]올리브영100GB+</t>
        </is>
      </c>
      <c r="C1246" s="47" t="inlineStr">
        <is>
          <t>무제한</t>
        </is>
      </c>
      <c r="D1246" s="47" t="inlineStr">
        <is>
          <t>무제한</t>
        </is>
      </c>
      <c r="E1246" s="47" t="inlineStr">
        <is>
          <t>월 100GB + 5Mbps</t>
        </is>
      </c>
      <c r="F1246" s="47" t="inlineStr">
        <is>
          <t>SKT</t>
        </is>
      </c>
      <c r="G1246" s="47" t="inlineStr">
        <is>
          <t>LTE</t>
        </is>
      </c>
      <c r="H1246" s="48" t="n">
        <v>9900</v>
      </c>
      <c r="I1246" s="48" t="n">
        <v>7</v>
      </c>
      <c r="J1246" s="48" t="n">
        <v>55000</v>
      </c>
      <c r="K1246" s="47">
        <f t="array" ref="K1246">_xlfn.XLOOKUP(1,(참조!$B$2:$B$15=E1246)*(참조!$D$2:$D$15=C1246)*(참조!$E$2:$E$15=D1246),참조!$C$2:$C$15,"")</f>
        <v/>
      </c>
    </row>
    <row r="1247" hidden="1" s="27">
      <c r="A1247" s="47" t="inlineStr">
        <is>
          <t>모빙</t>
        </is>
      </c>
      <c r="B1247" s="47" t="inlineStr">
        <is>
          <t>실속 100분4.5GB</t>
        </is>
      </c>
      <c r="C1247" s="47" t="inlineStr">
        <is>
          <t>100분</t>
        </is>
      </c>
      <c r="D1247" s="47" t="inlineStr">
        <is>
          <t>100건</t>
        </is>
      </c>
      <c r="E1247" s="47" t="inlineStr">
        <is>
          <t>월 4.5GB</t>
        </is>
      </c>
      <c r="F1247" s="47" t="inlineStr">
        <is>
          <t>LG U+</t>
        </is>
      </c>
      <c r="G1247" s="47" t="inlineStr">
        <is>
          <t>LTE</t>
        </is>
      </c>
      <c r="H1247" s="48" t="n">
        <v>10</v>
      </c>
      <c r="I1247" s="48" t="n">
        <v>6</v>
      </c>
      <c r="J1247" s="48" t="n">
        <v>14300</v>
      </c>
      <c r="K1247" s="47">
        <f t="array" ref="K1247">_xlfn.XLOOKUP(1,(참조!$B$2:$B$15=E1247)*(참조!$D$2:$D$15=C1247)*(참조!$E$2:$E$15=D1247),참조!$C$2:$C$15,"")</f>
        <v/>
      </c>
    </row>
    <row r="1248" hidden="1" s="27">
      <c r="A1248" s="47" t="inlineStr">
        <is>
          <t>이지모바일</t>
        </is>
      </c>
      <c r="B1248" s="47" t="inlineStr">
        <is>
          <t>EG 무제한 71G+3(밀리의 서재)</t>
        </is>
      </c>
      <c r="C1248" s="47" t="inlineStr">
        <is>
          <t>무제한</t>
        </is>
      </c>
      <c r="D1248" s="47" t="inlineStr">
        <is>
          <t>무제한</t>
        </is>
      </c>
      <c r="E1248" s="47" t="inlineStr">
        <is>
          <t>월 11GB + 매일 2GB + 3Mbps</t>
        </is>
      </c>
      <c r="F1248" s="47" t="inlineStr">
        <is>
          <t>KT</t>
        </is>
      </c>
      <c r="G1248" s="47" t="inlineStr">
        <is>
          <t>LTE</t>
        </is>
      </c>
      <c r="H1248" s="48" t="n">
        <v>20130</v>
      </c>
      <c r="I1248" s="48" t="n">
        <v>7</v>
      </c>
      <c r="J1248" s="48" t="n">
        <v>37400</v>
      </c>
      <c r="K1248" s="47">
        <f t="array" ref="K1248">_xlfn.XLOOKUP(1,(참조!$B$2:$B$15=E1248)*(참조!$D$2:$D$15=C1248)*(참조!$E$2:$E$15=D1248),참조!$C$2:$C$15,"")</f>
        <v/>
      </c>
    </row>
    <row r="1249" hidden="1" s="27">
      <c r="A1249" s="47" t="inlineStr">
        <is>
          <t>KT스카이라이프</t>
        </is>
      </c>
      <c r="B1249" s="47" t="inlineStr">
        <is>
          <t>모두 충분 10GB+(올리브영_5000)</t>
        </is>
      </c>
      <c r="C1249" s="47" t="inlineStr">
        <is>
          <t>무제한</t>
        </is>
      </c>
      <c r="D1249" s="47" t="inlineStr">
        <is>
          <t>무제한</t>
        </is>
      </c>
      <c r="E1249" s="47" t="inlineStr">
        <is>
          <t>월 10GB + 1Mbps</t>
        </is>
      </c>
      <c r="F1249" s="47" t="inlineStr">
        <is>
          <t>KT</t>
        </is>
      </c>
      <c r="G1249" s="47" t="inlineStr">
        <is>
          <t>LTE</t>
        </is>
      </c>
      <c r="H1249" s="48" t="n">
        <v>21500</v>
      </c>
      <c r="I1249" s="48" t="n"/>
      <c r="J1249" s="48" t="n"/>
      <c r="K1249" s="47">
        <f t="array" ref="K1249">_xlfn.XLOOKUP(1,(참조!$B$2:$B$15=E1249)*(참조!$D$2:$D$15=C1249)*(참조!$E$2:$E$15=D1249),참조!$C$2:$C$15,"")</f>
        <v/>
      </c>
    </row>
    <row r="1250" hidden="1" s="27">
      <c r="A1250" s="47" t="inlineStr">
        <is>
          <t>티플러스</t>
        </is>
      </c>
      <c r="B1250" s="47" t="inlineStr">
        <is>
          <t>티플포유(2G/100분)</t>
        </is>
      </c>
      <c r="C1250" s="47" t="inlineStr">
        <is>
          <t>100분</t>
        </is>
      </c>
      <c r="D1250" s="47" t="inlineStr">
        <is>
          <t>100건</t>
        </is>
      </c>
      <c r="E1250" s="47" t="inlineStr">
        <is>
          <t>월 2GB</t>
        </is>
      </c>
      <c r="F1250" s="47" t="inlineStr">
        <is>
          <t>LG U+</t>
        </is>
      </c>
      <c r="G1250" s="47" t="inlineStr">
        <is>
          <t>LTE</t>
        </is>
      </c>
      <c r="H1250" s="48" t="n">
        <v>4400</v>
      </c>
      <c r="I1250" s="48" t="n"/>
      <c r="J1250" s="48" t="n"/>
      <c r="K1250" s="47">
        <f t="array" ref="K1250">_xlfn.XLOOKUP(1,(참조!$B$2:$B$15=E1250)*(참조!$D$2:$D$15=C1250)*(참조!$E$2:$E$15=D1250),참조!$C$2:$C$15,"")</f>
        <v/>
      </c>
    </row>
    <row r="1251" hidden="1" s="27">
      <c r="A1251" s="47" t="inlineStr">
        <is>
          <t>티플러스</t>
        </is>
      </c>
      <c r="B1251" s="47" t="inlineStr">
        <is>
          <t>티플북 7G+(도서문화상품권 매월 5000P)</t>
        </is>
      </c>
      <c r="C1251" s="47" t="inlineStr">
        <is>
          <t>무제한</t>
        </is>
      </c>
      <c r="D1251" s="47" t="inlineStr">
        <is>
          <t>무제한</t>
        </is>
      </c>
      <c r="E1251" s="47" t="inlineStr">
        <is>
          <t>월 7GB + 1Mbps</t>
        </is>
      </c>
      <c r="F1251" s="47" t="inlineStr">
        <is>
          <t>SKT</t>
        </is>
      </c>
      <c r="G1251" s="47" t="inlineStr">
        <is>
          <t>LTE</t>
        </is>
      </c>
      <c r="H1251" s="48" t="n">
        <v>4900</v>
      </c>
      <c r="I1251" s="48" t="n">
        <v>7</v>
      </c>
      <c r="J1251" s="48" t="n">
        <v>29700</v>
      </c>
      <c r="K1251" s="47">
        <f t="array" ref="K1251">_xlfn.XLOOKUP(1,(참조!$B$2:$B$15=E1251)*(참조!$D$2:$D$15=C1251)*(참조!$E$2:$E$15=D1251),참조!$C$2:$C$15,"")</f>
        <v/>
      </c>
    </row>
    <row r="1252" hidden="1" s="27">
      <c r="A1252" s="47" t="inlineStr">
        <is>
          <t>이지모바일</t>
        </is>
      </c>
      <c r="B1252" s="47" t="inlineStr">
        <is>
          <t>EG CU 데이터 15G+3/100분(CU할인)</t>
        </is>
      </c>
      <c r="C1252" s="47" t="inlineStr">
        <is>
          <t>100분</t>
        </is>
      </c>
      <c r="D1252" s="47" t="inlineStr">
        <is>
          <t>100건</t>
        </is>
      </c>
      <c r="E1252" s="47" t="inlineStr">
        <is>
          <t>월 15GB + 3Mbps</t>
        </is>
      </c>
      <c r="F1252" s="47" t="inlineStr">
        <is>
          <t>KT</t>
        </is>
      </c>
      <c r="G1252" s="47" t="inlineStr">
        <is>
          <t>LTE</t>
        </is>
      </c>
      <c r="H1252" s="48" t="n">
        <v>16900</v>
      </c>
      <c r="I1252" s="48" t="n">
        <v>7</v>
      </c>
      <c r="J1252" s="48" t="n">
        <v>29700</v>
      </c>
      <c r="K1252" s="47">
        <f t="array" ref="K1252">_xlfn.XLOOKUP(1,(참조!$B$2:$B$15=E1252)*(참조!$D$2:$D$15=C1252)*(참조!$E$2:$E$15=D1252),참조!$C$2:$C$15,"")</f>
        <v/>
      </c>
    </row>
    <row r="1253" hidden="1" s="27">
      <c r="A1253" s="47" t="inlineStr">
        <is>
          <t>아이즈모바일</t>
        </is>
      </c>
      <c r="B1253" s="47" t="inlineStr">
        <is>
          <t>[L]아이즈팩 100분/15GB+</t>
        </is>
      </c>
      <c r="C1253" s="47" t="inlineStr">
        <is>
          <t>100분</t>
        </is>
      </c>
      <c r="D1253" s="47" t="inlineStr">
        <is>
          <t>100건</t>
        </is>
      </c>
      <c r="E1253" s="47" t="inlineStr">
        <is>
          <t>월 15GB + 3Mbps</t>
        </is>
      </c>
      <c r="F1253" s="47" t="inlineStr">
        <is>
          <t>LG U+</t>
        </is>
      </c>
      <c r="G1253" s="47" t="inlineStr">
        <is>
          <t>LTE</t>
        </is>
      </c>
      <c r="H1253" s="48" t="n">
        <v>17500</v>
      </c>
      <c r="I1253" s="48" t="n">
        <v>24</v>
      </c>
      <c r="J1253" s="48" t="n">
        <v>34100</v>
      </c>
      <c r="K1253" s="47">
        <f t="array" ref="K1253">_xlfn.XLOOKUP(1,(참조!$B$2:$B$15=E1253)*(참조!$D$2:$D$15=C1253)*(참조!$E$2:$E$15=D1253),참조!$C$2:$C$15,"")</f>
        <v/>
      </c>
    </row>
    <row r="1254" hidden="1" s="27">
      <c r="A1254" s="47" t="inlineStr">
        <is>
          <t>티플러스</t>
        </is>
      </c>
      <c r="B1254" s="47" t="inlineStr">
        <is>
          <t>티플 데이터마음껏15G＋(300분)</t>
        </is>
      </c>
      <c r="C1254" s="47" t="inlineStr">
        <is>
          <t>300분</t>
        </is>
      </c>
      <c r="D1254" s="47" t="inlineStr">
        <is>
          <t>300건</t>
        </is>
      </c>
      <c r="E1254" s="47" t="inlineStr">
        <is>
          <t>월 15GB + 3Mbps</t>
        </is>
      </c>
      <c r="F1254" s="47" t="inlineStr">
        <is>
          <t>LG U+</t>
        </is>
      </c>
      <c r="G1254" s="47" t="inlineStr">
        <is>
          <t>LTE</t>
        </is>
      </c>
      <c r="H1254" s="48" t="n">
        <v>29700</v>
      </c>
      <c r="I1254" s="48" t="n"/>
      <c r="J1254" s="48" t="n"/>
      <c r="K1254" s="47">
        <f t="array" ref="K1254">_xlfn.XLOOKUP(1,(참조!$B$2:$B$15=E1254)*(참조!$D$2:$D$15=C1254)*(참조!$E$2:$E$15=D1254),참조!$C$2:$C$15,"")</f>
        <v/>
      </c>
    </row>
    <row r="1255" hidden="1" s="27">
      <c r="A1255" s="47" t="inlineStr">
        <is>
          <t>에이모바일</t>
        </is>
      </c>
      <c r="B1255" s="47" t="inlineStr">
        <is>
          <t>A 올라잇 1GB/150분</t>
        </is>
      </c>
      <c r="C1255" s="47" t="inlineStr">
        <is>
          <t>150분</t>
        </is>
      </c>
      <c r="D1255" s="47" t="inlineStr">
        <is>
          <t>100건</t>
        </is>
      </c>
      <c r="E1255" s="47" t="inlineStr">
        <is>
          <t>월 1GB</t>
        </is>
      </c>
      <c r="F1255" s="47" t="inlineStr">
        <is>
          <t>KT</t>
        </is>
      </c>
      <c r="G1255" s="47" t="inlineStr">
        <is>
          <t>LTE</t>
        </is>
      </c>
      <c r="H1255" s="48" t="n">
        <v>110</v>
      </c>
      <c r="I1255" s="48" t="n">
        <v>7</v>
      </c>
      <c r="J1255" s="48" t="n">
        <v>7700</v>
      </c>
      <c r="K1255" s="47">
        <f t="array" ref="K1255">_xlfn.XLOOKUP(1,(참조!$B$2:$B$15=E1255)*(참조!$D$2:$D$15=C1255)*(참조!$E$2:$E$15=D1255),참조!$C$2:$C$15,"")</f>
        <v/>
      </c>
    </row>
    <row r="1256" hidden="1" s="27">
      <c r="A1256" s="47" t="inlineStr">
        <is>
          <t>핀다이렉트</t>
        </is>
      </c>
      <c r="B1256" s="47" t="inlineStr">
        <is>
          <t>[모요only] [K] 핀다이렉트 Speed 30GB/200분</t>
        </is>
      </c>
      <c r="C1256" s="47" t="inlineStr">
        <is>
          <t>200분</t>
        </is>
      </c>
      <c r="D1256" s="47" t="inlineStr">
        <is>
          <t>100건</t>
        </is>
      </c>
      <c r="E1256" s="47" t="inlineStr">
        <is>
          <t>월 30GB</t>
        </is>
      </c>
      <c r="F1256" s="47" t="inlineStr">
        <is>
          <t>KT</t>
        </is>
      </c>
      <c r="G1256" s="47" t="inlineStr">
        <is>
          <t>5G</t>
        </is>
      </c>
      <c r="H1256" s="48" t="n">
        <v>14000</v>
      </c>
      <c r="I1256" s="48" t="n">
        <v>7</v>
      </c>
      <c r="J1256" s="48" t="n">
        <v>29700</v>
      </c>
      <c r="K1256" s="47">
        <f t="array" ref="K1256">_xlfn.XLOOKUP(1,(참조!$B$2:$B$15=E1256)*(참조!$D$2:$D$15=C1256)*(참조!$E$2:$E$15=D1256),참조!$C$2:$C$15,"")</f>
        <v/>
      </c>
    </row>
    <row r="1257" hidden="1" s="27">
      <c r="A1257" s="47" t="inlineStr">
        <is>
          <t>티플러스</t>
        </is>
      </c>
      <c r="B1257" s="47" t="inlineStr">
        <is>
          <t>티플 데이터마음껏5G(100분)_24개월 할인</t>
        </is>
      </c>
      <c r="C1257" s="47" t="inlineStr">
        <is>
          <t>100분</t>
        </is>
      </c>
      <c r="D1257" s="47" t="inlineStr">
        <is>
          <t>100건</t>
        </is>
      </c>
      <c r="E1257" s="47" t="inlineStr">
        <is>
          <t>월 5GB + 1Mbps</t>
        </is>
      </c>
      <c r="F1257" s="47" t="inlineStr">
        <is>
          <t>LG U+</t>
        </is>
      </c>
      <c r="G1257" s="47" t="inlineStr">
        <is>
          <t>LTE</t>
        </is>
      </c>
      <c r="H1257" s="48" t="n">
        <v>6600</v>
      </c>
      <c r="I1257" s="48" t="n">
        <v>24</v>
      </c>
      <c r="J1257" s="48" t="n">
        <v>11550</v>
      </c>
      <c r="K1257" s="47">
        <f t="array" ref="K1257">_xlfn.XLOOKUP(1,(참조!$B$2:$B$15=E1257)*(참조!$D$2:$D$15=C1257)*(참조!$E$2:$E$15=D1257),참조!$C$2:$C$15,"")</f>
        <v/>
      </c>
    </row>
    <row r="1258" hidden="1" s="27">
      <c r="A1258" s="47" t="inlineStr">
        <is>
          <t>모빙</t>
        </is>
      </c>
      <c r="B1258" s="47" t="inlineStr">
        <is>
          <t>[L] 5G 데이터 150GB+_2y_plus</t>
        </is>
      </c>
      <c r="C1258" s="47" t="inlineStr">
        <is>
          <t>무제한</t>
        </is>
      </c>
      <c r="D1258" s="47" t="inlineStr">
        <is>
          <t>무제한</t>
        </is>
      </c>
      <c r="E1258" s="47" t="inlineStr">
        <is>
          <t>월 150GB + 5Mbps</t>
        </is>
      </c>
      <c r="F1258" s="47" t="inlineStr">
        <is>
          <t>LG U+</t>
        </is>
      </c>
      <c r="G1258" s="47" t="inlineStr">
        <is>
          <t>5G</t>
        </is>
      </c>
      <c r="H1258" s="48" t="n">
        <v>29000</v>
      </c>
      <c r="I1258" s="48" t="n">
        <v>24</v>
      </c>
      <c r="J1258" s="48" t="n">
        <v>60500</v>
      </c>
      <c r="K1258" s="47">
        <f t="array" ref="K1258">_xlfn.XLOOKUP(1,(참조!$B$2:$B$15=E1258)*(참조!$D$2:$D$15=C1258)*(참조!$E$2:$E$15=D1258),참조!$C$2:$C$15,"")</f>
        <v/>
      </c>
    </row>
    <row r="1259" hidden="1" s="27">
      <c r="A1259" s="47" t="inlineStr">
        <is>
          <t>모나</t>
        </is>
      </c>
      <c r="B1259" s="47" t="inlineStr">
        <is>
          <t>모나기본10G안심1</t>
        </is>
      </c>
      <c r="C1259" s="47" t="inlineStr">
        <is>
          <t>무제한</t>
        </is>
      </c>
      <c r="D1259" s="47" t="inlineStr">
        <is>
          <t>무제한</t>
        </is>
      </c>
      <c r="E1259" s="47" t="inlineStr">
        <is>
          <t>월 10GB + 1Mbps</t>
        </is>
      </c>
      <c r="F1259" s="47" t="inlineStr">
        <is>
          <t>LG U+</t>
        </is>
      </c>
      <c r="G1259" s="47" t="inlineStr">
        <is>
          <t>LTE</t>
        </is>
      </c>
      <c r="H1259" s="48" t="n">
        <v>6600</v>
      </c>
      <c r="I1259" s="48" t="n">
        <v>7</v>
      </c>
      <c r="J1259" s="48" t="n">
        <v>44000</v>
      </c>
      <c r="K1259" s="47">
        <f t="array" ref="K1259">_xlfn.XLOOKUP(1,(참조!$B$2:$B$15=E1259)*(참조!$D$2:$D$15=C1259)*(참조!$E$2:$E$15=D1259),참조!$C$2:$C$15,"")</f>
        <v/>
      </c>
    </row>
    <row r="1260" hidden="1" s="27">
      <c r="A1260" s="47" t="inlineStr">
        <is>
          <t>모빙</t>
        </is>
      </c>
      <c r="B1260" s="47" t="inlineStr">
        <is>
          <t>[L] 100분15GB+_2y_plus</t>
        </is>
      </c>
      <c r="C1260" s="47" t="inlineStr">
        <is>
          <t>100분</t>
        </is>
      </c>
      <c r="D1260" s="47" t="inlineStr">
        <is>
          <t>100건</t>
        </is>
      </c>
      <c r="E1260" s="47" t="inlineStr">
        <is>
          <t>월 15GB + 3Mbps</t>
        </is>
      </c>
      <c r="F1260" s="47" t="inlineStr">
        <is>
          <t>LG U+</t>
        </is>
      </c>
      <c r="G1260" s="47" t="inlineStr">
        <is>
          <t>LTE</t>
        </is>
      </c>
      <c r="H1260" s="48" t="n">
        <v>19000</v>
      </c>
      <c r="I1260" s="48" t="n">
        <v>24</v>
      </c>
      <c r="J1260" s="48" t="n">
        <v>39000</v>
      </c>
      <c r="K1260" s="47">
        <f t="array" ref="K1260">_xlfn.XLOOKUP(1,(참조!$B$2:$B$15=E1260)*(참조!$D$2:$D$15=C1260)*(참조!$E$2:$E$15=D1260),참조!$C$2:$C$15,"")</f>
        <v/>
      </c>
    </row>
    <row r="1261" hidden="1" s="27">
      <c r="A1261" s="47" t="inlineStr">
        <is>
          <t>아이즈모바일</t>
        </is>
      </c>
      <c r="B1261" s="47" t="inlineStr">
        <is>
          <t>[S]무한11GB+</t>
        </is>
      </c>
      <c r="C1261" s="47" t="inlineStr">
        <is>
          <t>무제한</t>
        </is>
      </c>
      <c r="D1261" s="47" t="inlineStr">
        <is>
          <t>무제한</t>
        </is>
      </c>
      <c r="E1261" s="47" t="inlineStr">
        <is>
          <t>월 11GB + 매일 2GB + 3Mbps</t>
        </is>
      </c>
      <c r="F1261" s="47" t="inlineStr">
        <is>
          <t>SKT</t>
        </is>
      </c>
      <c r="G1261" s="47" t="inlineStr">
        <is>
          <t>LTE</t>
        </is>
      </c>
      <c r="H1261" s="48" t="n">
        <v>27900</v>
      </c>
      <c r="I1261" s="48" t="n">
        <v>36</v>
      </c>
      <c r="J1261" s="48" t="n">
        <v>44000</v>
      </c>
      <c r="K1261" s="47">
        <f t="array" ref="K1261">_xlfn.XLOOKUP(1,(참조!$B$2:$B$15=E1261)*(참조!$D$2:$D$15=C1261)*(참조!$E$2:$E$15=D1261),참조!$C$2:$C$15,"")</f>
        <v/>
      </c>
    </row>
    <row r="1262" hidden="1" s="27">
      <c r="A1262" s="47" t="inlineStr">
        <is>
          <t>스마텔</t>
        </is>
      </c>
      <c r="B1262" s="47" t="inlineStr">
        <is>
          <t>스마트 매일 5GB+</t>
        </is>
      </c>
      <c r="C1262" s="47" t="inlineStr">
        <is>
          <t>무제한</t>
        </is>
      </c>
      <c r="D1262" s="47" t="inlineStr">
        <is>
          <t>무제한</t>
        </is>
      </c>
      <c r="E1262" s="47" t="inlineStr">
        <is>
          <t>매일 5GB + 5Mbps</t>
        </is>
      </c>
      <c r="F1262" s="47" t="inlineStr">
        <is>
          <t>LG U+</t>
        </is>
      </c>
      <c r="G1262" s="47" t="inlineStr">
        <is>
          <t>LTE</t>
        </is>
      </c>
      <c r="H1262" s="48" t="n">
        <v>21000</v>
      </c>
      <c r="I1262" s="48" t="n">
        <v>7</v>
      </c>
      <c r="J1262" s="48" t="n">
        <v>47300</v>
      </c>
      <c r="K1262" s="47">
        <f t="array" ref="K1262">_xlfn.XLOOKUP(1,(참조!$B$2:$B$15=E1262)*(참조!$D$2:$D$15=C1262)*(참조!$E$2:$E$15=D1262),참조!$C$2:$C$15,"")</f>
        <v/>
      </c>
    </row>
    <row r="1263" hidden="1" s="27">
      <c r="A1263" s="47" t="inlineStr">
        <is>
          <t>이야기모바일</t>
        </is>
      </c>
      <c r="B1263" s="47" t="inlineStr">
        <is>
          <t>함께이야기해S(300분+30GB)</t>
        </is>
      </c>
      <c r="C1263" s="47" t="inlineStr">
        <is>
          <t>300분</t>
        </is>
      </c>
      <c r="D1263" s="47" t="inlineStr">
        <is>
          <t>300건</t>
        </is>
      </c>
      <c r="E1263" s="47" t="inlineStr">
        <is>
          <t>월 30GB</t>
        </is>
      </c>
      <c r="F1263" s="47" t="inlineStr">
        <is>
          <t>SKT</t>
        </is>
      </c>
      <c r="G1263" s="47" t="inlineStr">
        <is>
          <t>LTE</t>
        </is>
      </c>
      <c r="H1263" s="48" t="n">
        <v>24200</v>
      </c>
      <c r="I1263" s="48" t="n">
        <v>12</v>
      </c>
      <c r="J1263" s="48" t="n">
        <v>33000</v>
      </c>
      <c r="K1263" s="47">
        <f t="array" ref="K1263">_xlfn.XLOOKUP(1,(참조!$B$2:$B$15=E1263)*(참조!$D$2:$D$15=C1263)*(참조!$E$2:$E$15=D1263),참조!$C$2:$C$15,"")</f>
        <v/>
      </c>
    </row>
    <row r="1264" hidden="1" s="27">
      <c r="A1264" s="47" t="inlineStr">
        <is>
          <t>스마텔</t>
        </is>
      </c>
      <c r="B1264" s="47" t="inlineStr">
        <is>
          <t>후후 스마일 7GB+</t>
        </is>
      </c>
      <c r="C1264" s="47" t="inlineStr">
        <is>
          <t>무제한</t>
        </is>
      </c>
      <c r="D1264" s="47" t="inlineStr">
        <is>
          <t>무제한</t>
        </is>
      </c>
      <c r="E1264" s="47" t="inlineStr">
        <is>
          <t>월 7GB + 1Mbps</t>
        </is>
      </c>
      <c r="F1264" s="47" t="inlineStr">
        <is>
          <t>SKT</t>
        </is>
      </c>
      <c r="G1264" s="47" t="inlineStr">
        <is>
          <t>LTE</t>
        </is>
      </c>
      <c r="H1264" s="48" t="n">
        <v>5830</v>
      </c>
      <c r="I1264" s="48" t="n">
        <v>7</v>
      </c>
      <c r="J1264" s="48" t="n">
        <v>24530</v>
      </c>
      <c r="K1264" s="47">
        <f t="array" ref="K1264">_xlfn.XLOOKUP(1,(참조!$B$2:$B$15=E1264)*(참조!$D$2:$D$15=C1264)*(참조!$E$2:$E$15=D1264),참조!$C$2:$C$15,"")</f>
        <v/>
      </c>
    </row>
    <row r="1265" hidden="1" s="27">
      <c r="A1265" s="47" t="inlineStr">
        <is>
          <t>아이즈모바일</t>
        </is>
      </c>
      <c r="B1265" s="47" t="inlineStr">
        <is>
          <t>[L]5G 데이터95GB+3Mbps</t>
        </is>
      </c>
      <c r="C1265" s="47" t="inlineStr">
        <is>
          <t>무제한</t>
        </is>
      </c>
      <c r="D1265" s="47" t="inlineStr">
        <is>
          <t>무제한</t>
        </is>
      </c>
      <c r="E1265" s="47" t="inlineStr">
        <is>
          <t>월 95GB + 3Mbps</t>
        </is>
      </c>
      <c r="F1265" s="47" t="inlineStr">
        <is>
          <t>LG U+</t>
        </is>
      </c>
      <c r="G1265" s="47" t="inlineStr">
        <is>
          <t>5G</t>
        </is>
      </c>
      <c r="H1265" s="48" t="n">
        <v>27600</v>
      </c>
      <c r="I1265" s="48" t="n">
        <v>24</v>
      </c>
      <c r="J1265" s="48" t="n">
        <v>56100</v>
      </c>
      <c r="K1265" s="47">
        <f t="array" ref="K1265">_xlfn.XLOOKUP(1,(참조!$B$2:$B$15=E1265)*(참조!$D$2:$D$15=C1265)*(참조!$E$2:$E$15=D1265),참조!$C$2:$C$15,"")</f>
        <v/>
      </c>
    </row>
    <row r="1266" hidden="1" s="27">
      <c r="A1266" s="47" t="inlineStr">
        <is>
          <t>고고모바일</t>
        </is>
      </c>
      <c r="B1266" s="47" t="inlineStr">
        <is>
          <t>[모요only] 5G 무제한 30GB+1Mbps</t>
        </is>
      </c>
      <c r="C1266" s="47" t="inlineStr">
        <is>
          <t>무제한</t>
        </is>
      </c>
      <c r="D1266" s="47" t="inlineStr">
        <is>
          <t>무제한</t>
        </is>
      </c>
      <c r="E1266" s="47" t="inlineStr">
        <is>
          <t>월 30GB + 1Mbps</t>
        </is>
      </c>
      <c r="F1266" s="47" t="inlineStr">
        <is>
          <t>KT</t>
        </is>
      </c>
      <c r="G1266" s="47" t="inlineStr">
        <is>
          <t>5G</t>
        </is>
      </c>
      <c r="H1266" s="48" t="n">
        <v>29000</v>
      </c>
      <c r="I1266" s="48" t="n">
        <v>12</v>
      </c>
      <c r="J1266" s="48" t="n">
        <v>40040</v>
      </c>
      <c r="K1266" s="47">
        <f t="array" ref="K1266">_xlfn.XLOOKUP(1,(참조!$B$2:$B$15=E1266)*(참조!$D$2:$D$15=C1266)*(참조!$E$2:$E$15=D1266),참조!$C$2:$C$15,"")</f>
        <v/>
      </c>
    </row>
    <row r="1267" hidden="1" s="27">
      <c r="A1267" s="47" t="inlineStr">
        <is>
          <t>스마텔</t>
        </is>
      </c>
      <c r="B1267" s="47" t="inlineStr">
        <is>
          <t>스마일프리미엄2 7GB+</t>
        </is>
      </c>
      <c r="C1267" s="47" t="inlineStr">
        <is>
          <t>무제한</t>
        </is>
      </c>
      <c r="D1267" s="47" t="inlineStr">
        <is>
          <t>무제한</t>
        </is>
      </c>
      <c r="E1267" s="47" t="inlineStr">
        <is>
          <t>월 7GB + 1Mbps</t>
        </is>
      </c>
      <c r="F1267" s="47" t="inlineStr">
        <is>
          <t>SKT</t>
        </is>
      </c>
      <c r="G1267" s="47" t="inlineStr">
        <is>
          <t>LTE</t>
        </is>
      </c>
      <c r="H1267" s="48" t="n">
        <v>19800</v>
      </c>
      <c r="I1267" s="48" t="n"/>
      <c r="J1267" s="48" t="n"/>
      <c r="K1267" s="47">
        <f t="array" ref="K1267">_xlfn.XLOOKUP(1,(참조!$B$2:$B$15=E1267)*(참조!$D$2:$D$15=C1267)*(참조!$E$2:$E$15=D1267),참조!$C$2:$C$15,"")</f>
        <v/>
      </c>
    </row>
    <row r="1268" hidden="1" s="27">
      <c r="A1268" s="47" t="inlineStr">
        <is>
          <t>에이모바일</t>
        </is>
      </c>
      <c r="B1268" s="47" t="inlineStr">
        <is>
          <t>A 스마트 20GB</t>
        </is>
      </c>
      <c r="C1268" s="47" t="inlineStr">
        <is>
          <t>무제한</t>
        </is>
      </c>
      <c r="D1268" s="47" t="inlineStr">
        <is>
          <t>무제한</t>
        </is>
      </c>
      <c r="E1268" s="47" t="inlineStr">
        <is>
          <t>월 20GB</t>
        </is>
      </c>
      <c r="F1268" s="47" t="inlineStr">
        <is>
          <t>SKT</t>
        </is>
      </c>
      <c r="G1268" s="47" t="inlineStr">
        <is>
          <t>LTE</t>
        </is>
      </c>
      <c r="H1268" s="48" t="n">
        <v>2200</v>
      </c>
      <c r="I1268" s="48" t="n">
        <v>7</v>
      </c>
      <c r="J1268" s="48" t="n">
        <v>25520</v>
      </c>
      <c r="K1268" s="47">
        <f t="array" ref="K1268">_xlfn.XLOOKUP(1,(참조!$B$2:$B$15=E1268)*(참조!$D$2:$D$15=C1268)*(참조!$E$2:$E$15=D1268),참조!$C$2:$C$15,"")</f>
        <v/>
      </c>
    </row>
    <row r="1269" hidden="1" s="27">
      <c r="A1269" s="47" t="inlineStr">
        <is>
          <t>모빙</t>
        </is>
      </c>
      <c r="B1269" s="47" t="inlineStr">
        <is>
          <t>[L] 데이터 11GB+</t>
        </is>
      </c>
      <c r="C1269" s="47" t="inlineStr">
        <is>
          <t>무제한</t>
        </is>
      </c>
      <c r="D1269" s="47" t="inlineStr">
        <is>
          <t>무제한</t>
        </is>
      </c>
      <c r="E1269" s="47" t="inlineStr">
        <is>
          <t>월 11GB + 매일 2GB + 3Mbps</t>
        </is>
      </c>
      <c r="F1269" s="47" t="inlineStr">
        <is>
          <t>LG U+</t>
        </is>
      </c>
      <c r="G1269" s="47" t="inlineStr">
        <is>
          <t>LTE</t>
        </is>
      </c>
      <c r="H1269" s="48" t="n">
        <v>13000</v>
      </c>
      <c r="I1269" s="48" t="n">
        <v>7</v>
      </c>
      <c r="J1269" s="48" t="n">
        <v>48400</v>
      </c>
      <c r="K1269" s="47">
        <f t="array" ref="K1269">_xlfn.XLOOKUP(1,(참조!$B$2:$B$15=E1269)*(참조!$D$2:$D$15=C1269)*(참조!$E$2:$E$15=D1269),참조!$C$2:$C$15,"")</f>
        <v/>
      </c>
    </row>
    <row r="1270" hidden="1" s="27">
      <c r="A1270" s="47" t="inlineStr">
        <is>
          <t>이야기모바일</t>
        </is>
      </c>
      <c r="B1270" s="47" t="inlineStr">
        <is>
          <t>이야기 데이터 무제한 15GB+</t>
        </is>
      </c>
      <c r="C1270" s="47" t="inlineStr">
        <is>
          <t>100분</t>
        </is>
      </c>
      <c r="D1270" s="47" t="inlineStr">
        <is>
          <t>100건</t>
        </is>
      </c>
      <c r="E1270" s="47" t="inlineStr">
        <is>
          <t>월 15GB + 3Mbps</t>
        </is>
      </c>
      <c r="F1270" s="47" t="inlineStr">
        <is>
          <t>SKT</t>
        </is>
      </c>
      <c r="G1270" s="47" t="inlineStr">
        <is>
          <t>LTE</t>
        </is>
      </c>
      <c r="H1270" s="48" t="n">
        <v>17600</v>
      </c>
      <c r="I1270" s="48" t="n">
        <v>7</v>
      </c>
      <c r="J1270" s="48" t="n">
        <v>31900</v>
      </c>
      <c r="K1270" s="47">
        <f t="array" ref="K1270">_xlfn.XLOOKUP(1,(참조!$B$2:$B$15=E1270)*(참조!$D$2:$D$15=C1270)*(참조!$E$2:$E$15=D1270),참조!$C$2:$C$15,"")</f>
        <v/>
      </c>
    </row>
    <row r="1271" hidden="1" s="27">
      <c r="A1271" s="47" t="inlineStr">
        <is>
          <t>이지모바일</t>
        </is>
      </c>
      <c r="B1271" s="47" t="inlineStr">
        <is>
          <t>EG 무제한 11G+3(매월 배민5000P)</t>
        </is>
      </c>
      <c r="C1271" s="47" t="inlineStr">
        <is>
          <t>무제한</t>
        </is>
      </c>
      <c r="D1271" s="47" t="inlineStr">
        <is>
          <t>무제한</t>
        </is>
      </c>
      <c r="E1271" s="47" t="inlineStr">
        <is>
          <t>월 11GB + 매일 2GB + 3Mbps</t>
        </is>
      </c>
      <c r="F1271" s="47" t="inlineStr">
        <is>
          <t>KT</t>
        </is>
      </c>
      <c r="G1271" s="47" t="inlineStr">
        <is>
          <t>LTE</t>
        </is>
      </c>
      <c r="H1271" s="48" t="n">
        <v>21000</v>
      </c>
      <c r="I1271" s="48" t="n">
        <v>7</v>
      </c>
      <c r="J1271" s="48" t="n">
        <v>41250</v>
      </c>
      <c r="K1271" s="47">
        <f t="array" ref="K1271">_xlfn.XLOOKUP(1,(참조!$B$2:$B$15=E1271)*(참조!$D$2:$D$15=C1271)*(참조!$E$2:$E$15=D1271),참조!$C$2:$C$15,"")</f>
        <v/>
      </c>
    </row>
    <row r="1272" hidden="1" s="27">
      <c r="A1272" s="47" t="inlineStr">
        <is>
          <t>아이즈모바일</t>
        </is>
      </c>
      <c r="B1272" s="47" t="inlineStr">
        <is>
          <t>[L]5G 아이즈180GB+</t>
        </is>
      </c>
      <c r="C1272" s="47" t="inlineStr">
        <is>
          <t>무제한</t>
        </is>
      </c>
      <c r="D1272" s="47" t="inlineStr">
        <is>
          <t>무제한</t>
        </is>
      </c>
      <c r="E1272" s="47" t="inlineStr">
        <is>
          <t>월 180GB + 10Mbps</t>
        </is>
      </c>
      <c r="F1272" s="47" t="inlineStr">
        <is>
          <t>LG U+</t>
        </is>
      </c>
      <c r="G1272" s="47" t="inlineStr">
        <is>
          <t>5G</t>
        </is>
      </c>
      <c r="H1272" s="48" t="n">
        <v>9100</v>
      </c>
      <c r="I1272" s="48" t="n">
        <v>7</v>
      </c>
      <c r="J1272" s="48" t="n">
        <v>64900</v>
      </c>
      <c r="K1272" s="47">
        <f t="array" ref="K1272">_xlfn.XLOOKUP(1,(참조!$B$2:$B$15=E1272)*(참조!$D$2:$D$15=C1272)*(참조!$E$2:$E$15=D1272),참조!$C$2:$C$15,"")</f>
        <v/>
      </c>
    </row>
    <row r="1273" hidden="1" s="27">
      <c r="A1273" s="47" t="inlineStr">
        <is>
          <t>시월모바일</t>
        </is>
      </c>
      <c r="B1273" s="47" t="inlineStr">
        <is>
          <t>시월 무제한 7GB+1Mbps</t>
        </is>
      </c>
      <c r="C1273" s="47" t="inlineStr">
        <is>
          <t>무제한</t>
        </is>
      </c>
      <c r="D1273" s="47" t="inlineStr">
        <is>
          <t>무제한</t>
        </is>
      </c>
      <c r="E1273" s="47" t="inlineStr">
        <is>
          <t>월 7GB + 1Mbps</t>
        </is>
      </c>
      <c r="F1273" s="47" t="inlineStr">
        <is>
          <t>LG U+</t>
        </is>
      </c>
      <c r="G1273" s="47" t="inlineStr">
        <is>
          <t>LTE</t>
        </is>
      </c>
      <c r="H1273" s="48" t="n">
        <v>6060</v>
      </c>
      <c r="I1273" s="48" t="n">
        <v>7</v>
      </c>
      <c r="J1273" s="48" t="n">
        <v>19810</v>
      </c>
      <c r="K1273" s="47">
        <f t="array" ref="K1273">_xlfn.XLOOKUP(1,(참조!$B$2:$B$15=E1273)*(참조!$D$2:$D$15=C1273)*(참조!$E$2:$E$15=D1273),참조!$C$2:$C$15,"")</f>
        <v/>
      </c>
    </row>
    <row r="1274" hidden="1" s="27">
      <c r="A1274" s="47" t="inlineStr">
        <is>
          <t>이지모바일</t>
        </is>
      </c>
      <c r="B1274" s="47" t="inlineStr">
        <is>
          <t>EG 무제한 11GB+3(올영5000원)</t>
        </is>
      </c>
      <c r="C1274" s="47" t="inlineStr">
        <is>
          <t>무제한</t>
        </is>
      </c>
      <c r="D1274" s="47" t="inlineStr">
        <is>
          <t>무제한</t>
        </is>
      </c>
      <c r="E1274" s="47" t="inlineStr">
        <is>
          <t>월 11GB + 매일 2GB + 3Mbps</t>
        </is>
      </c>
      <c r="F1274" s="47" t="inlineStr">
        <is>
          <t>KT</t>
        </is>
      </c>
      <c r="G1274" s="47" t="inlineStr">
        <is>
          <t>LTE</t>
        </is>
      </c>
      <c r="H1274" s="48" t="n">
        <v>21000</v>
      </c>
      <c r="I1274" s="48" t="n">
        <v>7</v>
      </c>
      <c r="J1274" s="48" t="n">
        <v>41800</v>
      </c>
      <c r="K1274" s="47">
        <f t="array" ref="K1274">_xlfn.XLOOKUP(1,(참조!$B$2:$B$15=E1274)*(참조!$D$2:$D$15=C1274)*(참조!$E$2:$E$15=D1274),참조!$C$2:$C$15,"")</f>
        <v/>
      </c>
    </row>
    <row r="1275" hidden="1" s="27">
      <c r="A1275" s="47" t="inlineStr">
        <is>
          <t>스마텔</t>
        </is>
      </c>
      <c r="B1275" s="47" t="inlineStr">
        <is>
          <t>후후 스마트 매일 5GB+</t>
        </is>
      </c>
      <c r="C1275" s="47" t="inlineStr">
        <is>
          <t>무제한</t>
        </is>
      </c>
      <c r="D1275" s="47" t="inlineStr">
        <is>
          <t>무제한</t>
        </is>
      </c>
      <c r="E1275" s="47" t="inlineStr">
        <is>
          <t>매일 5GB + 5Mbps</t>
        </is>
      </c>
      <c r="F1275" s="47" t="inlineStr">
        <is>
          <t>LG U+</t>
        </is>
      </c>
      <c r="G1275" s="47" t="inlineStr">
        <is>
          <t>LTE</t>
        </is>
      </c>
      <c r="H1275" s="48" t="n">
        <v>21330</v>
      </c>
      <c r="I1275" s="48" t="n">
        <v>7</v>
      </c>
      <c r="J1275" s="48" t="n">
        <v>47630</v>
      </c>
      <c r="K1275" s="47">
        <f t="array" ref="K1275">_xlfn.XLOOKUP(1,(참조!$B$2:$B$15=E1275)*(참조!$D$2:$D$15=C1275)*(참조!$E$2:$E$15=D1275),참조!$C$2:$C$15,"")</f>
        <v/>
      </c>
    </row>
    <row r="1276" hidden="1" s="27">
      <c r="A1276" s="47" t="inlineStr">
        <is>
          <t>스마텔</t>
        </is>
      </c>
      <c r="B1276" s="47" t="inlineStr">
        <is>
          <t>스위트 11GB+(지니뮤직)</t>
        </is>
      </c>
      <c r="C1276" s="47" t="inlineStr">
        <is>
          <t>무제한</t>
        </is>
      </c>
      <c r="D1276" s="47" t="inlineStr">
        <is>
          <t>무제한</t>
        </is>
      </c>
      <c r="E1276" s="47" t="inlineStr">
        <is>
          <t>월 11GB + 매일 2GB + 3Mbps</t>
        </is>
      </c>
      <c r="F1276" s="47" t="inlineStr">
        <is>
          <t>KT</t>
        </is>
      </c>
      <c r="G1276" s="47" t="inlineStr">
        <is>
          <t>LTE</t>
        </is>
      </c>
      <c r="H1276" s="48" t="n">
        <v>38500</v>
      </c>
      <c r="I1276" s="48" t="n">
        <v>36</v>
      </c>
      <c r="J1276" s="48" t="n">
        <v>44000</v>
      </c>
      <c r="K1276" s="47">
        <f t="array" ref="K1276">_xlfn.XLOOKUP(1,(참조!$B$2:$B$15=E1276)*(참조!$D$2:$D$15=C1276)*(참조!$E$2:$E$15=D1276),참조!$C$2:$C$15,"")</f>
        <v/>
      </c>
    </row>
    <row r="1277" hidden="1" s="27">
      <c r="A1277" s="47" t="inlineStr">
        <is>
          <t>에이모바일</t>
        </is>
      </c>
      <c r="B1277" s="47" t="inlineStr">
        <is>
          <t>A 넥스트 100GB+(네이버페이 1만x7개월)</t>
        </is>
      </c>
      <c r="C1277" s="47" t="inlineStr">
        <is>
          <t>무제한</t>
        </is>
      </c>
      <c r="D1277" s="47" t="inlineStr">
        <is>
          <t>무제한</t>
        </is>
      </c>
      <c r="E1277" s="47" t="inlineStr">
        <is>
          <t>월 100GB + 5Mbps</t>
        </is>
      </c>
      <c r="F1277" s="47" t="inlineStr">
        <is>
          <t>SKT</t>
        </is>
      </c>
      <c r="G1277" s="47" t="inlineStr">
        <is>
          <t>LTE</t>
        </is>
      </c>
      <c r="H1277" s="48" t="n">
        <v>15000</v>
      </c>
      <c r="I1277" s="48" t="n">
        <v>7</v>
      </c>
      <c r="J1277" s="48" t="n">
        <v>45100</v>
      </c>
      <c r="K1277" s="47">
        <f t="array" ref="K1277">_xlfn.XLOOKUP(1,(참조!$B$2:$B$15=E1277)*(참조!$D$2:$D$15=C1277)*(참조!$E$2:$E$15=D1277),참조!$C$2:$C$15,"")</f>
        <v/>
      </c>
    </row>
    <row r="1278" hidden="1" s="27">
      <c r="A1278" s="47" t="inlineStr">
        <is>
          <t>스마텔</t>
        </is>
      </c>
      <c r="B1278" s="47" t="inlineStr">
        <is>
          <t>스위트 11GB+(네이버페이)</t>
        </is>
      </c>
      <c r="C1278" s="47" t="inlineStr">
        <is>
          <t>무제한</t>
        </is>
      </c>
      <c r="D1278" s="47" t="inlineStr">
        <is>
          <t>무제한</t>
        </is>
      </c>
      <c r="E1278" s="47" t="inlineStr">
        <is>
          <t>월 11GB + 매일 2GB + 3Mbps</t>
        </is>
      </c>
      <c r="F1278" s="47" t="inlineStr">
        <is>
          <t>KT</t>
        </is>
      </c>
      <c r="G1278" s="47" t="inlineStr">
        <is>
          <t>LTE</t>
        </is>
      </c>
      <c r="H1278" s="48" t="n">
        <v>38500</v>
      </c>
      <c r="I1278" s="48" t="n">
        <v>36</v>
      </c>
      <c r="J1278" s="48" t="n">
        <v>44000</v>
      </c>
      <c r="K1278" s="47">
        <f t="array" ref="K1278">_xlfn.XLOOKUP(1,(참조!$B$2:$B$15=E1278)*(참조!$D$2:$D$15=C1278)*(참조!$E$2:$E$15=D1278),참조!$C$2:$C$15,"")</f>
        <v/>
      </c>
    </row>
    <row r="1279" hidden="1" s="27">
      <c r="A1279" s="47" t="inlineStr">
        <is>
          <t>이지모바일</t>
        </is>
      </c>
      <c r="B1279" s="47" t="inlineStr">
        <is>
          <t>EG 무제한 100G+5(매월 Npay5000P)</t>
        </is>
      </c>
      <c r="C1279" s="47" t="inlineStr">
        <is>
          <t>무제한</t>
        </is>
      </c>
      <c r="D1279" s="47" t="inlineStr">
        <is>
          <t>무제한</t>
        </is>
      </c>
      <c r="E1279" s="47" t="inlineStr">
        <is>
          <t>월 100GB + 5Mbps</t>
        </is>
      </c>
      <c r="F1279" s="47" t="inlineStr">
        <is>
          <t>KT</t>
        </is>
      </c>
      <c r="G1279" s="47" t="inlineStr">
        <is>
          <t>LTE</t>
        </is>
      </c>
      <c r="H1279" s="48" t="n">
        <v>22000</v>
      </c>
      <c r="I1279" s="48" t="n">
        <v>7</v>
      </c>
      <c r="J1279" s="48" t="n">
        <v>47850</v>
      </c>
      <c r="K1279" s="47">
        <f t="array" ref="K1279">_xlfn.XLOOKUP(1,(참조!$B$2:$B$15=E1279)*(참조!$D$2:$D$15=C1279)*(참조!$E$2:$E$15=D1279),참조!$C$2:$C$15,"")</f>
        <v/>
      </c>
    </row>
    <row r="1280" hidden="1" s="27">
      <c r="A1280" s="47" t="inlineStr">
        <is>
          <t>더원모바일</t>
        </is>
      </c>
      <c r="B1280" s="47" t="inlineStr">
        <is>
          <t>TOP 10GB 기본 (올리브영)</t>
        </is>
      </c>
      <c r="C1280" s="47" t="inlineStr">
        <is>
          <t>무제한</t>
        </is>
      </c>
      <c r="D1280" s="47" t="inlineStr">
        <is>
          <t>무제한</t>
        </is>
      </c>
      <c r="E1280" s="47" t="inlineStr">
        <is>
          <t>월 10GB + 1Mbps</t>
        </is>
      </c>
      <c r="F1280" s="47" t="inlineStr">
        <is>
          <t>KT</t>
        </is>
      </c>
      <c r="G1280" s="47" t="inlineStr">
        <is>
          <t>LTE</t>
        </is>
      </c>
      <c r="H1280" s="48" t="n">
        <v>5500</v>
      </c>
      <c r="I1280" s="48" t="n">
        <v>7</v>
      </c>
      <c r="J1280" s="48" t="n">
        <v>28600</v>
      </c>
      <c r="K1280" s="47">
        <f t="array" ref="K1280">_xlfn.XLOOKUP(1,(참조!$B$2:$B$15=E1280)*(참조!$D$2:$D$15=C1280)*(참조!$E$2:$E$15=D1280),참조!$C$2:$C$15,"")</f>
        <v/>
      </c>
    </row>
    <row r="1281" hidden="1" s="27">
      <c r="A1281" s="47" t="inlineStr">
        <is>
          <t>스마텔</t>
        </is>
      </c>
      <c r="B1281" s="47" t="inlineStr">
        <is>
          <t>스위트 11GB+(멜론)</t>
        </is>
      </c>
      <c r="C1281" s="47" t="inlineStr">
        <is>
          <t>무제한</t>
        </is>
      </c>
      <c r="D1281" s="47" t="inlineStr">
        <is>
          <t>무제한</t>
        </is>
      </c>
      <c r="E1281" s="47" t="inlineStr">
        <is>
          <t>월 11GB + 매일 2GB + 3Mbps</t>
        </is>
      </c>
      <c r="F1281" s="47" t="inlineStr">
        <is>
          <t>KT</t>
        </is>
      </c>
      <c r="G1281" s="47" t="inlineStr">
        <is>
          <t>LTE</t>
        </is>
      </c>
      <c r="H1281" s="48" t="n">
        <v>38500</v>
      </c>
      <c r="I1281" s="48" t="n">
        <v>36</v>
      </c>
      <c r="J1281" s="48" t="n">
        <v>44000</v>
      </c>
      <c r="K1281" s="47">
        <f t="array" ref="K1281">_xlfn.XLOOKUP(1,(참조!$B$2:$B$15=E1281)*(참조!$D$2:$D$15=C1281)*(참조!$E$2:$E$15=D1281),참조!$C$2:$C$15,"")</f>
        <v/>
      </c>
    </row>
    <row r="1282">
      <c r="A1282" s="47" t="inlineStr">
        <is>
          <t>스마텔</t>
        </is>
      </c>
      <c r="B1282" s="47" t="inlineStr">
        <is>
          <t>스위트 11GB+(왓챠)</t>
        </is>
      </c>
      <c r="C1282" s="47" t="inlineStr">
        <is>
          <t>무제한</t>
        </is>
      </c>
      <c r="D1282" s="47" t="inlineStr">
        <is>
          <t>무제한</t>
        </is>
      </c>
      <c r="E1282" s="47" t="inlineStr">
        <is>
          <t>월 11GB + 매일 2GB + 3Mbps</t>
        </is>
      </c>
      <c r="F1282" s="47" t="inlineStr">
        <is>
          <t>KT</t>
        </is>
      </c>
      <c r="G1282" s="47" t="inlineStr">
        <is>
          <t>LTE</t>
        </is>
      </c>
      <c r="H1282" s="48" t="n">
        <v>38500</v>
      </c>
      <c r="I1282" s="48" t="n">
        <v>36</v>
      </c>
      <c r="J1282" s="48" t="n">
        <v>44000</v>
      </c>
      <c r="K1282" s="47">
        <f t="array" ref="K1282">_xlfn.XLOOKUP(1,(참조!$B$2:$B$15=E1282)*(참조!$D$2:$D$15=C1282)*(참조!$E$2:$E$15=D1282),참조!$C$2:$C$15,"")</f>
        <v/>
      </c>
    </row>
    <row r="1283" hidden="1" s="27">
      <c r="A1283" s="47" t="inlineStr">
        <is>
          <t>에이모바일</t>
        </is>
      </c>
      <c r="B1283" s="47" t="inlineStr">
        <is>
          <t>A 갓성비 15GB/300분</t>
        </is>
      </c>
      <c r="C1283" s="47" t="inlineStr">
        <is>
          <t>300분</t>
        </is>
      </c>
      <c r="D1283" s="47" t="inlineStr">
        <is>
          <t>300건</t>
        </is>
      </c>
      <c r="E1283" s="47" t="inlineStr">
        <is>
          <t>월 15GB</t>
        </is>
      </c>
      <c r="F1283" s="47" t="inlineStr">
        <is>
          <t>LG U+</t>
        </is>
      </c>
      <c r="G1283" s="47" t="inlineStr">
        <is>
          <t>LTE</t>
        </is>
      </c>
      <c r="H1283" s="48" t="n">
        <v>5460</v>
      </c>
      <c r="I1283" s="48" t="n">
        <v>6</v>
      </c>
      <c r="J1283" s="48" t="n">
        <v>18000</v>
      </c>
      <c r="K1283" s="47">
        <f t="array" ref="K1283">_xlfn.XLOOKUP(1,(참조!$B$2:$B$15=E1283)*(참조!$D$2:$D$15=C1283)*(참조!$E$2:$E$15=D1283),참조!$C$2:$C$15,"")</f>
        <v/>
      </c>
    </row>
    <row r="1284" hidden="1" s="27">
      <c r="A1284" s="47" t="inlineStr">
        <is>
          <t>모빙</t>
        </is>
      </c>
      <c r="B1284" s="47" t="inlineStr">
        <is>
          <t>쏙쏙 300분7GB</t>
        </is>
      </c>
      <c r="C1284" s="47" t="inlineStr">
        <is>
          <t>300분</t>
        </is>
      </c>
      <c r="D1284" s="47" t="inlineStr">
        <is>
          <t>100건</t>
        </is>
      </c>
      <c r="E1284" s="47" t="inlineStr">
        <is>
          <t>월 7GB</t>
        </is>
      </c>
      <c r="F1284" s="47" t="inlineStr">
        <is>
          <t>KT</t>
        </is>
      </c>
      <c r="G1284" s="47" t="inlineStr">
        <is>
          <t>LTE</t>
        </is>
      </c>
      <c r="H1284" s="48" t="n">
        <v>110</v>
      </c>
      <c r="I1284" s="48" t="n">
        <v>5</v>
      </c>
      <c r="J1284" s="48" t="n">
        <v>9900</v>
      </c>
      <c r="K1284" s="47">
        <f t="array" ref="K1284">_xlfn.XLOOKUP(1,(참조!$B$2:$B$15=E1284)*(참조!$D$2:$D$15=C1284)*(참조!$E$2:$E$15=D1284),참조!$C$2:$C$15,"")</f>
        <v/>
      </c>
    </row>
    <row r="1285" hidden="1" s="27">
      <c r="A1285" s="47" t="inlineStr">
        <is>
          <t>모빙</t>
        </is>
      </c>
      <c r="B1285" s="47" t="inlineStr">
        <is>
          <t>[L] 5G 데이터 180GB+</t>
        </is>
      </c>
      <c r="C1285" s="47" t="inlineStr">
        <is>
          <t>무제한</t>
        </is>
      </c>
      <c r="D1285" s="47" t="inlineStr">
        <is>
          <t>무제한</t>
        </is>
      </c>
      <c r="E1285" s="47" t="inlineStr">
        <is>
          <t>월 180GB + 10Mbps</t>
        </is>
      </c>
      <c r="F1285" s="47" t="inlineStr">
        <is>
          <t>LG U+</t>
        </is>
      </c>
      <c r="G1285" s="47" t="inlineStr">
        <is>
          <t>5G</t>
        </is>
      </c>
      <c r="H1285" s="48" t="n">
        <v>14500</v>
      </c>
      <c r="I1285" s="48" t="n">
        <v>7</v>
      </c>
      <c r="J1285" s="48" t="n">
        <v>63400</v>
      </c>
      <c r="K1285" s="47">
        <f t="array" ref="K1285">_xlfn.XLOOKUP(1,(참조!$B$2:$B$15=E1285)*(참조!$D$2:$D$15=C1285)*(참조!$E$2:$E$15=D1285),참조!$C$2:$C$15,"")</f>
        <v/>
      </c>
    </row>
    <row r="1286" hidden="1" s="27">
      <c r="A1286" s="47" t="inlineStr">
        <is>
          <t>아이즈모바일</t>
        </is>
      </c>
      <c r="B1286" s="47" t="inlineStr">
        <is>
          <t>[K]5G 울트라(500분/30GB)</t>
        </is>
      </c>
      <c r="C1286" s="47" t="inlineStr">
        <is>
          <t>500분</t>
        </is>
      </c>
      <c r="D1286" s="47" t="inlineStr">
        <is>
          <t>300건</t>
        </is>
      </c>
      <c r="E1286" s="47" t="inlineStr">
        <is>
          <t>월 30GB</t>
        </is>
      </c>
      <c r="F1286" s="47" t="inlineStr">
        <is>
          <t>KT</t>
        </is>
      </c>
      <c r="G1286" s="47" t="inlineStr">
        <is>
          <t>5G</t>
        </is>
      </c>
      <c r="H1286" s="48" t="n">
        <v>1990</v>
      </c>
      <c r="I1286" s="48" t="n">
        <v>7</v>
      </c>
      <c r="J1286" s="48" t="n">
        <v>46200</v>
      </c>
      <c r="K1286" s="47">
        <f t="array" ref="K1286">_xlfn.XLOOKUP(1,(참조!$B$2:$B$15=E1286)*(참조!$D$2:$D$15=C1286)*(참조!$E$2:$E$15=D1286),참조!$C$2:$C$15,"")</f>
        <v/>
      </c>
    </row>
    <row r="1287" hidden="1" s="27">
      <c r="A1287" s="47" t="inlineStr">
        <is>
          <t>시월모바일</t>
        </is>
      </c>
      <c r="B1287" s="47" t="inlineStr">
        <is>
          <t>시월5G 무제한 50GB+1Mbps</t>
        </is>
      </c>
      <c r="C1287" s="47" t="inlineStr">
        <is>
          <t>무제한</t>
        </is>
      </c>
      <c r="D1287" s="47" t="inlineStr">
        <is>
          <t>무제한</t>
        </is>
      </c>
      <c r="E1287" s="47" t="inlineStr">
        <is>
          <t>월 50GB + 1Mbps</t>
        </is>
      </c>
      <c r="F1287" s="47" t="inlineStr">
        <is>
          <t>LG U+</t>
        </is>
      </c>
      <c r="G1287" s="47" t="inlineStr">
        <is>
          <t>5G</t>
        </is>
      </c>
      <c r="H1287" s="48" t="n">
        <v>22500</v>
      </c>
      <c r="I1287" s="48" t="n">
        <v>7</v>
      </c>
      <c r="J1287" s="48" t="n">
        <v>41200</v>
      </c>
      <c r="K1287" s="47">
        <f t="array" ref="K1287">_xlfn.XLOOKUP(1,(참조!$B$2:$B$15=E1287)*(참조!$D$2:$D$15=C1287)*(참조!$E$2:$E$15=D1287),참조!$C$2:$C$15,"")</f>
        <v/>
      </c>
    </row>
    <row r="1288" hidden="1" s="27">
      <c r="A1288" s="47" t="inlineStr">
        <is>
          <t>KT스카이라이프</t>
        </is>
      </c>
      <c r="B1288" s="47" t="inlineStr">
        <is>
          <t>5G 모두 충분 90GB+(밀리의서재)</t>
        </is>
      </c>
      <c r="C1288" s="47" t="inlineStr">
        <is>
          <t>무제한</t>
        </is>
      </c>
      <c r="D1288" s="47" t="inlineStr">
        <is>
          <t>무제한</t>
        </is>
      </c>
      <c r="E1288" s="47" t="inlineStr">
        <is>
          <t>월 90GB + 1Mbps</t>
        </is>
      </c>
      <c r="F1288" s="47" t="inlineStr">
        <is>
          <t>KT</t>
        </is>
      </c>
      <c r="G1288" s="47" t="inlineStr">
        <is>
          <t>5G</t>
        </is>
      </c>
      <c r="H1288" s="48" t="n">
        <v>41000</v>
      </c>
      <c r="I1288" s="48" t="n"/>
      <c r="J1288" s="48" t="n"/>
      <c r="K1288" s="47">
        <f t="array" ref="K1288">_xlfn.XLOOKUP(1,(참조!$B$2:$B$15=E1288)*(참조!$D$2:$D$15=C1288)*(참조!$E$2:$E$15=D1288),참조!$C$2:$C$15,"")</f>
        <v/>
      </c>
    </row>
    <row r="1289" hidden="1" s="27">
      <c r="A1289" s="47" t="inlineStr">
        <is>
          <t>이지모바일</t>
        </is>
      </c>
      <c r="B1289" s="47" t="inlineStr">
        <is>
          <t>EG CU 무제한 100G+5(CU할인)</t>
        </is>
      </c>
      <c r="C1289" s="47" t="inlineStr">
        <is>
          <t>무제한</t>
        </is>
      </c>
      <c r="D1289" s="47" t="inlineStr">
        <is>
          <t>무제한</t>
        </is>
      </c>
      <c r="E1289" s="47" t="inlineStr">
        <is>
          <t>월 100GB + 5Mbps</t>
        </is>
      </c>
      <c r="F1289" s="47" t="inlineStr">
        <is>
          <t>KT</t>
        </is>
      </c>
      <c r="G1289" s="47" t="inlineStr">
        <is>
          <t>LTE</t>
        </is>
      </c>
      <c r="H1289" s="48" t="n">
        <v>19990</v>
      </c>
      <c r="I1289" s="48" t="n">
        <v>7</v>
      </c>
      <c r="J1289" s="48" t="n">
        <v>44000</v>
      </c>
      <c r="K1289" s="47">
        <f t="array" ref="K1289">_xlfn.XLOOKUP(1,(참조!$B$2:$B$15=E1289)*(참조!$D$2:$D$15=C1289)*(참조!$E$2:$E$15=D1289),참조!$C$2:$C$15,"")</f>
        <v/>
      </c>
    </row>
    <row r="1290" hidden="1" s="27">
      <c r="A1290" s="47" t="inlineStr">
        <is>
          <t>고고모바일</t>
        </is>
      </c>
      <c r="B1290" s="47" t="inlineStr">
        <is>
          <t>무제한 11GB+3M(올리브영 매월 5000원)</t>
        </is>
      </c>
      <c r="C1290" s="47" t="inlineStr">
        <is>
          <t>무제한</t>
        </is>
      </c>
      <c r="D1290" s="47" t="inlineStr">
        <is>
          <t>무제한</t>
        </is>
      </c>
      <c r="E1290" s="47" t="inlineStr">
        <is>
          <t>월 11GB + 매일 2GB + 3Mbps</t>
        </is>
      </c>
      <c r="F1290" s="47" t="inlineStr">
        <is>
          <t>KT</t>
        </is>
      </c>
      <c r="G1290" s="47" t="inlineStr">
        <is>
          <t>LTE</t>
        </is>
      </c>
      <c r="H1290" s="48" t="n">
        <v>39160</v>
      </c>
      <c r="I1290" s="48" t="n"/>
      <c r="J1290" s="48" t="n"/>
      <c r="K1290" s="47">
        <f t="array" ref="K1290">_xlfn.XLOOKUP(1,(참조!$B$2:$B$15=E1290)*(참조!$D$2:$D$15=C1290)*(참조!$E$2:$E$15=D1290),참조!$C$2:$C$15,"")</f>
        <v/>
      </c>
    </row>
    <row r="1291" hidden="1" s="27">
      <c r="A1291" s="47" t="inlineStr">
        <is>
          <t>고고모바일</t>
        </is>
      </c>
      <c r="B1291" s="47" t="inlineStr">
        <is>
          <t>무제한11GB+3M(네이버페이 매월 5000P)</t>
        </is>
      </c>
      <c r="C1291" s="47" t="inlineStr">
        <is>
          <t>무제한</t>
        </is>
      </c>
      <c r="D1291" s="47" t="inlineStr">
        <is>
          <t>무제한</t>
        </is>
      </c>
      <c r="E1291" s="47" t="inlineStr">
        <is>
          <t>월 11GB + 매일 2GB + 3Mbps</t>
        </is>
      </c>
      <c r="F1291" s="47" t="inlineStr">
        <is>
          <t>KT</t>
        </is>
      </c>
      <c r="G1291" s="47" t="inlineStr">
        <is>
          <t>LTE</t>
        </is>
      </c>
      <c r="H1291" s="48" t="n">
        <v>39160</v>
      </c>
      <c r="I1291" s="48" t="n"/>
      <c r="J1291" s="48" t="n"/>
      <c r="K1291" s="47">
        <f t="array" ref="K1291">_xlfn.XLOOKUP(1,(참조!$B$2:$B$15=E1291)*(참조!$D$2:$D$15=C1291)*(참조!$E$2:$E$15=D1291),참조!$C$2:$C$15,"")</f>
        <v/>
      </c>
    </row>
    <row r="1292" hidden="1" s="27">
      <c r="A1292" s="47" t="inlineStr">
        <is>
          <t>에이모바일</t>
        </is>
      </c>
      <c r="B1292" s="47" t="inlineStr">
        <is>
          <t>A 올라잇 매일 5GB+</t>
        </is>
      </c>
      <c r="C1292" s="47" t="inlineStr">
        <is>
          <t>무제한</t>
        </is>
      </c>
      <c r="D1292" s="47" t="inlineStr">
        <is>
          <t>무제한</t>
        </is>
      </c>
      <c r="E1292" s="47" t="inlineStr">
        <is>
          <t>매일 5GB + 5Mbps</t>
        </is>
      </c>
      <c r="F1292" s="47" t="inlineStr">
        <is>
          <t>KT</t>
        </is>
      </c>
      <c r="G1292" s="47" t="inlineStr">
        <is>
          <t>LTE</t>
        </is>
      </c>
      <c r="H1292" s="48" t="n">
        <v>11499</v>
      </c>
      <c r="I1292" s="48" t="n">
        <v>7</v>
      </c>
      <c r="J1292" s="48" t="n">
        <v>46200</v>
      </c>
      <c r="K1292" s="47">
        <f t="array" ref="K1292">_xlfn.XLOOKUP(1,(참조!$B$2:$B$15=E1292)*(참조!$D$2:$D$15=C1292)*(참조!$E$2:$E$15=D1292),참조!$C$2:$C$15,"")</f>
        <v/>
      </c>
    </row>
    <row r="1293" hidden="1" s="27">
      <c r="A1293" s="47" t="inlineStr">
        <is>
          <t>모빙</t>
        </is>
      </c>
      <c r="B1293" s="47" t="inlineStr">
        <is>
          <t>[S] 데이터 1GB</t>
        </is>
      </c>
      <c r="C1293" s="47" t="inlineStr">
        <is>
          <t>무제한</t>
        </is>
      </c>
      <c r="D1293" s="47" t="inlineStr">
        <is>
          <t>100건</t>
        </is>
      </c>
      <c r="E1293" s="47" t="inlineStr">
        <is>
          <t>월 1GB</t>
        </is>
      </c>
      <c r="F1293" s="47" t="inlineStr">
        <is>
          <t>SKT</t>
        </is>
      </c>
      <c r="G1293" s="47" t="inlineStr">
        <is>
          <t>LTE</t>
        </is>
      </c>
      <c r="H1293" s="48" t="n">
        <v>3300</v>
      </c>
      <c r="I1293" s="48" t="n">
        <v>24</v>
      </c>
      <c r="J1293" s="48" t="n">
        <v>13000</v>
      </c>
      <c r="K1293" s="47">
        <f t="array" ref="K1293">_xlfn.XLOOKUP(1,(참조!$B$2:$B$15=E1293)*(참조!$D$2:$D$15=C1293)*(참조!$E$2:$E$15=D1293),참조!$C$2:$C$15,"")</f>
        <v/>
      </c>
    </row>
    <row r="1294" hidden="1" s="27">
      <c r="A1294" s="47" t="inlineStr">
        <is>
          <t>고고모바일</t>
        </is>
      </c>
      <c r="B1294" s="47" t="inlineStr">
        <is>
          <t>[모요only] 무제한 10GB+1M(밀리의서재 Free)</t>
        </is>
      </c>
      <c r="C1294" s="47" t="inlineStr">
        <is>
          <t>무제한</t>
        </is>
      </c>
      <c r="D1294" s="47" t="inlineStr">
        <is>
          <t>무제한</t>
        </is>
      </c>
      <c r="E1294" s="47" t="inlineStr">
        <is>
          <t>월 10GB + 1Mbps</t>
        </is>
      </c>
      <c r="F1294" s="47" t="inlineStr">
        <is>
          <t>KT</t>
        </is>
      </c>
      <c r="G1294" s="47" t="inlineStr">
        <is>
          <t>LTE</t>
        </is>
      </c>
      <c r="H1294" s="48" t="n">
        <v>6000</v>
      </c>
      <c r="I1294" s="48" t="n">
        <v>7</v>
      </c>
      <c r="J1294" s="48" t="n">
        <v>24200</v>
      </c>
      <c r="K1294" s="47">
        <f t="array" ref="K1294">_xlfn.XLOOKUP(1,(참조!$B$2:$B$15=E1294)*(참조!$D$2:$D$15=C1294)*(참조!$E$2:$E$15=D1294),참조!$C$2:$C$15,"")</f>
        <v/>
      </c>
    </row>
    <row r="1295" hidden="1" s="27">
      <c r="A1295" s="47" t="inlineStr">
        <is>
          <t>에이모바일</t>
        </is>
      </c>
      <c r="B1295" s="47" t="inlineStr">
        <is>
          <t>A 갓성비 7GB/100분 6</t>
        </is>
      </c>
      <c r="C1295" s="47" t="inlineStr">
        <is>
          <t>100분</t>
        </is>
      </c>
      <c r="D1295" s="47" t="inlineStr">
        <is>
          <t>100건</t>
        </is>
      </c>
      <c r="E1295" s="47" t="inlineStr">
        <is>
          <t>월 7GB</t>
        </is>
      </c>
      <c r="F1295" s="47" t="inlineStr">
        <is>
          <t>LG U+</t>
        </is>
      </c>
      <c r="G1295" s="47" t="inlineStr">
        <is>
          <t>LTE</t>
        </is>
      </c>
      <c r="H1295" s="48" t="n">
        <v>330</v>
      </c>
      <c r="I1295" s="48" t="n">
        <v>6</v>
      </c>
      <c r="J1295" s="48" t="n">
        <v>10450</v>
      </c>
      <c r="K1295" s="47">
        <f t="array" ref="K1295">_xlfn.XLOOKUP(1,(참조!$B$2:$B$15=E1295)*(참조!$D$2:$D$15=C1295)*(참조!$E$2:$E$15=D1295),참조!$C$2:$C$15,"")</f>
        <v/>
      </c>
    </row>
    <row r="1296" hidden="1" s="27">
      <c r="A1296" s="47" t="inlineStr">
        <is>
          <t>모빙</t>
        </is>
      </c>
      <c r="B1296" s="47" t="inlineStr">
        <is>
          <t>[L] 5G 300분10GB</t>
        </is>
      </c>
      <c r="C1296" s="47" t="inlineStr">
        <is>
          <t>300분</t>
        </is>
      </c>
      <c r="D1296" s="47" t="inlineStr">
        <is>
          <t>100건</t>
        </is>
      </c>
      <c r="E1296" s="47" t="inlineStr">
        <is>
          <t>월 10GB</t>
        </is>
      </c>
      <c r="F1296" s="47" t="inlineStr">
        <is>
          <t>LG U+</t>
        </is>
      </c>
      <c r="G1296" s="47" t="inlineStr">
        <is>
          <t>5G</t>
        </is>
      </c>
      <c r="H1296" s="48" t="n">
        <v>6900</v>
      </c>
      <c r="I1296" s="48" t="n"/>
      <c r="J1296" s="48" t="n"/>
      <c r="K1296" s="47">
        <f t="array" ref="K1296">_xlfn.XLOOKUP(1,(참조!$B$2:$B$15=E1296)*(참조!$D$2:$D$15=C1296)*(참조!$E$2:$E$15=D1296),참조!$C$2:$C$15,"")</f>
        <v/>
      </c>
    </row>
    <row r="1297" hidden="1" s="27">
      <c r="A1297" s="47" t="inlineStr">
        <is>
          <t>모빙</t>
        </is>
      </c>
      <c r="B1297" s="47" t="inlineStr">
        <is>
          <t>[L] 5G 데이터 150GB+</t>
        </is>
      </c>
      <c r="C1297" s="47" t="inlineStr">
        <is>
          <t>무제한</t>
        </is>
      </c>
      <c r="D1297" s="47" t="inlineStr">
        <is>
          <t>무제한</t>
        </is>
      </c>
      <c r="E1297" s="47" t="inlineStr">
        <is>
          <t>월 150GB + 5Mbps</t>
        </is>
      </c>
      <c r="F1297" s="47" t="inlineStr">
        <is>
          <t>LG U+</t>
        </is>
      </c>
      <c r="G1297" s="47" t="inlineStr">
        <is>
          <t>5G</t>
        </is>
      </c>
      <c r="H1297" s="48" t="n">
        <v>13000</v>
      </c>
      <c r="I1297" s="48" t="n">
        <v>7</v>
      </c>
      <c r="J1297" s="48" t="n">
        <v>63800</v>
      </c>
      <c r="K1297" s="47">
        <f t="array" ref="K1297">_xlfn.XLOOKUP(1,(참조!$B$2:$B$15=E1297)*(참조!$D$2:$D$15=C1297)*(참조!$E$2:$E$15=D1297),참조!$C$2:$C$15,"")</f>
        <v/>
      </c>
    </row>
    <row r="1298" hidden="1" s="27">
      <c r="A1298" s="47" t="inlineStr">
        <is>
          <t>아이즈모바일</t>
        </is>
      </c>
      <c r="B1298" s="47" t="inlineStr">
        <is>
          <t>[K]무한100GB+ Npay</t>
        </is>
      </c>
      <c r="C1298" s="47" t="inlineStr">
        <is>
          <t>무제한</t>
        </is>
      </c>
      <c r="D1298" s="47" t="inlineStr">
        <is>
          <t>무제한</t>
        </is>
      </c>
      <c r="E1298" s="47" t="inlineStr">
        <is>
          <t>월 100GB + 5Mbps</t>
        </is>
      </c>
      <c r="F1298" s="47" t="inlineStr">
        <is>
          <t>KT</t>
        </is>
      </c>
      <c r="G1298" s="47" t="inlineStr">
        <is>
          <t>LTE</t>
        </is>
      </c>
      <c r="H1298" s="48" t="n">
        <v>9900</v>
      </c>
      <c r="I1298" s="48" t="n">
        <v>7</v>
      </c>
      <c r="J1298" s="48" t="n">
        <v>55000</v>
      </c>
      <c r="K1298" s="47">
        <f t="array" ref="K1298">_xlfn.XLOOKUP(1,(참조!$B$2:$B$15=E1298)*(참조!$D$2:$D$15=C1298)*(참조!$E$2:$E$15=D1298),참조!$C$2:$C$15,"")</f>
        <v/>
      </c>
    </row>
    <row r="1299" hidden="1" s="27">
      <c r="A1299" s="47" t="inlineStr">
        <is>
          <t>스마텔</t>
        </is>
      </c>
      <c r="B1299" s="47" t="inlineStr">
        <is>
          <t>CU 스위트 무제한 15GB+ (+10GB 24개월간 추가 제공)</t>
        </is>
      </c>
      <c r="C1299" s="47" t="inlineStr">
        <is>
          <t>무제한</t>
        </is>
      </c>
      <c r="D1299" s="47" t="inlineStr">
        <is>
          <t>무제한</t>
        </is>
      </c>
      <c r="E1299" s="47" t="inlineStr">
        <is>
          <t>월 15GB + 1Mbps</t>
        </is>
      </c>
      <c r="F1299" s="47" t="inlineStr">
        <is>
          <t>KT</t>
        </is>
      </c>
      <c r="G1299" s="47" t="inlineStr">
        <is>
          <t>LTE</t>
        </is>
      </c>
      <c r="H1299" s="48" t="n">
        <v>17000</v>
      </c>
      <c r="I1299" s="48" t="n">
        <v>7</v>
      </c>
      <c r="J1299" s="48" t="n">
        <v>30800</v>
      </c>
      <c r="K1299" s="47">
        <f t="array" ref="K1299">_xlfn.XLOOKUP(1,(참조!$B$2:$B$15=E1299)*(참조!$D$2:$D$15=C1299)*(참조!$E$2:$E$15=D1299),참조!$C$2:$C$15,"")</f>
        <v/>
      </c>
    </row>
    <row r="1300" hidden="1" s="27">
      <c r="A1300" s="47" t="inlineStr">
        <is>
          <t>스마텔</t>
        </is>
      </c>
      <c r="B1300" s="47" t="inlineStr">
        <is>
          <t>스위트3 15GB+(밀리의서재) (+10GB 24개월간 추가 제공)</t>
        </is>
      </c>
      <c r="C1300" s="47" t="inlineStr">
        <is>
          <t>무제한</t>
        </is>
      </c>
      <c r="D1300" s="47" t="inlineStr">
        <is>
          <t>무제한</t>
        </is>
      </c>
      <c r="E1300" s="47" t="inlineStr">
        <is>
          <t>월 15GB + 1Mbps</t>
        </is>
      </c>
      <c r="F1300" s="47" t="inlineStr">
        <is>
          <t>KT</t>
        </is>
      </c>
      <c r="G1300" s="47" t="inlineStr">
        <is>
          <t>LTE</t>
        </is>
      </c>
      <c r="H1300" s="48" t="n">
        <v>17000</v>
      </c>
      <c r="I1300" s="48" t="n">
        <v>7</v>
      </c>
      <c r="J1300" s="48" t="n">
        <v>30800</v>
      </c>
      <c r="K1300" s="47">
        <f t="array" ref="K1300">_xlfn.XLOOKUP(1,(참조!$B$2:$B$15=E1300)*(참조!$D$2:$D$15=C1300)*(참조!$E$2:$E$15=D1300),참조!$C$2:$C$15,"")</f>
        <v/>
      </c>
    </row>
    <row r="1301" hidden="1" s="27">
      <c r="A1301" s="47" t="inlineStr">
        <is>
          <t>고고모바일</t>
        </is>
      </c>
      <c r="B1301" s="47" t="inlineStr">
        <is>
          <t>[모요only] 5G 무제한 70GB+1Mbps</t>
        </is>
      </c>
      <c r="C1301" s="47" t="inlineStr">
        <is>
          <t>무제한</t>
        </is>
      </c>
      <c r="D1301" s="47" t="inlineStr">
        <is>
          <t>무제한</t>
        </is>
      </c>
      <c r="E1301" s="47" t="inlineStr">
        <is>
          <t>월 70GB + 1Mbps</t>
        </is>
      </c>
      <c r="F1301" s="47" t="inlineStr">
        <is>
          <t>KT</t>
        </is>
      </c>
      <c r="G1301" s="47" t="inlineStr">
        <is>
          <t>5G</t>
        </is>
      </c>
      <c r="H1301" s="48" t="n">
        <v>31000</v>
      </c>
      <c r="I1301" s="48" t="n">
        <v>12</v>
      </c>
      <c r="J1301" s="48" t="n">
        <v>42900</v>
      </c>
      <c r="K1301" s="47">
        <f t="array" ref="K1301">_xlfn.XLOOKUP(1,(참조!$B$2:$B$15=E1301)*(참조!$D$2:$D$15=C1301)*(참조!$E$2:$E$15=D1301),참조!$C$2:$C$15,"")</f>
        <v/>
      </c>
    </row>
    <row r="1302" hidden="1" s="27">
      <c r="A1302" s="47" t="inlineStr">
        <is>
          <t>아이즈모바일</t>
        </is>
      </c>
      <c r="B1302" s="47" t="inlineStr">
        <is>
          <t>세이브머니유심(100분/10GB+)</t>
        </is>
      </c>
      <c r="C1302" s="47" t="inlineStr">
        <is>
          <t>100분</t>
        </is>
      </c>
      <c r="D1302" s="47" t="inlineStr">
        <is>
          <t>100건</t>
        </is>
      </c>
      <c r="E1302" s="47" t="inlineStr">
        <is>
          <t>월 10GB + 1Mbps</t>
        </is>
      </c>
      <c r="F1302" s="47" t="inlineStr">
        <is>
          <t>LG U+</t>
        </is>
      </c>
      <c r="G1302" s="47" t="inlineStr">
        <is>
          <t>LTE</t>
        </is>
      </c>
      <c r="H1302" s="48" t="n">
        <v>5900</v>
      </c>
      <c r="I1302" s="48" t="n"/>
      <c r="J1302" s="48" t="n"/>
      <c r="K1302" s="47">
        <f t="array" ref="K1302">_xlfn.XLOOKUP(1,(참조!$B$2:$B$15=E1302)*(참조!$D$2:$D$15=C1302)*(참조!$E$2:$E$15=D1302),참조!$C$2:$C$15,"")</f>
        <v/>
      </c>
    </row>
    <row r="1303" hidden="1" s="27">
      <c r="A1303" s="47" t="inlineStr">
        <is>
          <t>티플러스</t>
        </is>
      </c>
      <c r="B1303" s="47" t="inlineStr">
        <is>
          <t>티플 드림(2GB/200분)</t>
        </is>
      </c>
      <c r="C1303" s="47" t="inlineStr">
        <is>
          <t>200분</t>
        </is>
      </c>
      <c r="D1303" s="47" t="inlineStr">
        <is>
          <t>200건</t>
        </is>
      </c>
      <c r="E1303" s="47" t="inlineStr">
        <is>
          <t>월 2GB</t>
        </is>
      </c>
      <c r="F1303" s="47" t="inlineStr">
        <is>
          <t>SKT</t>
        </is>
      </c>
      <c r="G1303" s="47" t="inlineStr">
        <is>
          <t>LTE</t>
        </is>
      </c>
      <c r="H1303" s="48" t="n">
        <v>6600</v>
      </c>
      <c r="I1303" s="48" t="n"/>
      <c r="J1303" s="48" t="n"/>
      <c r="K1303" s="47">
        <f t="array" ref="K1303">_xlfn.XLOOKUP(1,(참조!$B$2:$B$15=E1303)*(참조!$D$2:$D$15=C1303)*(참조!$E$2:$E$15=D1303),참조!$C$2:$C$15,"")</f>
        <v/>
      </c>
    </row>
    <row r="1304" hidden="1" s="27">
      <c r="A1304" s="47" t="inlineStr">
        <is>
          <t>시월모바일</t>
        </is>
      </c>
      <c r="B1304" s="47" t="inlineStr">
        <is>
          <t>쿠폰팩 통화기본7GB+</t>
        </is>
      </c>
      <c r="C1304" s="47" t="inlineStr">
        <is>
          <t>무제한</t>
        </is>
      </c>
      <c r="D1304" s="47" t="inlineStr">
        <is>
          <t>무제한</t>
        </is>
      </c>
      <c r="E1304" s="47" t="inlineStr">
        <is>
          <t>월 7GB + 1Mbps</t>
        </is>
      </c>
      <c r="F1304" s="47" t="inlineStr">
        <is>
          <t>LG U+</t>
        </is>
      </c>
      <c r="G1304" s="47" t="inlineStr">
        <is>
          <t>LTE</t>
        </is>
      </c>
      <c r="H1304" s="48" t="n">
        <v>9910</v>
      </c>
      <c r="I1304" s="48" t="n">
        <v>7</v>
      </c>
      <c r="J1304" s="48" t="n">
        <v>22010</v>
      </c>
      <c r="K1304" s="47">
        <f t="array" ref="K1304">_xlfn.XLOOKUP(1,(참조!$B$2:$B$15=E1304)*(참조!$D$2:$D$15=C1304)*(참조!$E$2:$E$15=D1304),참조!$C$2:$C$15,"")</f>
        <v/>
      </c>
    </row>
    <row r="1305" hidden="1" s="27">
      <c r="A1305" s="47" t="inlineStr">
        <is>
          <t>스마텔</t>
        </is>
      </c>
      <c r="B1305" s="47" t="inlineStr">
        <is>
          <t>5G 스마트 95GB+</t>
        </is>
      </c>
      <c r="C1305" s="47" t="inlineStr">
        <is>
          <t>무제한</t>
        </is>
      </c>
      <c r="D1305" s="47" t="inlineStr">
        <is>
          <t>무제한</t>
        </is>
      </c>
      <c r="E1305" s="47" t="inlineStr">
        <is>
          <t>월 95GB + 3Mbps</t>
        </is>
      </c>
      <c r="F1305" s="47" t="inlineStr">
        <is>
          <t>LG U+</t>
        </is>
      </c>
      <c r="G1305" s="47" t="inlineStr">
        <is>
          <t>5G</t>
        </is>
      </c>
      <c r="H1305" s="48" t="n">
        <v>21700</v>
      </c>
      <c r="I1305" s="48" t="n">
        <v>7</v>
      </c>
      <c r="J1305" s="48" t="n">
        <v>49500</v>
      </c>
      <c r="K1305" s="47">
        <f t="array" ref="K1305">_xlfn.XLOOKUP(1,(참조!$B$2:$B$15=E1305)*(참조!$D$2:$D$15=C1305)*(참조!$E$2:$E$15=D1305),참조!$C$2:$C$15,"")</f>
        <v/>
      </c>
    </row>
    <row r="1306" hidden="1" s="27">
      <c r="A1306" s="47" t="inlineStr">
        <is>
          <t>이야기모바일</t>
        </is>
      </c>
      <c r="B1306" s="47" t="inlineStr">
        <is>
          <t>이야기 라이트S 300분 15GB+</t>
        </is>
      </c>
      <c r="C1306" s="47" t="inlineStr">
        <is>
          <t>300분</t>
        </is>
      </c>
      <c r="D1306" s="47" t="inlineStr">
        <is>
          <t>300건</t>
        </is>
      </c>
      <c r="E1306" s="47" t="inlineStr">
        <is>
          <t>월 15GB + 1Mbps</t>
        </is>
      </c>
      <c r="F1306" s="47" t="inlineStr">
        <is>
          <t>SKT</t>
        </is>
      </c>
      <c r="G1306" s="47" t="inlineStr">
        <is>
          <t>LTE</t>
        </is>
      </c>
      <c r="H1306" s="48" t="n">
        <v>29150</v>
      </c>
      <c r="I1306" s="48" t="n"/>
      <c r="J1306" s="48" t="n"/>
      <c r="K1306" s="47">
        <f t="array" ref="K1306">_xlfn.XLOOKUP(1,(참조!$B$2:$B$15=E1306)*(참조!$D$2:$D$15=C1306)*(참조!$E$2:$E$15=D1306),참조!$C$2:$C$15,"")</f>
        <v/>
      </c>
    </row>
    <row r="1307" hidden="1" s="27">
      <c r="A1307" s="47" t="inlineStr">
        <is>
          <t>티플러스</t>
        </is>
      </c>
      <c r="B1307" s="47" t="inlineStr">
        <is>
          <t>티플 7G＋(CU 20%할인 ＋ 올리브영 5,000원 상품권)</t>
        </is>
      </c>
      <c r="C1307" s="47" t="inlineStr">
        <is>
          <t>무제한</t>
        </is>
      </c>
      <c r="D1307" s="47" t="inlineStr">
        <is>
          <t>무제한</t>
        </is>
      </c>
      <c r="E1307" s="47" t="inlineStr">
        <is>
          <t>월 7GB + 1Mbps</t>
        </is>
      </c>
      <c r="F1307" s="47" t="inlineStr">
        <is>
          <t>KT</t>
        </is>
      </c>
      <c r="G1307" s="47" t="inlineStr">
        <is>
          <t>LTE</t>
        </is>
      </c>
      <c r="H1307" s="48" t="n">
        <v>7900</v>
      </c>
      <c r="I1307" s="48" t="n">
        <v>7</v>
      </c>
      <c r="J1307" s="48" t="n">
        <v>29700</v>
      </c>
      <c r="K1307" s="47">
        <f t="array" ref="K1307">_xlfn.XLOOKUP(1,(참조!$B$2:$B$15=E1307)*(참조!$D$2:$D$15=C1307)*(참조!$E$2:$E$15=D1307),참조!$C$2:$C$15,"")</f>
        <v/>
      </c>
    </row>
    <row r="1308" hidden="1" s="27">
      <c r="A1308" s="47" t="inlineStr">
        <is>
          <t>모빙</t>
        </is>
      </c>
      <c r="B1308" s="47" t="inlineStr">
        <is>
          <t>[L] 5G 데이터 95GB+_2y_plus</t>
        </is>
      </c>
      <c r="C1308" s="47" t="inlineStr">
        <is>
          <t>무제한</t>
        </is>
      </c>
      <c r="D1308" s="47" t="inlineStr">
        <is>
          <t>무제한</t>
        </is>
      </c>
      <c r="E1308" s="47" t="inlineStr">
        <is>
          <t>월 95GB + 3Mbps</t>
        </is>
      </c>
      <c r="F1308" s="47" t="inlineStr">
        <is>
          <t>LG U+</t>
        </is>
      </c>
      <c r="G1308" s="47" t="inlineStr">
        <is>
          <t>5G</t>
        </is>
      </c>
      <c r="H1308" s="48" t="n">
        <v>28500</v>
      </c>
      <c r="I1308" s="48" t="n">
        <v>24</v>
      </c>
      <c r="J1308" s="48" t="n">
        <v>55300</v>
      </c>
      <c r="K1308" s="47">
        <f t="array" ref="K1308">_xlfn.XLOOKUP(1,(참조!$B$2:$B$15=E1308)*(참조!$D$2:$D$15=C1308)*(참조!$E$2:$E$15=D1308),참조!$C$2:$C$15,"")</f>
        <v/>
      </c>
    </row>
    <row r="1309" hidden="1" s="27">
      <c r="A1309" s="47" t="inlineStr">
        <is>
          <t>에이모바일</t>
        </is>
      </c>
      <c r="B1309" s="47" t="inlineStr">
        <is>
          <t>A 올라잇 11GB+ 네이버페이</t>
        </is>
      </c>
      <c r="C1309" s="47" t="inlineStr">
        <is>
          <t>무제한</t>
        </is>
      </c>
      <c r="D1309" s="47" t="inlineStr">
        <is>
          <t>무제한</t>
        </is>
      </c>
      <c r="E1309" s="47" t="inlineStr">
        <is>
          <t>월 11GB + 매일 2GB + 3Mbps</t>
        </is>
      </c>
      <c r="F1309" s="47" t="inlineStr">
        <is>
          <t>KT</t>
        </is>
      </c>
      <c r="G1309" s="47" t="inlineStr">
        <is>
          <t>LTE</t>
        </is>
      </c>
      <c r="H1309" s="48" t="n">
        <v>11900</v>
      </c>
      <c r="I1309" s="48" t="n">
        <v>7</v>
      </c>
      <c r="J1309" s="48" t="n">
        <v>42900</v>
      </c>
      <c r="K1309" s="47">
        <f t="array" ref="K1309">_xlfn.XLOOKUP(1,(참조!$B$2:$B$15=E1309)*(참조!$D$2:$D$15=C1309)*(참조!$E$2:$E$15=D1309),참조!$C$2:$C$15,"")</f>
        <v/>
      </c>
    </row>
    <row r="1310" hidden="1" s="27">
      <c r="A1310" s="47" t="inlineStr">
        <is>
          <t>모빙</t>
        </is>
      </c>
      <c r="B1310" s="47" t="inlineStr">
        <is>
          <t>[S] 데이터 10GB</t>
        </is>
      </c>
      <c r="C1310" s="47" t="inlineStr">
        <is>
          <t>무제한</t>
        </is>
      </c>
      <c r="D1310" s="47" t="inlineStr">
        <is>
          <t>200건</t>
        </is>
      </c>
      <c r="E1310" s="47" t="inlineStr">
        <is>
          <t>월 10GB</t>
        </is>
      </c>
      <c r="F1310" s="47" t="inlineStr">
        <is>
          <t>SKT</t>
        </is>
      </c>
      <c r="G1310" s="47" t="inlineStr">
        <is>
          <t>LTE</t>
        </is>
      </c>
      <c r="H1310" s="48" t="n">
        <v>10</v>
      </c>
      <c r="I1310" s="48" t="n">
        <v>7</v>
      </c>
      <c r="J1310" s="48" t="n">
        <v>26400</v>
      </c>
      <c r="K1310" s="47">
        <f t="array" ref="K1310">_xlfn.XLOOKUP(1,(참조!$B$2:$B$15=E1310)*(참조!$D$2:$D$15=C1310)*(참조!$E$2:$E$15=D1310),참조!$C$2:$C$15,"")</f>
        <v/>
      </c>
    </row>
    <row r="1311" hidden="1" s="27">
      <c r="A1311" s="47" t="inlineStr">
        <is>
          <t>스마텔</t>
        </is>
      </c>
      <c r="B1311" s="47" t="inlineStr">
        <is>
          <t>USIM스마트 심플(200분+4GB)</t>
        </is>
      </c>
      <c r="C1311" s="47" t="inlineStr">
        <is>
          <t>200분</t>
        </is>
      </c>
      <c r="D1311" s="47" t="inlineStr">
        <is>
          <t>100건</t>
        </is>
      </c>
      <c r="E1311" s="47" t="inlineStr">
        <is>
          <t>월 4GB</t>
        </is>
      </c>
      <c r="F1311" s="47" t="inlineStr">
        <is>
          <t>LG U+</t>
        </is>
      </c>
      <c r="G1311" s="47" t="inlineStr">
        <is>
          <t>LTE</t>
        </is>
      </c>
      <c r="H1311" s="48" t="n">
        <v>4500</v>
      </c>
      <c r="I1311" s="48" t="n">
        <v>12</v>
      </c>
      <c r="J1311" s="48" t="n">
        <v>14000</v>
      </c>
      <c r="K1311" s="47">
        <f t="array" ref="K1311">_xlfn.XLOOKUP(1,(참조!$B$2:$B$15=E1311)*(참조!$D$2:$D$15=C1311)*(참조!$E$2:$E$15=D1311),참조!$C$2:$C$15,"")</f>
        <v/>
      </c>
    </row>
    <row r="1312" hidden="1" s="27">
      <c r="A1312" s="47" t="inlineStr">
        <is>
          <t>모빙</t>
        </is>
      </c>
      <c r="B1312" s="47" t="inlineStr">
        <is>
          <t>[K] 페이포인트 11GB+</t>
        </is>
      </c>
      <c r="C1312" s="47" t="inlineStr">
        <is>
          <t>무제한</t>
        </is>
      </c>
      <c r="D1312" s="47" t="inlineStr">
        <is>
          <t>무제한</t>
        </is>
      </c>
      <c r="E1312" s="47" t="inlineStr">
        <is>
          <t>월 11GB + 매일 2GB + 3Mbps</t>
        </is>
      </c>
      <c r="F1312" s="47" t="inlineStr">
        <is>
          <t>KT</t>
        </is>
      </c>
      <c r="G1312" s="47" t="inlineStr">
        <is>
          <t>LTE</t>
        </is>
      </c>
      <c r="H1312" s="48" t="n">
        <v>28490</v>
      </c>
      <c r="I1312" s="48" t="n">
        <v>24</v>
      </c>
      <c r="J1312" s="48" t="n">
        <v>52800</v>
      </c>
      <c r="K1312" s="47">
        <f t="array" ref="K1312">_xlfn.XLOOKUP(1,(참조!$B$2:$B$15=E1312)*(참조!$D$2:$D$15=C1312)*(참조!$E$2:$E$15=D1312),참조!$C$2:$C$15,"")</f>
        <v/>
      </c>
    </row>
    <row r="1313" hidden="1" s="27">
      <c r="A1313" s="47" t="inlineStr">
        <is>
          <t>아이즈모바일</t>
        </is>
      </c>
      <c r="B1313" s="47" t="inlineStr">
        <is>
          <t>[L]아이즈11GB+일2GB</t>
        </is>
      </c>
      <c r="C1313" s="47" t="inlineStr">
        <is>
          <t>무제한</t>
        </is>
      </c>
      <c r="D1313" s="47" t="inlineStr">
        <is>
          <t>무제한</t>
        </is>
      </c>
      <c r="E1313" s="47" t="inlineStr">
        <is>
          <t>월 11GB + 매일 2GB + 3Mbps</t>
        </is>
      </c>
      <c r="F1313" s="47" t="inlineStr">
        <is>
          <t>LG U+</t>
        </is>
      </c>
      <c r="G1313" s="47" t="inlineStr">
        <is>
          <t>LTE</t>
        </is>
      </c>
      <c r="H1313" s="48" t="n">
        <v>8300</v>
      </c>
      <c r="I1313" s="48" t="n">
        <v>7</v>
      </c>
      <c r="J1313" s="48" t="n">
        <v>48400</v>
      </c>
      <c r="K1313" s="47">
        <f t="array" ref="K1313">_xlfn.XLOOKUP(1,(참조!$B$2:$B$15=E1313)*(참조!$D$2:$D$15=C1313)*(참조!$E$2:$E$15=D1313),참조!$C$2:$C$15,"")</f>
        <v/>
      </c>
    </row>
    <row r="1314" hidden="1" s="27">
      <c r="A1314" s="47" t="inlineStr">
        <is>
          <t>이야기모바일</t>
        </is>
      </c>
      <c r="B1314" s="47" t="inlineStr">
        <is>
          <t>내맘대로 차단형 (100분+0MB)</t>
        </is>
      </c>
      <c r="C1314" s="47" t="inlineStr">
        <is>
          <t>100분</t>
        </is>
      </c>
      <c r="D1314" s="47" t="inlineStr">
        <is>
          <t>50건</t>
        </is>
      </c>
      <c r="E1314" s="47" t="inlineStr">
        <is>
          <t>데이터 제공안함</t>
        </is>
      </c>
      <c r="F1314" s="47" t="inlineStr">
        <is>
          <t>LG U+</t>
        </is>
      </c>
      <c r="G1314" s="47" t="inlineStr">
        <is>
          <t>LTE</t>
        </is>
      </c>
      <c r="H1314" s="48" t="n">
        <v>4750</v>
      </c>
      <c r="I1314" s="48" t="n"/>
      <c r="J1314" s="48" t="n"/>
      <c r="K1314" s="47">
        <f t="array" ref="K1314">_xlfn.XLOOKUP(1,(참조!$B$2:$B$15=E1314)*(참조!$D$2:$D$15=C1314)*(참조!$E$2:$E$15=D1314),참조!$C$2:$C$15,"")</f>
        <v/>
      </c>
    </row>
    <row r="1315" hidden="1" s="27">
      <c r="A1315" s="47" t="inlineStr">
        <is>
          <t>이야기모바일</t>
        </is>
      </c>
      <c r="B1315" s="47" t="inlineStr">
        <is>
          <t>이야기 완전 무제한 7GB+</t>
        </is>
      </c>
      <c r="C1315" s="47" t="inlineStr">
        <is>
          <t>무제한</t>
        </is>
      </c>
      <c r="D1315" s="47" t="inlineStr">
        <is>
          <t>무제한</t>
        </is>
      </c>
      <c r="E1315" s="47" t="inlineStr">
        <is>
          <t>월 7GB + 1Mbps</t>
        </is>
      </c>
      <c r="F1315" s="47" t="inlineStr">
        <is>
          <t>SKT</t>
        </is>
      </c>
      <c r="G1315" s="47" t="inlineStr">
        <is>
          <t>LTE</t>
        </is>
      </c>
      <c r="H1315" s="48" t="n">
        <v>14300</v>
      </c>
      <c r="I1315" s="48" t="n">
        <v>12</v>
      </c>
      <c r="J1315" s="48" t="n">
        <v>24200</v>
      </c>
      <c r="K1315" s="47">
        <f t="array" ref="K1315">_xlfn.XLOOKUP(1,(참조!$B$2:$B$15=E1315)*(참조!$D$2:$D$15=C1315)*(참조!$E$2:$E$15=D1315),참조!$C$2:$C$15,"")</f>
        <v/>
      </c>
    </row>
    <row r="1316" hidden="1" s="27">
      <c r="A1316" s="47" t="inlineStr">
        <is>
          <t>위너스텔</t>
        </is>
      </c>
      <c r="B1316" s="47" t="inlineStr">
        <is>
          <t>5G 가성비</t>
        </is>
      </c>
      <c r="C1316" s="47" t="inlineStr">
        <is>
          <t>50분</t>
        </is>
      </c>
      <c r="D1316" s="47" t="inlineStr">
        <is>
          <t>50건</t>
        </is>
      </c>
      <c r="E1316" s="47" t="inlineStr">
        <is>
          <t>월 2GB</t>
        </is>
      </c>
      <c r="F1316" s="47" t="inlineStr">
        <is>
          <t>KT</t>
        </is>
      </c>
      <c r="G1316" s="47" t="inlineStr">
        <is>
          <t>5G</t>
        </is>
      </c>
      <c r="H1316" s="48" t="n">
        <v>7700</v>
      </c>
      <c r="I1316" s="48" t="n"/>
      <c r="J1316" s="48" t="n"/>
      <c r="K1316" s="47">
        <f t="array" ref="K1316">_xlfn.XLOOKUP(1,(참조!$B$2:$B$15=E1316)*(참조!$D$2:$D$15=C1316)*(참조!$E$2:$E$15=D1316),참조!$C$2:$C$15,"")</f>
        <v/>
      </c>
    </row>
    <row r="1317" hidden="1" s="27">
      <c r="A1317" s="47" t="inlineStr">
        <is>
          <t>위너스텔</t>
        </is>
      </c>
      <c r="B1317" s="47" t="inlineStr">
        <is>
          <t>조은 88</t>
        </is>
      </c>
      <c r="C1317" s="47" t="inlineStr">
        <is>
          <t>120분</t>
        </is>
      </c>
      <c r="D1317" s="47" t="inlineStr">
        <is>
          <t>120건</t>
        </is>
      </c>
      <c r="E1317" s="47" t="inlineStr">
        <is>
          <t>월 1GB</t>
        </is>
      </c>
      <c r="F1317" s="47" t="inlineStr">
        <is>
          <t>KT</t>
        </is>
      </c>
      <c r="G1317" s="47" t="inlineStr">
        <is>
          <t>LTE</t>
        </is>
      </c>
      <c r="H1317" s="48" t="n">
        <v>7700</v>
      </c>
      <c r="I1317" s="48" t="n"/>
      <c r="J1317" s="48" t="n"/>
      <c r="K1317" s="47">
        <f t="array" ref="K1317">_xlfn.XLOOKUP(1,(참조!$B$2:$B$15=E1317)*(참조!$D$2:$D$15=C1317)*(참조!$E$2:$E$15=D1317),참조!$C$2:$C$15,"")</f>
        <v/>
      </c>
    </row>
    <row r="1318" hidden="1" s="27">
      <c r="A1318" s="47" t="inlineStr">
        <is>
          <t>아이즈모바일</t>
        </is>
      </c>
      <c r="B1318" s="47" t="inlineStr">
        <is>
          <t>[L]무한15GB+1Mbps</t>
        </is>
      </c>
      <c r="C1318" s="47" t="inlineStr">
        <is>
          <t>무제한</t>
        </is>
      </c>
      <c r="D1318" s="47" t="inlineStr">
        <is>
          <t>무제한</t>
        </is>
      </c>
      <c r="E1318" s="47" t="inlineStr">
        <is>
          <t>월 15GB + 1Mbps</t>
        </is>
      </c>
      <c r="F1318" s="47" t="inlineStr">
        <is>
          <t>LG U+</t>
        </is>
      </c>
      <c r="G1318" s="47" t="inlineStr">
        <is>
          <t>LTE</t>
        </is>
      </c>
      <c r="H1318" s="48" t="n">
        <v>19000</v>
      </c>
      <c r="I1318" s="48" t="n"/>
      <c r="J1318" s="48" t="n"/>
      <c r="K1318" s="47">
        <f t="array" ref="K1318">_xlfn.XLOOKUP(1,(참조!$B$2:$B$15=E1318)*(참조!$D$2:$D$15=C1318)*(참조!$E$2:$E$15=D1318),참조!$C$2:$C$15,"")</f>
        <v/>
      </c>
    </row>
    <row r="1319" hidden="1" s="27">
      <c r="A1319" s="47" t="inlineStr">
        <is>
          <t>이야기모바일</t>
        </is>
      </c>
      <c r="B1319" s="47" t="inlineStr">
        <is>
          <t>이야기K 데이터 11GB+(N Pay 5000P)</t>
        </is>
      </c>
      <c r="C1319" s="47" t="inlineStr">
        <is>
          <t>무제한</t>
        </is>
      </c>
      <c r="D1319" s="47" t="inlineStr">
        <is>
          <t>무제한</t>
        </is>
      </c>
      <c r="E1319" s="47" t="inlineStr">
        <is>
          <t>월 11GB + 매일 2GB + 3Mbps</t>
        </is>
      </c>
      <c r="F1319" s="47" t="inlineStr">
        <is>
          <t>KT</t>
        </is>
      </c>
      <c r="G1319" s="47" t="inlineStr">
        <is>
          <t>LTE</t>
        </is>
      </c>
      <c r="H1319" s="48" t="n">
        <v>22000</v>
      </c>
      <c r="I1319" s="48" t="n">
        <v>7</v>
      </c>
      <c r="J1319" s="48" t="n">
        <v>40300</v>
      </c>
      <c r="K1319" s="47">
        <f t="array" ref="K1319">_xlfn.XLOOKUP(1,(참조!$B$2:$B$15=E1319)*(참조!$D$2:$D$15=C1319)*(참조!$E$2:$E$15=D1319),참조!$C$2:$C$15,"")</f>
        <v/>
      </c>
    </row>
    <row r="1320" hidden="1" s="27">
      <c r="A1320" s="47" t="inlineStr">
        <is>
          <t>아이즈모바일</t>
        </is>
      </c>
      <c r="B1320" s="47" t="inlineStr">
        <is>
          <t>아이즈 (10GB/200분)</t>
        </is>
      </c>
      <c r="C1320" s="47" t="inlineStr">
        <is>
          <t>200분</t>
        </is>
      </c>
      <c r="D1320" s="47" t="inlineStr">
        <is>
          <t>200건</t>
        </is>
      </c>
      <c r="E1320" s="47" t="inlineStr">
        <is>
          <t>월 10GB</t>
        </is>
      </c>
      <c r="F1320" s="47" t="inlineStr">
        <is>
          <t>SKT</t>
        </is>
      </c>
      <c r="G1320" s="47" t="inlineStr">
        <is>
          <t>LTE</t>
        </is>
      </c>
      <c r="H1320" s="48" t="n">
        <v>100</v>
      </c>
      <c r="I1320" s="48" t="n">
        <v>7</v>
      </c>
      <c r="J1320" s="48" t="n">
        <v>22900</v>
      </c>
      <c r="K1320" s="47">
        <f t="array" ref="K1320">_xlfn.XLOOKUP(1,(참조!$B$2:$B$15=E1320)*(참조!$D$2:$D$15=C1320)*(참조!$E$2:$E$15=D1320),참조!$C$2:$C$15,"")</f>
        <v/>
      </c>
    </row>
    <row r="1321" hidden="1" s="27">
      <c r="A1321" s="47" t="inlineStr">
        <is>
          <t>이야기모바일</t>
        </is>
      </c>
      <c r="B1321" s="47" t="inlineStr">
        <is>
          <t>이야기 K 데이터 11GB+(다이소 5000P)</t>
        </is>
      </c>
      <c r="C1321" s="47" t="inlineStr">
        <is>
          <t>무제한</t>
        </is>
      </c>
      <c r="D1321" s="47" t="inlineStr">
        <is>
          <t>무제한</t>
        </is>
      </c>
      <c r="E1321" s="47" t="inlineStr">
        <is>
          <t>월 11GB + 매일 2GB + 3Mbps</t>
        </is>
      </c>
      <c r="F1321" s="47" t="inlineStr">
        <is>
          <t>KT</t>
        </is>
      </c>
      <c r="G1321" s="47" t="inlineStr">
        <is>
          <t>LTE</t>
        </is>
      </c>
      <c r="H1321" s="48" t="n">
        <v>22000</v>
      </c>
      <c r="I1321" s="48" t="n">
        <v>7</v>
      </c>
      <c r="J1321" s="48" t="n">
        <v>40590</v>
      </c>
      <c r="K1321" s="47">
        <f t="array" ref="K1321">_xlfn.XLOOKUP(1,(참조!$B$2:$B$15=E1321)*(참조!$D$2:$D$15=C1321)*(참조!$E$2:$E$15=D1321),참조!$C$2:$C$15,"")</f>
        <v/>
      </c>
    </row>
    <row r="1322" hidden="1" s="27">
      <c r="A1322" s="47" t="inlineStr">
        <is>
          <t>이야기모바일</t>
        </is>
      </c>
      <c r="B1322" s="47" t="inlineStr">
        <is>
          <t>이야기K 데이터 11GB+(배달의 민족 5000P)</t>
        </is>
      </c>
      <c r="C1322" s="47" t="inlineStr">
        <is>
          <t>무제한</t>
        </is>
      </c>
      <c r="D1322" s="47" t="inlineStr">
        <is>
          <t>무제한</t>
        </is>
      </c>
      <c r="E1322" s="47" t="inlineStr">
        <is>
          <t>월 11GB + 매일 2GB + 3Mbps</t>
        </is>
      </c>
      <c r="F1322" s="47" t="inlineStr">
        <is>
          <t>KT</t>
        </is>
      </c>
      <c r="G1322" s="47" t="inlineStr">
        <is>
          <t>LTE</t>
        </is>
      </c>
      <c r="H1322" s="48" t="n">
        <v>22000</v>
      </c>
      <c r="I1322" s="48" t="n">
        <v>7</v>
      </c>
      <c r="J1322" s="48" t="n">
        <v>40700</v>
      </c>
      <c r="K1322" s="47">
        <f t="array" ref="K1322">_xlfn.XLOOKUP(1,(참조!$B$2:$B$15=E1322)*(참조!$D$2:$D$15=C1322)*(참조!$E$2:$E$15=D1322),참조!$C$2:$C$15,"")</f>
        <v/>
      </c>
    </row>
    <row r="1323" hidden="1" s="27">
      <c r="A1323" s="47" t="inlineStr">
        <is>
          <t>스마텔</t>
        </is>
      </c>
      <c r="B1323" s="47" t="inlineStr">
        <is>
          <t>스위트 100분 15GB+(밀리의서재)</t>
        </is>
      </c>
      <c r="C1323" s="47" t="inlineStr">
        <is>
          <t>100분</t>
        </is>
      </c>
      <c r="D1323" s="47" t="inlineStr">
        <is>
          <t>100건</t>
        </is>
      </c>
      <c r="E1323" s="47" t="inlineStr">
        <is>
          <t>월 15GB + 3Mbps</t>
        </is>
      </c>
      <c r="F1323" s="47" t="inlineStr">
        <is>
          <t>KT</t>
        </is>
      </c>
      <c r="G1323" s="47" t="inlineStr">
        <is>
          <t>LTE</t>
        </is>
      </c>
      <c r="H1323" s="48" t="n">
        <v>18000</v>
      </c>
      <c r="I1323" s="48" t="n">
        <v>7</v>
      </c>
      <c r="J1323" s="48" t="n">
        <v>33000</v>
      </c>
      <c r="K1323" s="47">
        <f t="array" ref="K1323">_xlfn.XLOOKUP(1,(참조!$B$2:$B$15=E1323)*(참조!$D$2:$D$15=C1323)*(참조!$E$2:$E$15=D1323),참조!$C$2:$C$15,"")</f>
        <v/>
      </c>
    </row>
    <row r="1324" hidden="1" s="27">
      <c r="A1324" s="47" t="inlineStr">
        <is>
          <t>이야기모바일</t>
        </is>
      </c>
      <c r="B1324" s="47" t="inlineStr">
        <is>
          <t>이야기K 데이터 11GB+(멜론)</t>
        </is>
      </c>
      <c r="C1324" s="47" t="inlineStr">
        <is>
          <t>무제한</t>
        </is>
      </c>
      <c r="D1324" s="47" t="inlineStr">
        <is>
          <t>무제한</t>
        </is>
      </c>
      <c r="E1324" s="47" t="inlineStr">
        <is>
          <t>월 11GB + 매일 2GB + 3Mbps</t>
        </is>
      </c>
      <c r="F1324" s="47" t="inlineStr">
        <is>
          <t>KT</t>
        </is>
      </c>
      <c r="G1324" s="47" t="inlineStr">
        <is>
          <t>LTE</t>
        </is>
      </c>
      <c r="H1324" s="48" t="n">
        <v>22000</v>
      </c>
      <c r="I1324" s="48" t="n">
        <v>7</v>
      </c>
      <c r="J1324" s="48" t="n">
        <v>40590</v>
      </c>
      <c r="K1324" s="47">
        <f t="array" ref="K1324">_xlfn.XLOOKUP(1,(참조!$B$2:$B$15=E1324)*(참조!$D$2:$D$15=C1324)*(참조!$E$2:$E$15=D1324),참조!$C$2:$C$15,"")</f>
        <v/>
      </c>
    </row>
    <row r="1325" hidden="1" s="27">
      <c r="A1325" s="47" t="inlineStr">
        <is>
          <t>스마텔</t>
        </is>
      </c>
      <c r="B1325" s="47" t="inlineStr">
        <is>
          <t>스위트 15GB+(지니뮤직)</t>
        </is>
      </c>
      <c r="C1325" s="47" t="inlineStr">
        <is>
          <t>100분</t>
        </is>
      </c>
      <c r="D1325" s="47" t="inlineStr">
        <is>
          <t>100건</t>
        </is>
      </c>
      <c r="E1325" s="47" t="inlineStr">
        <is>
          <t>월 15GB + 3Mbps</t>
        </is>
      </c>
      <c r="F1325" s="47" t="inlineStr">
        <is>
          <t>KT</t>
        </is>
      </c>
      <c r="G1325" s="47" t="inlineStr">
        <is>
          <t>LTE</t>
        </is>
      </c>
      <c r="H1325" s="48" t="n">
        <v>30800</v>
      </c>
      <c r="I1325" s="48" t="n">
        <v>36</v>
      </c>
      <c r="J1325" s="48" t="n">
        <v>36300</v>
      </c>
      <c r="K1325" s="47">
        <f t="array" ref="K1325">_xlfn.XLOOKUP(1,(참조!$B$2:$B$15=E1325)*(참조!$D$2:$D$15=C1325)*(참조!$E$2:$E$15=D1325),참조!$C$2:$C$15,"")</f>
        <v/>
      </c>
    </row>
    <row r="1326" hidden="1" s="27">
      <c r="A1326" s="47" t="inlineStr">
        <is>
          <t>티플러스</t>
        </is>
      </c>
      <c r="B1326" s="47" t="inlineStr">
        <is>
          <t>티플 위드유 10GB＋(G car)</t>
        </is>
      </c>
      <c r="C1326" s="47" t="inlineStr">
        <is>
          <t>무제한</t>
        </is>
      </c>
      <c r="D1326" s="47" t="inlineStr">
        <is>
          <t>무제한</t>
        </is>
      </c>
      <c r="E1326" s="47" t="inlineStr">
        <is>
          <t>월 10GB + 1Mbps</t>
        </is>
      </c>
      <c r="F1326" s="47" t="inlineStr">
        <is>
          <t>SKT</t>
        </is>
      </c>
      <c r="G1326" s="47" t="inlineStr">
        <is>
          <t>LTE</t>
        </is>
      </c>
      <c r="H1326" s="48" t="n">
        <v>4900</v>
      </c>
      <c r="I1326" s="48" t="n">
        <v>7</v>
      </c>
      <c r="J1326" s="48" t="n">
        <v>29700</v>
      </c>
      <c r="K1326" s="47">
        <f t="array" ref="K1326">_xlfn.XLOOKUP(1,(참조!$B$2:$B$15=E1326)*(참조!$D$2:$D$15=C1326)*(참조!$E$2:$E$15=D1326),참조!$C$2:$C$15,"")</f>
        <v/>
      </c>
    </row>
    <row r="1327" hidden="1" s="27">
      <c r="A1327" s="47" t="inlineStr">
        <is>
          <t>스마텔</t>
        </is>
      </c>
      <c r="B1327" s="47" t="inlineStr">
        <is>
          <t>CU 스위트 100분/15GB+</t>
        </is>
      </c>
      <c r="C1327" s="47" t="inlineStr">
        <is>
          <t>100분</t>
        </is>
      </c>
      <c r="D1327" s="47" t="inlineStr">
        <is>
          <t>100건</t>
        </is>
      </c>
      <c r="E1327" s="47" t="inlineStr">
        <is>
          <t>월 15GB + 3Mbps</t>
        </is>
      </c>
      <c r="F1327" s="47" t="inlineStr">
        <is>
          <t>KT</t>
        </is>
      </c>
      <c r="G1327" s="47" t="inlineStr">
        <is>
          <t>LTE</t>
        </is>
      </c>
      <c r="H1327" s="48" t="n">
        <v>18000</v>
      </c>
      <c r="I1327" s="48" t="n">
        <v>7</v>
      </c>
      <c r="J1327" s="48" t="n">
        <v>33000</v>
      </c>
      <c r="K1327" s="47">
        <f t="array" ref="K1327">_xlfn.XLOOKUP(1,(참조!$B$2:$B$15=E1327)*(참조!$D$2:$D$15=C1327)*(참조!$E$2:$E$15=D1327),참조!$C$2:$C$15,"")</f>
        <v/>
      </c>
    </row>
    <row r="1328" hidden="1" s="27">
      <c r="A1328" s="47" t="inlineStr">
        <is>
          <t>스마텔</t>
        </is>
      </c>
      <c r="B1328" s="47" t="inlineStr">
        <is>
          <t>스위트 15GB+(네이버페이)</t>
        </is>
      </c>
      <c r="C1328" s="47" t="inlineStr">
        <is>
          <t>100분</t>
        </is>
      </c>
      <c r="D1328" s="47" t="inlineStr">
        <is>
          <t>100건</t>
        </is>
      </c>
      <c r="E1328" s="47" t="inlineStr">
        <is>
          <t>월 15GB + 3Mbps</t>
        </is>
      </c>
      <c r="F1328" s="47" t="inlineStr">
        <is>
          <t>KT</t>
        </is>
      </c>
      <c r="G1328" s="47" t="inlineStr">
        <is>
          <t>LTE</t>
        </is>
      </c>
      <c r="H1328" s="48" t="n">
        <v>30800</v>
      </c>
      <c r="I1328" s="48" t="n">
        <v>36</v>
      </c>
      <c r="J1328" s="48" t="n">
        <v>36300</v>
      </c>
      <c r="K1328" s="47">
        <f t="array" ref="K1328">_xlfn.XLOOKUP(1,(참조!$B$2:$B$15=E1328)*(참조!$D$2:$D$15=C1328)*(참조!$E$2:$E$15=D1328),참조!$C$2:$C$15,"")</f>
        <v/>
      </c>
    </row>
    <row r="1329">
      <c r="A1329" s="47" t="inlineStr">
        <is>
          <t>이야기모바일</t>
        </is>
      </c>
      <c r="B1329" s="47" t="inlineStr">
        <is>
          <t>이야기K 데이터 11GB+(지니뮤직)</t>
        </is>
      </c>
      <c r="C1329" s="47" t="inlineStr">
        <is>
          <t>무제한</t>
        </is>
      </c>
      <c r="D1329" s="47" t="inlineStr">
        <is>
          <t>무제한</t>
        </is>
      </c>
      <c r="E1329" s="47" t="inlineStr">
        <is>
          <t>월 11GB + 매일 2GB + 3Mbps</t>
        </is>
      </c>
      <c r="F1329" s="47" t="inlineStr">
        <is>
          <t>KT</t>
        </is>
      </c>
      <c r="G1329" s="47" t="inlineStr">
        <is>
          <t>LTE</t>
        </is>
      </c>
      <c r="H1329" s="48" t="n">
        <v>22000</v>
      </c>
      <c r="I1329" s="48" t="n">
        <v>7</v>
      </c>
      <c r="J1329" s="48" t="n">
        <v>40590</v>
      </c>
      <c r="K1329" s="47">
        <f t="array" ref="K1329">_xlfn.XLOOKUP(1,(참조!$B$2:$B$15=E1329)*(참조!$D$2:$D$15=C1329)*(참조!$E$2:$E$15=D1329),참조!$C$2:$C$15,"")</f>
        <v/>
      </c>
    </row>
    <row r="1330" hidden="1" s="27">
      <c r="A1330" s="47" t="inlineStr">
        <is>
          <t>KT스카이라이프</t>
        </is>
      </c>
      <c r="B1330" s="47" t="inlineStr">
        <is>
          <t>5G 모두 충분 90GB+</t>
        </is>
      </c>
      <c r="C1330" s="47" t="inlineStr">
        <is>
          <t>무제한</t>
        </is>
      </c>
      <c r="D1330" s="47" t="inlineStr">
        <is>
          <t>무제한</t>
        </is>
      </c>
      <c r="E1330" s="47" t="inlineStr">
        <is>
          <t>월 90GB + 1Mbps</t>
        </is>
      </c>
      <c r="F1330" s="47" t="inlineStr">
        <is>
          <t>KT</t>
        </is>
      </c>
      <c r="G1330" s="47" t="inlineStr">
        <is>
          <t>5G</t>
        </is>
      </c>
      <c r="H1330" s="48" t="n">
        <v>40900</v>
      </c>
      <c r="I1330" s="48" t="n"/>
      <c r="J1330" s="48" t="n"/>
      <c r="K1330" s="47">
        <f t="array" ref="K1330">_xlfn.XLOOKUP(1,(참조!$B$2:$B$15=E1330)*(참조!$D$2:$D$15=C1330)*(참조!$E$2:$E$15=D1330),참조!$C$2:$C$15,"")</f>
        <v/>
      </c>
    </row>
    <row r="1331" hidden="1" s="27">
      <c r="A1331" s="47" t="inlineStr">
        <is>
          <t>모빙</t>
        </is>
      </c>
      <c r="B1331" s="47" t="inlineStr">
        <is>
          <t>쏙쏙 200분10GB</t>
        </is>
      </c>
      <c r="C1331" s="47" t="inlineStr">
        <is>
          <t>200분</t>
        </is>
      </c>
      <c r="D1331" s="47" t="inlineStr">
        <is>
          <t>200건</t>
        </is>
      </c>
      <c r="E1331" s="47" t="inlineStr">
        <is>
          <t>월 10GB</t>
        </is>
      </c>
      <c r="F1331" s="47" t="inlineStr">
        <is>
          <t>KT</t>
        </is>
      </c>
      <c r="G1331" s="47" t="inlineStr">
        <is>
          <t>LTE</t>
        </is>
      </c>
      <c r="H1331" s="48" t="n">
        <v>110</v>
      </c>
      <c r="I1331" s="48" t="n">
        <v>7</v>
      </c>
      <c r="J1331" s="48" t="n">
        <v>20900</v>
      </c>
      <c r="K1331" s="47">
        <f t="array" ref="K1331">_xlfn.XLOOKUP(1,(참조!$B$2:$B$15=E1331)*(참조!$D$2:$D$15=C1331)*(참조!$E$2:$E$15=D1331),참조!$C$2:$C$15,"")</f>
        <v/>
      </c>
    </row>
    <row r="1332" hidden="1" s="27">
      <c r="A1332" s="47" t="inlineStr">
        <is>
          <t>아이즈모바일</t>
        </is>
      </c>
      <c r="B1332" s="47" t="inlineStr">
        <is>
          <t>아이즈 (10GB/300분)</t>
        </is>
      </c>
      <c r="C1332" s="47" t="inlineStr">
        <is>
          <t>300분</t>
        </is>
      </c>
      <c r="D1332" s="47" t="inlineStr">
        <is>
          <t>300건</t>
        </is>
      </c>
      <c r="E1332" s="47" t="inlineStr">
        <is>
          <t>월 10GB</t>
        </is>
      </c>
      <c r="F1332" s="47" t="inlineStr">
        <is>
          <t>SKT</t>
        </is>
      </c>
      <c r="G1332" s="47" t="inlineStr">
        <is>
          <t>LTE</t>
        </is>
      </c>
      <c r="H1332" s="48" t="n">
        <v>1900</v>
      </c>
      <c r="I1332" s="48" t="n">
        <v>12</v>
      </c>
      <c r="J1332" s="48" t="n">
        <v>24200</v>
      </c>
      <c r="K1332" s="47">
        <f t="array" ref="K1332">_xlfn.XLOOKUP(1,(참조!$B$2:$B$15=E1332)*(참조!$D$2:$D$15=C1332)*(참조!$E$2:$E$15=D1332),참조!$C$2:$C$15,"")</f>
        <v/>
      </c>
    </row>
    <row r="1333" hidden="1" s="27">
      <c r="A1333" s="47" t="inlineStr">
        <is>
          <t>이야기모바일</t>
        </is>
      </c>
      <c r="B1333" s="47" t="inlineStr">
        <is>
          <t>이야기 K 데이터 100GB+(N pay 5000P)</t>
        </is>
      </c>
      <c r="C1333" s="47" t="inlineStr">
        <is>
          <t>무제한</t>
        </is>
      </c>
      <c r="D1333" s="47" t="inlineStr">
        <is>
          <t>무제한</t>
        </is>
      </c>
      <c r="E1333" s="47" t="inlineStr">
        <is>
          <t>월 100GB + 5Mbps</t>
        </is>
      </c>
      <c r="F1333" s="47" t="inlineStr">
        <is>
          <t>KT</t>
        </is>
      </c>
      <c r="G1333" s="47" t="inlineStr">
        <is>
          <t>LTE</t>
        </is>
      </c>
      <c r="H1333" s="48" t="n">
        <v>23000</v>
      </c>
      <c r="I1333" s="48" t="n">
        <v>7</v>
      </c>
      <c r="J1333" s="48" t="n">
        <v>49200</v>
      </c>
      <c r="K1333" s="47">
        <f t="array" ref="K1333">_xlfn.XLOOKUP(1,(참조!$B$2:$B$15=E1333)*(참조!$D$2:$D$15=C1333)*(참조!$E$2:$E$15=D1333),참조!$C$2:$C$15,"")</f>
        <v/>
      </c>
    </row>
    <row r="1334" hidden="1" s="27">
      <c r="A1334" s="47" t="inlineStr">
        <is>
          <t>스마텔</t>
        </is>
      </c>
      <c r="B1334" s="47" t="inlineStr">
        <is>
          <t>스위트 15GB+(멜론)</t>
        </is>
      </c>
      <c r="C1334" s="47" t="inlineStr">
        <is>
          <t>100분</t>
        </is>
      </c>
      <c r="D1334" s="47" t="inlineStr">
        <is>
          <t>100건</t>
        </is>
      </c>
      <c r="E1334" s="47" t="inlineStr">
        <is>
          <t>월 15GB + 3Mbps</t>
        </is>
      </c>
      <c r="F1334" s="47" t="inlineStr">
        <is>
          <t>KT</t>
        </is>
      </c>
      <c r="G1334" s="47" t="inlineStr">
        <is>
          <t>LTE</t>
        </is>
      </c>
      <c r="H1334" s="48" t="n">
        <v>30800</v>
      </c>
      <c r="I1334" s="48" t="n">
        <v>36</v>
      </c>
      <c r="J1334" s="48" t="n">
        <v>36300</v>
      </c>
      <c r="K1334" s="47">
        <f t="array" ref="K1334">_xlfn.XLOOKUP(1,(참조!$B$2:$B$15=E1334)*(참조!$D$2:$D$15=C1334)*(참조!$E$2:$E$15=D1334),참조!$C$2:$C$15,"")</f>
        <v/>
      </c>
    </row>
    <row r="1335">
      <c r="A1335" s="47" t="inlineStr">
        <is>
          <t>이야기모바일</t>
        </is>
      </c>
      <c r="B1335" s="47" t="inlineStr">
        <is>
          <t>이야기 K 데이터 100GB+(모아진)</t>
        </is>
      </c>
      <c r="C1335" s="47" t="inlineStr">
        <is>
          <t>무제한</t>
        </is>
      </c>
      <c r="D1335" s="47" t="inlineStr">
        <is>
          <t>무제한</t>
        </is>
      </c>
      <c r="E1335" s="47" t="inlineStr">
        <is>
          <t>월 100GB + 5Mbps</t>
        </is>
      </c>
      <c r="F1335" s="47" t="inlineStr">
        <is>
          <t>KT</t>
        </is>
      </c>
      <c r="G1335" s="47" t="inlineStr">
        <is>
          <t>LTE</t>
        </is>
      </c>
      <c r="H1335" s="48" t="n">
        <v>23000</v>
      </c>
      <c r="I1335" s="48" t="n">
        <v>7</v>
      </c>
      <c r="J1335" s="48" t="n">
        <v>49200</v>
      </c>
      <c r="K1335" s="47">
        <f t="array" ref="K1335">_xlfn.XLOOKUP(1,(참조!$B$2:$B$15=E1335)*(참조!$D$2:$D$15=C1335)*(참조!$E$2:$E$15=D1335),참조!$C$2:$C$15,"")</f>
        <v/>
      </c>
    </row>
    <row r="1336" hidden="1" s="27">
      <c r="A1336" s="47" t="inlineStr">
        <is>
          <t>모빙</t>
        </is>
      </c>
      <c r="B1336" s="47" t="inlineStr">
        <is>
          <t>[S] 데이터 100GB+</t>
        </is>
      </c>
      <c r="C1336" s="47" t="inlineStr">
        <is>
          <t>무제한</t>
        </is>
      </c>
      <c r="D1336" s="47" t="inlineStr">
        <is>
          <t>무제한</t>
        </is>
      </c>
      <c r="E1336" s="47" t="inlineStr">
        <is>
          <t>월 100GB + 5Mbps</t>
        </is>
      </c>
      <c r="F1336" s="47" t="inlineStr">
        <is>
          <t>SKT</t>
        </is>
      </c>
      <c r="G1336" s="47" t="inlineStr">
        <is>
          <t>LTE</t>
        </is>
      </c>
      <c r="H1336" s="48" t="n">
        <v>14000</v>
      </c>
      <c r="I1336" s="48" t="n">
        <v>7</v>
      </c>
      <c r="J1336" s="48" t="n">
        <v>53900</v>
      </c>
      <c r="K1336" s="47">
        <f t="array" ref="K1336">_xlfn.XLOOKUP(1,(참조!$B$2:$B$15=E1336)*(참조!$D$2:$D$15=C1336)*(참조!$E$2:$E$15=D1336),참조!$C$2:$C$15,"")</f>
        <v/>
      </c>
    </row>
    <row r="1337" hidden="1" s="27">
      <c r="A1337" s="47" t="inlineStr">
        <is>
          <t>모빙</t>
        </is>
      </c>
      <c r="B1337" s="47" t="inlineStr">
        <is>
          <t>[K] 요기요 11GB+</t>
        </is>
      </c>
      <c r="C1337" s="47" t="inlineStr">
        <is>
          <t>무제한</t>
        </is>
      </c>
      <c r="D1337" s="47" t="inlineStr">
        <is>
          <t>무제한</t>
        </is>
      </c>
      <c r="E1337" s="47" t="inlineStr">
        <is>
          <t>월 11GB + 매일 2GB + 3Mbps</t>
        </is>
      </c>
      <c r="F1337" s="47" t="inlineStr">
        <is>
          <t>KT</t>
        </is>
      </c>
      <c r="G1337" s="47" t="inlineStr">
        <is>
          <t>LTE</t>
        </is>
      </c>
      <c r="H1337" s="48" t="n">
        <v>28600</v>
      </c>
      <c r="I1337" s="48" t="n">
        <v>24</v>
      </c>
      <c r="J1337" s="48" t="n">
        <v>52800</v>
      </c>
      <c r="K1337" s="47">
        <f t="array" ref="K1337">_xlfn.XLOOKUP(1,(참조!$B$2:$B$15=E1337)*(참조!$D$2:$D$15=C1337)*(참조!$E$2:$E$15=D1337),참조!$C$2:$C$15,"")</f>
        <v/>
      </c>
    </row>
    <row r="1338" hidden="1" s="27">
      <c r="A1338" s="47" t="inlineStr">
        <is>
          <t>이야기모바일</t>
        </is>
      </c>
      <c r="B1338" s="47" t="inlineStr">
        <is>
          <t>이야기 K 데이터 100GB+(CU할인)</t>
        </is>
      </c>
      <c r="C1338" s="47" t="inlineStr">
        <is>
          <t>무제한</t>
        </is>
      </c>
      <c r="D1338" s="47" t="inlineStr">
        <is>
          <t>무제한</t>
        </is>
      </c>
      <c r="E1338" s="47" t="inlineStr">
        <is>
          <t>월 100GB + 5Mbps</t>
        </is>
      </c>
      <c r="F1338" s="47" t="inlineStr">
        <is>
          <t>KT</t>
        </is>
      </c>
      <c r="G1338" s="47" t="inlineStr">
        <is>
          <t>LTE</t>
        </is>
      </c>
      <c r="H1338" s="48" t="n">
        <v>23000</v>
      </c>
      <c r="I1338" s="48" t="n">
        <v>7</v>
      </c>
      <c r="J1338" s="48" t="n">
        <v>49200</v>
      </c>
      <c r="K1338" s="47">
        <f t="array" ref="K1338">_xlfn.XLOOKUP(1,(참조!$B$2:$B$15=E1338)*(참조!$D$2:$D$15=C1338)*(참조!$E$2:$E$15=D1338),참조!$C$2:$C$15,"")</f>
        <v/>
      </c>
    </row>
    <row r="1339" hidden="1" s="27">
      <c r="A1339" s="47" t="inlineStr">
        <is>
          <t>이야기모바일</t>
        </is>
      </c>
      <c r="B1339" s="47" t="inlineStr">
        <is>
          <t>이야기 스페셜 매일5GB+</t>
        </is>
      </c>
      <c r="C1339" s="47" t="inlineStr">
        <is>
          <t>무제한</t>
        </is>
      </c>
      <c r="D1339" s="47" t="inlineStr">
        <is>
          <t>무제한</t>
        </is>
      </c>
      <c r="E1339" s="47" t="inlineStr">
        <is>
          <t>매일 5GB + 5Mbps</t>
        </is>
      </c>
      <c r="F1339" s="47" t="inlineStr">
        <is>
          <t>LG U+</t>
        </is>
      </c>
      <c r="G1339" s="47" t="inlineStr">
        <is>
          <t>LTE</t>
        </is>
      </c>
      <c r="H1339" s="48" t="n">
        <v>23000</v>
      </c>
      <c r="I1339" s="48" t="n">
        <v>7</v>
      </c>
      <c r="J1339" s="48" t="n">
        <v>46200</v>
      </c>
      <c r="K1339" s="47">
        <f t="array" ref="K1339">_xlfn.XLOOKUP(1,(참조!$B$2:$B$15=E1339)*(참조!$D$2:$D$15=C1339)*(참조!$E$2:$E$15=D1339),참조!$C$2:$C$15,"")</f>
        <v/>
      </c>
    </row>
    <row r="1340" hidden="1" s="27">
      <c r="A1340" s="47" t="inlineStr">
        <is>
          <t>아이즈모바일</t>
        </is>
      </c>
      <c r="B1340" s="47" t="inlineStr">
        <is>
          <t>[K]무한11GB+ Npay</t>
        </is>
      </c>
      <c r="C1340" s="47" t="inlineStr">
        <is>
          <t>무제한</t>
        </is>
      </c>
      <c r="D1340" s="47" t="inlineStr">
        <is>
          <t>무제한</t>
        </is>
      </c>
      <c r="E1340" s="47" t="inlineStr">
        <is>
          <t>월 11GB + 매일 2GB + 3Mbps</t>
        </is>
      </c>
      <c r="F1340" s="47" t="inlineStr">
        <is>
          <t>KT</t>
        </is>
      </c>
      <c r="G1340" s="47" t="inlineStr">
        <is>
          <t>LTE</t>
        </is>
      </c>
      <c r="H1340" s="48" t="n">
        <v>8900</v>
      </c>
      <c r="I1340" s="48" t="n">
        <v>7</v>
      </c>
      <c r="J1340" s="48" t="n">
        <v>48400</v>
      </c>
      <c r="K1340" s="47">
        <f t="array" ref="K1340">_xlfn.XLOOKUP(1,(참조!$B$2:$B$15=E1340)*(참조!$D$2:$D$15=C1340)*(참조!$E$2:$E$15=D1340),참조!$C$2:$C$15,"")</f>
        <v/>
      </c>
    </row>
    <row r="1341" hidden="1" s="27">
      <c r="A1341" s="47" t="inlineStr">
        <is>
          <t>스마텔</t>
        </is>
      </c>
      <c r="B1341" s="47" t="inlineStr">
        <is>
          <t>5G 스위트 110GB+(지니뮤직)</t>
        </is>
      </c>
      <c r="C1341" s="47" t="inlineStr">
        <is>
          <t>무제한</t>
        </is>
      </c>
      <c r="D1341" s="47" t="inlineStr">
        <is>
          <t>무제한</t>
        </is>
      </c>
      <c r="E1341" s="47" t="inlineStr">
        <is>
          <t>월 110GB + 5Mbps</t>
        </is>
      </c>
      <c r="F1341" s="47" t="inlineStr">
        <is>
          <t>KT</t>
        </is>
      </c>
      <c r="G1341" s="47" t="inlineStr">
        <is>
          <t>5G</t>
        </is>
      </c>
      <c r="H1341" s="48" t="n">
        <v>47300</v>
      </c>
      <c r="I1341" s="48" t="n">
        <v>36</v>
      </c>
      <c r="J1341" s="48" t="n">
        <v>49500</v>
      </c>
      <c r="K1341" s="47">
        <f t="array" ref="K1341">_xlfn.XLOOKUP(1,(참조!$B$2:$B$15=E1341)*(참조!$D$2:$D$15=C1341)*(참조!$E$2:$E$15=D1341),참조!$C$2:$C$15,"")</f>
        <v/>
      </c>
    </row>
    <row r="1342" hidden="1" s="27">
      <c r="A1342" s="47" t="inlineStr">
        <is>
          <t>리브모바일</t>
        </is>
      </c>
      <c r="B1342" s="47" t="inlineStr">
        <is>
          <t>보이스피싱예방LTE 15GB+(안심직거래)</t>
        </is>
      </c>
      <c r="C1342" s="47" t="inlineStr">
        <is>
          <t>무제한</t>
        </is>
      </c>
      <c r="D1342" s="47" t="inlineStr">
        <is>
          <t>무제한</t>
        </is>
      </c>
      <c r="E1342" s="47" t="inlineStr">
        <is>
          <t>월 15GB + 1Mbps</t>
        </is>
      </c>
      <c r="F1342" s="47" t="inlineStr">
        <is>
          <t>KT</t>
        </is>
      </c>
      <c r="G1342" s="47" t="inlineStr">
        <is>
          <t>LTE</t>
        </is>
      </c>
      <c r="H1342" s="48" t="n">
        <v>19600</v>
      </c>
      <c r="I1342" s="48" t="n">
        <v>12</v>
      </c>
      <c r="J1342" s="48" t="n">
        <v>24000</v>
      </c>
      <c r="K1342" s="47">
        <f t="array" ref="K1342">_xlfn.XLOOKUP(1,(참조!$B$2:$B$15=E1342)*(참조!$D$2:$D$15=C1342)*(참조!$E$2:$E$15=D1342),참조!$C$2:$C$15,"")</f>
        <v/>
      </c>
    </row>
    <row r="1343" hidden="1" s="27">
      <c r="A1343" s="47" t="inlineStr">
        <is>
          <t>리브모바일</t>
        </is>
      </c>
      <c r="B1343" s="47" t="inlineStr">
        <is>
          <t>LTE 71GB+</t>
        </is>
      </c>
      <c r="C1343" s="47" t="inlineStr">
        <is>
          <t>무제한</t>
        </is>
      </c>
      <c r="D1343" s="47" t="inlineStr">
        <is>
          <t>무제한</t>
        </is>
      </c>
      <c r="E1343" s="47" t="inlineStr">
        <is>
          <t>월 11GB + 매일 2GB + 3Mbps</t>
        </is>
      </c>
      <c r="F1343" s="47" t="inlineStr">
        <is>
          <t>LG U+</t>
        </is>
      </c>
      <c r="G1343" s="47" t="inlineStr">
        <is>
          <t>LTE</t>
        </is>
      </c>
      <c r="H1343" s="48" t="n">
        <v>29900</v>
      </c>
      <c r="I1343" s="48" t="n">
        <v>12</v>
      </c>
      <c r="J1343" s="48" t="n">
        <v>34300</v>
      </c>
      <c r="K1343" s="47">
        <f t="array" ref="K1343">_xlfn.XLOOKUP(1,(참조!$B$2:$B$15=E1343)*(참조!$D$2:$D$15=C1343)*(참조!$E$2:$E$15=D1343),참조!$C$2:$C$15,"")</f>
        <v/>
      </c>
    </row>
    <row r="1344" hidden="1" s="27">
      <c r="A1344" s="47" t="inlineStr">
        <is>
          <t>에이모바일</t>
        </is>
      </c>
      <c r="B1344" s="47" t="inlineStr">
        <is>
          <t>A 스마트 5GB/100분</t>
        </is>
      </c>
      <c r="C1344" s="47" t="inlineStr">
        <is>
          <t>100분</t>
        </is>
      </c>
      <c r="D1344" s="47" t="inlineStr">
        <is>
          <t>100건</t>
        </is>
      </c>
      <c r="E1344" s="47" t="inlineStr">
        <is>
          <t>월 5GB</t>
        </is>
      </c>
      <c r="F1344" s="47" t="inlineStr">
        <is>
          <t>SKT</t>
        </is>
      </c>
      <c r="G1344" s="47" t="inlineStr">
        <is>
          <t>LTE</t>
        </is>
      </c>
      <c r="H1344" s="48" t="n">
        <v>330</v>
      </c>
      <c r="I1344" s="48" t="n">
        <v>12</v>
      </c>
      <c r="J1344" s="48" t="n">
        <v>8800</v>
      </c>
      <c r="K1344" s="47">
        <f t="array" ref="K1344">_xlfn.XLOOKUP(1,(참조!$B$2:$B$15=E1344)*(참조!$D$2:$D$15=C1344)*(참조!$E$2:$E$15=D1344),참조!$C$2:$C$15,"")</f>
        <v/>
      </c>
    </row>
    <row r="1345" hidden="1" s="27">
      <c r="A1345" s="47" t="inlineStr">
        <is>
          <t>에이모바일</t>
        </is>
      </c>
      <c r="B1345" s="47" t="inlineStr">
        <is>
          <t>A 스페셜 15GB+/300분</t>
        </is>
      </c>
      <c r="C1345" s="47" t="inlineStr">
        <is>
          <t>300분</t>
        </is>
      </c>
      <c r="D1345" s="47" t="inlineStr">
        <is>
          <t>300건</t>
        </is>
      </c>
      <c r="E1345" s="47" t="inlineStr">
        <is>
          <t>월 15GB + 3Mbps</t>
        </is>
      </c>
      <c r="F1345" s="47" t="inlineStr">
        <is>
          <t>LG U+</t>
        </is>
      </c>
      <c r="G1345" s="47" t="inlineStr">
        <is>
          <t>LTE</t>
        </is>
      </c>
      <c r="H1345" s="48" t="n">
        <v>11499</v>
      </c>
      <c r="I1345" s="48" t="n">
        <v>7</v>
      </c>
      <c r="J1345" s="48" t="n">
        <v>30800</v>
      </c>
      <c r="K1345" s="47">
        <f t="array" ref="K1345">_xlfn.XLOOKUP(1,(참조!$B$2:$B$15=E1345)*(참조!$D$2:$D$15=C1345)*(참조!$E$2:$E$15=D1345),참조!$C$2:$C$15,"")</f>
        <v/>
      </c>
    </row>
    <row r="1346" hidden="1" s="27">
      <c r="A1346" s="47" t="inlineStr">
        <is>
          <t>이야기모바일</t>
        </is>
      </c>
      <c r="B1346" s="47" t="inlineStr">
        <is>
          <t>이야기 스탠다드 300분15GB+</t>
        </is>
      </c>
      <c r="C1346" s="47" t="inlineStr">
        <is>
          <t>300분</t>
        </is>
      </c>
      <c r="D1346" s="47" t="inlineStr">
        <is>
          <t>300건</t>
        </is>
      </c>
      <c r="E1346" s="47" t="inlineStr">
        <is>
          <t>월 15GB + 3Mbps</t>
        </is>
      </c>
      <c r="F1346" s="47" t="inlineStr">
        <is>
          <t>LG U+</t>
        </is>
      </c>
      <c r="G1346" s="47" t="inlineStr">
        <is>
          <t>LTE</t>
        </is>
      </c>
      <c r="H1346" s="48" t="n">
        <v>19000</v>
      </c>
      <c r="I1346" s="48" t="n">
        <v>7</v>
      </c>
      <c r="J1346" s="48" t="n">
        <v>33000</v>
      </c>
      <c r="K1346" s="47">
        <f t="array" ref="K1346">_xlfn.XLOOKUP(1,(참조!$B$2:$B$15=E1346)*(참조!$D$2:$D$15=C1346)*(참조!$E$2:$E$15=D1346),참조!$C$2:$C$15,"")</f>
        <v/>
      </c>
    </row>
    <row r="1347" hidden="1" s="27">
      <c r="A1347" s="47" t="inlineStr">
        <is>
          <t>스마텔</t>
        </is>
      </c>
      <c r="B1347" s="47" t="inlineStr">
        <is>
          <t>스위트 300분 15GB+(밀리의서재)</t>
        </is>
      </c>
      <c r="C1347" s="47" t="inlineStr">
        <is>
          <t>300분</t>
        </is>
      </c>
      <c r="D1347" s="47" t="inlineStr">
        <is>
          <t>300건</t>
        </is>
      </c>
      <c r="E1347" s="47" t="inlineStr">
        <is>
          <t>월 15GB + 1Mbps</t>
        </is>
      </c>
      <c r="F1347" s="47" t="inlineStr">
        <is>
          <t>KT</t>
        </is>
      </c>
      <c r="G1347" s="47" t="inlineStr">
        <is>
          <t>LTE</t>
        </is>
      </c>
      <c r="H1347" s="48" t="n">
        <v>19000</v>
      </c>
      <c r="I1347" s="48" t="n">
        <v>7</v>
      </c>
      <c r="J1347" s="48" t="n">
        <v>34100</v>
      </c>
      <c r="K1347" s="47">
        <f t="array" ref="K1347">_xlfn.XLOOKUP(1,(참조!$B$2:$B$15=E1347)*(참조!$D$2:$D$15=C1347)*(참조!$E$2:$E$15=D1347),참조!$C$2:$C$15,"")</f>
        <v/>
      </c>
    </row>
    <row r="1348" hidden="1" s="27">
      <c r="A1348" s="47" t="inlineStr">
        <is>
          <t>KG모바일</t>
        </is>
      </c>
      <c r="B1348" s="47" t="inlineStr">
        <is>
          <t>[모빌카드 스페셜] 통화, 데이터 마음대로 7GB+</t>
        </is>
      </c>
      <c r="C1348" s="47" t="inlineStr">
        <is>
          <t>무제한</t>
        </is>
      </c>
      <c r="D1348" s="47" t="inlineStr">
        <is>
          <t>무제한</t>
        </is>
      </c>
      <c r="E1348" s="47" t="inlineStr">
        <is>
          <t>월 7GB + 1Mbps</t>
        </is>
      </c>
      <c r="F1348" s="47" t="inlineStr">
        <is>
          <t>LG U+</t>
        </is>
      </c>
      <c r="G1348" s="47" t="inlineStr">
        <is>
          <t>LTE</t>
        </is>
      </c>
      <c r="H1348" s="48" t="n">
        <v>7000</v>
      </c>
      <c r="I1348" s="48" t="n">
        <v>7</v>
      </c>
      <c r="J1348" s="48" t="n">
        <v>24200</v>
      </c>
      <c r="K1348" s="47">
        <f t="array" ref="K1348">_xlfn.XLOOKUP(1,(참조!$B$2:$B$15=E1348)*(참조!$D$2:$D$15=C1348)*(참조!$E$2:$E$15=D1348),참조!$C$2:$C$15,"")</f>
        <v/>
      </c>
    </row>
    <row r="1349" hidden="1" s="27">
      <c r="A1349" s="47" t="inlineStr">
        <is>
          <t>아이즈모바일</t>
        </is>
      </c>
      <c r="B1349" s="47" t="inlineStr">
        <is>
          <t>[K]무한7GB+ 밀리의서재</t>
        </is>
      </c>
      <c r="C1349" s="47" t="inlineStr">
        <is>
          <t>무제한</t>
        </is>
      </c>
      <c r="D1349" s="47" t="inlineStr">
        <is>
          <t>무제한</t>
        </is>
      </c>
      <c r="E1349" s="47" t="inlineStr">
        <is>
          <t>월 7GB + 1Mbps</t>
        </is>
      </c>
      <c r="F1349" s="47" t="inlineStr">
        <is>
          <t>KT</t>
        </is>
      </c>
      <c r="G1349" s="47" t="inlineStr">
        <is>
          <t>LTE</t>
        </is>
      </c>
      <c r="H1349" s="48" t="n">
        <v>12500</v>
      </c>
      <c r="I1349" s="48" t="n"/>
      <c r="J1349" s="48" t="n"/>
      <c r="K1349" s="47">
        <f t="array" ref="K1349">_xlfn.XLOOKUP(1,(참조!$B$2:$B$15=E1349)*(참조!$D$2:$D$15=C1349)*(참조!$E$2:$E$15=D1349),참조!$C$2:$C$15,"")</f>
        <v/>
      </c>
    </row>
    <row r="1350" hidden="1" s="27">
      <c r="A1350" s="47" t="inlineStr">
        <is>
          <t>티플러스</t>
        </is>
      </c>
      <c r="B1350" s="47" t="inlineStr">
        <is>
          <t>The 완전마음껏 7GB＋</t>
        </is>
      </c>
      <c r="C1350" s="47" t="inlineStr">
        <is>
          <t>무제한</t>
        </is>
      </c>
      <c r="D1350" s="47" t="inlineStr">
        <is>
          <t>무제한</t>
        </is>
      </c>
      <c r="E1350" s="47" t="inlineStr">
        <is>
          <t>월 7GB + 1Mbps</t>
        </is>
      </c>
      <c r="F1350" s="47" t="inlineStr">
        <is>
          <t>SKT</t>
        </is>
      </c>
      <c r="G1350" s="47" t="inlineStr">
        <is>
          <t>LTE</t>
        </is>
      </c>
      <c r="H1350" s="48" t="n">
        <v>6900</v>
      </c>
      <c r="I1350" s="48" t="n">
        <v>7</v>
      </c>
      <c r="J1350" s="48" t="n">
        <v>25300</v>
      </c>
      <c r="K1350" s="47">
        <f t="array" ref="K1350">_xlfn.XLOOKUP(1,(참조!$B$2:$B$15=E1350)*(참조!$D$2:$D$15=C1350)*(참조!$E$2:$E$15=D1350),참조!$C$2:$C$15,"")</f>
        <v/>
      </c>
    </row>
    <row r="1351" hidden="1" s="27">
      <c r="A1351" s="47" t="inlineStr">
        <is>
          <t>에이모바일</t>
        </is>
      </c>
      <c r="B1351" s="47" t="inlineStr">
        <is>
          <t>A 올라잇 100GB+ 밀리의서재</t>
        </is>
      </c>
      <c r="C1351" s="47" t="inlineStr">
        <is>
          <t>무제한</t>
        </is>
      </c>
      <c r="D1351" s="47" t="inlineStr">
        <is>
          <t>무제한</t>
        </is>
      </c>
      <c r="E1351" s="47" t="inlineStr">
        <is>
          <t>월 11GB + 매일 2GB + 3Mbps</t>
        </is>
      </c>
      <c r="F1351" s="47" t="inlineStr">
        <is>
          <t>KT</t>
        </is>
      </c>
      <c r="G1351" s="47" t="inlineStr">
        <is>
          <t>LTE</t>
        </is>
      </c>
      <c r="H1351" s="48" t="n">
        <v>8900</v>
      </c>
      <c r="I1351" s="48" t="n">
        <v>7</v>
      </c>
      <c r="J1351" s="48" t="n">
        <v>46200</v>
      </c>
      <c r="K1351" s="47">
        <f t="array" ref="K1351">_xlfn.XLOOKUP(1,(참조!$B$2:$B$15=E1351)*(참조!$D$2:$D$15=C1351)*(참조!$E$2:$E$15=D1351),참조!$C$2:$C$15,"")</f>
        <v/>
      </c>
    </row>
    <row r="1352" hidden="1" s="27">
      <c r="A1352" s="47" t="inlineStr">
        <is>
          <t>티플러스</t>
        </is>
      </c>
      <c r="B1352" s="47" t="inlineStr">
        <is>
          <t>티플 위드유 7GB+ (G car+세차클링)</t>
        </is>
      </c>
      <c r="C1352" s="47" t="inlineStr">
        <is>
          <t>무제한</t>
        </is>
      </c>
      <c r="D1352" s="47" t="inlineStr">
        <is>
          <t>무제한</t>
        </is>
      </c>
      <c r="E1352" s="47" t="inlineStr">
        <is>
          <t>월 7GB + 1Mbps</t>
        </is>
      </c>
      <c r="F1352" s="47" t="inlineStr">
        <is>
          <t>SKT</t>
        </is>
      </c>
      <c r="G1352" s="47" t="inlineStr">
        <is>
          <t>LTE</t>
        </is>
      </c>
      <c r="H1352" s="48" t="n">
        <v>6900</v>
      </c>
      <c r="I1352" s="48" t="n">
        <v>7</v>
      </c>
      <c r="J1352" s="48" t="n">
        <v>25300</v>
      </c>
      <c r="K1352" s="47">
        <f t="array" ref="K1352">_xlfn.XLOOKUP(1,(참조!$B$2:$B$15=E1352)*(참조!$D$2:$D$15=C1352)*(참조!$E$2:$E$15=D1352),참조!$C$2:$C$15,"")</f>
        <v/>
      </c>
    </row>
    <row r="1353" hidden="1" s="27">
      <c r="A1353" s="47" t="inlineStr">
        <is>
          <t>스마텔</t>
        </is>
      </c>
      <c r="B1353" s="47" t="inlineStr">
        <is>
          <t>CU 스위트 300분/15GB+</t>
        </is>
      </c>
      <c r="C1353" s="47" t="inlineStr">
        <is>
          <t>300분</t>
        </is>
      </c>
      <c r="D1353" s="47" t="inlineStr">
        <is>
          <t>300건</t>
        </is>
      </c>
      <c r="E1353" s="47" t="inlineStr">
        <is>
          <t>월 15GB + 3Mbps</t>
        </is>
      </c>
      <c r="F1353" s="47" t="inlineStr">
        <is>
          <t>KT</t>
        </is>
      </c>
      <c r="G1353" s="47" t="inlineStr">
        <is>
          <t>LTE</t>
        </is>
      </c>
      <c r="H1353" s="48" t="n">
        <v>19000</v>
      </c>
      <c r="I1353" s="48" t="n">
        <v>7</v>
      </c>
      <c r="J1353" s="48" t="n">
        <v>34100</v>
      </c>
      <c r="K1353" s="47">
        <f t="array" ref="K1353">_xlfn.XLOOKUP(1,(참조!$B$2:$B$15=E1353)*(참조!$D$2:$D$15=C1353)*(참조!$E$2:$E$15=D1353),참조!$C$2:$C$15,"")</f>
        <v/>
      </c>
    </row>
    <row r="1354" hidden="1" s="27">
      <c r="A1354" s="47" t="inlineStr">
        <is>
          <t>인스모바일</t>
        </is>
      </c>
      <c r="B1354" s="47" t="inlineStr">
        <is>
          <t>[평생할인]데이터 안심 5GB+(USIM)</t>
        </is>
      </c>
      <c r="C1354" s="47" t="inlineStr">
        <is>
          <t>200분</t>
        </is>
      </c>
      <c r="D1354" s="47" t="inlineStr">
        <is>
          <t>100건</t>
        </is>
      </c>
      <c r="E1354" s="47" t="inlineStr">
        <is>
          <t>월 5GB + 1Mbps</t>
        </is>
      </c>
      <c r="F1354" s="47" t="inlineStr">
        <is>
          <t>LG U+</t>
        </is>
      </c>
      <c r="G1354" s="47" t="inlineStr">
        <is>
          <t>LTE</t>
        </is>
      </c>
      <c r="H1354" s="48" t="n">
        <v>6930</v>
      </c>
      <c r="I1354" s="48" t="n"/>
      <c r="J1354" s="48" t="n"/>
      <c r="K1354" s="47">
        <f t="array" ref="K1354">_xlfn.XLOOKUP(1,(참조!$B$2:$B$15=E1354)*(참조!$D$2:$D$15=C1354)*(참조!$E$2:$E$15=D1354),참조!$C$2:$C$15,"")</f>
        <v/>
      </c>
    </row>
    <row r="1355" hidden="1" s="27">
      <c r="A1355" s="47" t="inlineStr">
        <is>
          <t>이야기모바일</t>
        </is>
      </c>
      <c r="B1355" s="47" t="inlineStr">
        <is>
          <t>5G 함께이야기해S (500분+30GB)</t>
        </is>
      </c>
      <c r="C1355" s="47" t="inlineStr">
        <is>
          <t>500분</t>
        </is>
      </c>
      <c r="D1355" s="47" t="inlineStr">
        <is>
          <t>200건</t>
        </is>
      </c>
      <c r="E1355" s="47" t="inlineStr">
        <is>
          <t>월 30GB</t>
        </is>
      </c>
      <c r="F1355" s="47" t="inlineStr">
        <is>
          <t>SKT</t>
        </is>
      </c>
      <c r="G1355" s="47" t="inlineStr">
        <is>
          <t>5G</t>
        </is>
      </c>
      <c r="H1355" s="48" t="n">
        <v>28600</v>
      </c>
      <c r="I1355" s="48" t="n"/>
      <c r="J1355" s="48" t="n"/>
      <c r="K1355" s="47">
        <f t="array" ref="K1355">_xlfn.XLOOKUP(1,(참조!$B$2:$B$15=E1355)*(참조!$D$2:$D$15=C1355)*(참조!$E$2:$E$15=D1355),참조!$C$2:$C$15,"")</f>
        <v/>
      </c>
    </row>
    <row r="1356" hidden="1" s="27">
      <c r="A1356" s="47" t="inlineStr">
        <is>
          <t>모빙</t>
        </is>
      </c>
      <c r="B1356" s="47" t="inlineStr">
        <is>
          <t>[L] 데이터 100GB+</t>
        </is>
      </c>
      <c r="C1356" s="47" t="inlineStr">
        <is>
          <t>무제한</t>
        </is>
      </c>
      <c r="D1356" s="47" t="inlineStr">
        <is>
          <t>무제한</t>
        </is>
      </c>
      <c r="E1356" s="47" t="inlineStr">
        <is>
          <t>월 100GB + 5Mbps</t>
        </is>
      </c>
      <c r="F1356" s="47" t="inlineStr">
        <is>
          <t>LG U+</t>
        </is>
      </c>
      <c r="G1356" s="47" t="inlineStr">
        <is>
          <t>LTE</t>
        </is>
      </c>
      <c r="H1356" s="48" t="n">
        <v>15000</v>
      </c>
      <c r="I1356" s="48" t="n">
        <v>7</v>
      </c>
      <c r="J1356" s="48" t="n">
        <v>53900</v>
      </c>
      <c r="K1356" s="47">
        <f t="array" ref="K1356">_xlfn.XLOOKUP(1,(참조!$B$2:$B$15=E1356)*(참조!$D$2:$D$15=C1356)*(참조!$E$2:$E$15=D1356),참조!$C$2:$C$15,"")</f>
        <v/>
      </c>
    </row>
    <row r="1357" hidden="1" s="27">
      <c r="A1357" s="47" t="inlineStr">
        <is>
          <t>스마텔</t>
        </is>
      </c>
      <c r="B1357" s="47" t="inlineStr">
        <is>
          <t>스위트2 15GB+(네이버페이)</t>
        </is>
      </c>
      <c r="C1357" s="47" t="inlineStr">
        <is>
          <t>300분</t>
        </is>
      </c>
      <c r="D1357" s="47" t="inlineStr">
        <is>
          <t>300건</t>
        </is>
      </c>
      <c r="E1357" s="47" t="inlineStr">
        <is>
          <t>월 15GB + 3Mbps</t>
        </is>
      </c>
      <c r="F1357" s="47" t="inlineStr">
        <is>
          <t>KT</t>
        </is>
      </c>
      <c r="G1357" s="47" t="inlineStr">
        <is>
          <t>LTE</t>
        </is>
      </c>
      <c r="H1357" s="48" t="n">
        <v>31900</v>
      </c>
      <c r="I1357" s="48" t="n">
        <v>36</v>
      </c>
      <c r="J1357" s="48" t="n">
        <v>38500</v>
      </c>
      <c r="K1357" s="47">
        <f t="array" ref="K1357">_xlfn.XLOOKUP(1,(참조!$B$2:$B$15=E1357)*(참조!$D$2:$D$15=C1357)*(참조!$E$2:$E$15=D1357),참조!$C$2:$C$15,"")</f>
        <v/>
      </c>
    </row>
    <row r="1358" hidden="1" s="27">
      <c r="A1358" s="47" t="inlineStr">
        <is>
          <t>아이즈모바일</t>
        </is>
      </c>
      <c r="B1358" s="47" t="inlineStr">
        <is>
          <t>[L]무한300분/15GB+</t>
        </is>
      </c>
      <c r="C1358" s="47" t="inlineStr">
        <is>
          <t>300분</t>
        </is>
      </c>
      <c r="D1358" s="47" t="inlineStr">
        <is>
          <t>300건</t>
        </is>
      </c>
      <c r="E1358" s="47" t="inlineStr">
        <is>
          <t>월 15GB + 3Mbps</t>
        </is>
      </c>
      <c r="F1358" s="47" t="inlineStr">
        <is>
          <t>LG U+</t>
        </is>
      </c>
      <c r="G1358" s="47" t="inlineStr">
        <is>
          <t>LTE</t>
        </is>
      </c>
      <c r="H1358" s="48" t="n">
        <v>20900</v>
      </c>
      <c r="I1358" s="48" t="n"/>
      <c r="J1358" s="48" t="n"/>
      <c r="K1358" s="47">
        <f t="array" ref="K1358">_xlfn.XLOOKUP(1,(참조!$B$2:$B$15=E1358)*(참조!$D$2:$D$15=C1358)*(참조!$E$2:$E$15=D1358),참조!$C$2:$C$15,"")</f>
        <v/>
      </c>
    </row>
    <row r="1359" hidden="1" s="27">
      <c r="A1359" s="47" t="inlineStr">
        <is>
          <t>마블링</t>
        </is>
      </c>
      <c r="B1359" s="47" t="inlineStr">
        <is>
          <t>[모요only] 프라임 매일 5GB+5Mbps</t>
        </is>
      </c>
      <c r="C1359" s="47" t="inlineStr">
        <is>
          <t>무제한</t>
        </is>
      </c>
      <c r="D1359" s="47" t="inlineStr">
        <is>
          <t>무제한</t>
        </is>
      </c>
      <c r="E1359" s="47" t="inlineStr">
        <is>
          <t>매일 5GB + 5Mbps</t>
        </is>
      </c>
      <c r="F1359" s="47" t="inlineStr">
        <is>
          <t>LG U+</t>
        </is>
      </c>
      <c r="G1359" s="47" t="inlineStr">
        <is>
          <t>LTE</t>
        </is>
      </c>
      <c r="H1359" s="48" t="n">
        <v>23000</v>
      </c>
      <c r="I1359" s="48" t="n">
        <v>7</v>
      </c>
      <c r="J1359" s="48" t="n">
        <v>43900</v>
      </c>
      <c r="K1359" s="47">
        <f t="array" ref="K1359">_xlfn.XLOOKUP(1,(참조!$B$2:$B$15=E1359)*(참조!$D$2:$D$15=C1359)*(참조!$E$2:$E$15=D1359),참조!$C$2:$C$15,"")</f>
        <v/>
      </c>
    </row>
    <row r="1360" hidden="1" s="27">
      <c r="A1360" s="47" t="inlineStr">
        <is>
          <t>스마텔</t>
        </is>
      </c>
      <c r="B1360" s="47" t="inlineStr">
        <is>
          <t>5G 스위트 110GB</t>
        </is>
      </c>
      <c r="C1360" s="47" t="inlineStr">
        <is>
          <t>무제한</t>
        </is>
      </c>
      <c r="D1360" s="47" t="inlineStr">
        <is>
          <t>무제한</t>
        </is>
      </c>
      <c r="E1360" s="47" t="inlineStr">
        <is>
          <t>월 110GB + 5Mbps</t>
        </is>
      </c>
      <c r="F1360" s="47" t="inlineStr">
        <is>
          <t>KT</t>
        </is>
      </c>
      <c r="G1360" s="47" t="inlineStr">
        <is>
          <t>5G</t>
        </is>
      </c>
      <c r="H1360" s="48" t="n">
        <v>44000</v>
      </c>
      <c r="I1360" s="48" t="n">
        <v>36</v>
      </c>
      <c r="J1360" s="48" t="n">
        <v>47300</v>
      </c>
      <c r="K1360" s="47">
        <f t="array" ref="K1360">_xlfn.XLOOKUP(1,(참조!$B$2:$B$15=E1360)*(참조!$D$2:$D$15=C1360)*(참조!$E$2:$E$15=D1360),참조!$C$2:$C$15,"")</f>
        <v/>
      </c>
    </row>
    <row r="1361" hidden="1" s="27">
      <c r="A1361" s="47" t="inlineStr">
        <is>
          <t>이지모바일</t>
        </is>
      </c>
      <c r="B1361" s="47" t="inlineStr">
        <is>
          <t>이지 15G(300)+</t>
        </is>
      </c>
      <c r="C1361" s="47" t="inlineStr">
        <is>
          <t>300분</t>
        </is>
      </c>
      <c r="D1361" s="47" t="inlineStr">
        <is>
          <t>300건</t>
        </is>
      </c>
      <c r="E1361" s="47" t="inlineStr">
        <is>
          <t>월 15GB + 3Mbps</t>
        </is>
      </c>
      <c r="F1361" s="47" t="inlineStr">
        <is>
          <t>LG U+</t>
        </is>
      </c>
      <c r="G1361" s="47" t="inlineStr">
        <is>
          <t>LTE</t>
        </is>
      </c>
      <c r="H1361" s="48" t="n">
        <v>18140</v>
      </c>
      <c r="I1361" s="48" t="n">
        <v>7</v>
      </c>
      <c r="J1361" s="48" t="n">
        <v>31900</v>
      </c>
      <c r="K1361" s="47">
        <f t="array" ref="K1361">_xlfn.XLOOKUP(1,(참조!$B$2:$B$15=E1361)*(참조!$D$2:$D$15=C1361)*(참조!$E$2:$E$15=D1361),참조!$C$2:$C$15,"")</f>
        <v/>
      </c>
    </row>
    <row r="1362" hidden="1" s="27">
      <c r="A1362" s="47" t="inlineStr">
        <is>
          <t>스마텔</t>
        </is>
      </c>
      <c r="B1362" s="47" t="inlineStr">
        <is>
          <t>스마트 15GB+</t>
        </is>
      </c>
      <c r="C1362" s="47" t="inlineStr">
        <is>
          <t>100분</t>
        </is>
      </c>
      <c r="D1362" s="47" t="inlineStr">
        <is>
          <t>100건</t>
        </is>
      </c>
      <c r="E1362" s="47" t="inlineStr">
        <is>
          <t>월 15GB + 3Mbps</t>
        </is>
      </c>
      <c r="F1362" s="47" t="inlineStr">
        <is>
          <t>LG U+</t>
        </is>
      </c>
      <c r="G1362" s="47" t="inlineStr">
        <is>
          <t>LTE</t>
        </is>
      </c>
      <c r="H1362" s="48" t="n">
        <v>18500</v>
      </c>
      <c r="I1362" s="48" t="n">
        <v>7</v>
      </c>
      <c r="J1362" s="48" t="n">
        <v>33000</v>
      </c>
      <c r="K1362" s="47">
        <f t="array" ref="K1362">_xlfn.XLOOKUP(1,(참조!$B$2:$B$15=E1362)*(참조!$D$2:$D$15=C1362)*(참조!$E$2:$E$15=D1362),참조!$C$2:$C$15,"")</f>
        <v/>
      </c>
    </row>
    <row r="1363" hidden="1" s="27">
      <c r="A1363" s="47" t="inlineStr">
        <is>
          <t>모빙</t>
        </is>
      </c>
      <c r="B1363" s="47" t="inlineStr">
        <is>
          <t>실속 데이터 매일5GB+</t>
        </is>
      </c>
      <c r="C1363" s="47" t="inlineStr">
        <is>
          <t>무제한</t>
        </is>
      </c>
      <c r="D1363" s="47" t="inlineStr">
        <is>
          <t>무제한</t>
        </is>
      </c>
      <c r="E1363" s="47" t="inlineStr">
        <is>
          <t>매일 5GB + 5Mbps</t>
        </is>
      </c>
      <c r="F1363" s="47" t="inlineStr">
        <is>
          <t>LG U+</t>
        </is>
      </c>
      <c r="G1363" s="47" t="inlineStr">
        <is>
          <t>LTE</t>
        </is>
      </c>
      <c r="H1363" s="48" t="n">
        <v>15000</v>
      </c>
      <c r="I1363" s="48" t="n">
        <v>7</v>
      </c>
      <c r="J1363" s="48" t="n">
        <v>51700</v>
      </c>
      <c r="K1363" s="47">
        <f t="array" ref="K1363">_xlfn.XLOOKUP(1,(참조!$B$2:$B$15=E1363)*(참조!$D$2:$D$15=C1363)*(참조!$E$2:$E$15=D1363),참조!$C$2:$C$15,"")</f>
        <v/>
      </c>
    </row>
    <row r="1364" hidden="1" s="27">
      <c r="A1364" s="47" t="inlineStr">
        <is>
          <t>인스모바일</t>
        </is>
      </c>
      <c r="B1364" s="47" t="inlineStr">
        <is>
          <t>실속 300분+3GB(USIM)</t>
        </is>
      </c>
      <c r="C1364" s="47" t="inlineStr">
        <is>
          <t>300분</t>
        </is>
      </c>
      <c r="D1364" s="47" t="inlineStr">
        <is>
          <t>100건</t>
        </is>
      </c>
      <c r="E1364" s="47" t="inlineStr">
        <is>
          <t>월 3GB</t>
        </is>
      </c>
      <c r="F1364" s="47" t="inlineStr">
        <is>
          <t>LG U+</t>
        </is>
      </c>
      <c r="G1364" s="47" t="inlineStr">
        <is>
          <t>LTE</t>
        </is>
      </c>
      <c r="H1364" s="48" t="n">
        <v>1100</v>
      </c>
      <c r="I1364" s="48" t="n">
        <v>6</v>
      </c>
      <c r="J1364" s="48" t="n">
        <v>17600</v>
      </c>
      <c r="K1364" s="47">
        <f t="array" ref="K1364">_xlfn.XLOOKUP(1,(참조!$B$2:$B$15=E1364)*(참조!$D$2:$D$15=C1364)*(참조!$E$2:$E$15=D1364),참조!$C$2:$C$15,"")</f>
        <v/>
      </c>
    </row>
    <row r="1365" hidden="1" s="27">
      <c r="A1365" s="47" t="inlineStr">
        <is>
          <t>인스모바일</t>
        </is>
      </c>
      <c r="B1365" s="47" t="inlineStr">
        <is>
          <t>인스 유심 올프리 7GB+</t>
        </is>
      </c>
      <c r="C1365" s="47" t="inlineStr">
        <is>
          <t>무제한</t>
        </is>
      </c>
      <c r="D1365" s="47" t="inlineStr">
        <is>
          <t>무제한</t>
        </is>
      </c>
      <c r="E1365" s="47" t="inlineStr">
        <is>
          <t>월 7GB + 1Mbps</t>
        </is>
      </c>
      <c r="F1365" s="47" t="inlineStr">
        <is>
          <t>LG U+</t>
        </is>
      </c>
      <c r="G1365" s="47" t="inlineStr">
        <is>
          <t>LTE</t>
        </is>
      </c>
      <c r="H1365" s="48" t="n">
        <v>4950</v>
      </c>
      <c r="I1365" s="48" t="n">
        <v>7</v>
      </c>
      <c r="J1365" s="48" t="n">
        <v>29700</v>
      </c>
      <c r="K1365" s="47">
        <f t="array" ref="K1365">_xlfn.XLOOKUP(1,(참조!$B$2:$B$15=E1365)*(참조!$D$2:$D$15=C1365)*(참조!$E$2:$E$15=D1365),참조!$C$2:$C$15,"")</f>
        <v/>
      </c>
    </row>
    <row r="1366" hidden="1" s="27">
      <c r="A1366" s="47" t="inlineStr">
        <is>
          <t>리브모바일</t>
        </is>
      </c>
      <c r="B1366" s="47" t="inlineStr">
        <is>
          <t>보이스피싱예방 LTE 15GB+(100분/100건)</t>
        </is>
      </c>
      <c r="C1366" s="47" t="inlineStr">
        <is>
          <t>100분</t>
        </is>
      </c>
      <c r="D1366" s="47" t="inlineStr">
        <is>
          <t>100건</t>
        </is>
      </c>
      <c r="E1366" s="47" t="inlineStr">
        <is>
          <t>월 15GB + 3Mbps</t>
        </is>
      </c>
      <c r="F1366" s="47" t="inlineStr">
        <is>
          <t>LG U+</t>
        </is>
      </c>
      <c r="G1366" s="47" t="inlineStr">
        <is>
          <t>LTE</t>
        </is>
      </c>
      <c r="H1366" s="48" t="n">
        <v>20200</v>
      </c>
      <c r="I1366" s="48" t="n">
        <v>12</v>
      </c>
      <c r="J1366" s="48" t="n">
        <v>26900</v>
      </c>
      <c r="K1366" s="47">
        <f t="array" ref="K1366">_xlfn.XLOOKUP(1,(참조!$B$2:$B$15=E1366)*(참조!$D$2:$D$15=C1366)*(참조!$E$2:$E$15=D1366),참조!$C$2:$C$15,"")</f>
        <v/>
      </c>
    </row>
    <row r="1367" hidden="1" s="27">
      <c r="A1367" s="47" t="inlineStr">
        <is>
          <t>아이즈모바일</t>
        </is>
      </c>
      <c r="B1367" s="47" t="inlineStr">
        <is>
          <t>[L]매일5GB+</t>
        </is>
      </c>
      <c r="C1367" s="47" t="inlineStr">
        <is>
          <t>무제한</t>
        </is>
      </c>
      <c r="D1367" s="47" t="inlineStr">
        <is>
          <t>무제한</t>
        </is>
      </c>
      <c r="E1367" s="47" t="inlineStr">
        <is>
          <t>매일 5GB + 5Mbps</t>
        </is>
      </c>
      <c r="F1367" s="47" t="inlineStr">
        <is>
          <t>LG U+</t>
        </is>
      </c>
      <c r="G1367" s="47" t="inlineStr">
        <is>
          <t>LTE</t>
        </is>
      </c>
      <c r="H1367" s="48" t="n">
        <v>29500</v>
      </c>
      <c r="I1367" s="48" t="n"/>
      <c r="J1367" s="48" t="n"/>
      <c r="K1367" s="47">
        <f t="array" ref="K1367">_xlfn.XLOOKUP(1,(참조!$B$2:$B$15=E1367)*(참조!$D$2:$D$15=C1367)*(참조!$E$2:$E$15=D1367),참조!$C$2:$C$15,"")</f>
        <v/>
      </c>
    </row>
    <row r="1368" hidden="1" s="27">
      <c r="A1368" s="47" t="inlineStr">
        <is>
          <t>아이즈모바일</t>
        </is>
      </c>
      <c r="B1368" s="47" t="inlineStr">
        <is>
          <t>[L]5G 데이터안심(100분/10GB+)</t>
        </is>
      </c>
      <c r="C1368" s="47" t="inlineStr">
        <is>
          <t>100분</t>
        </is>
      </c>
      <c r="D1368" s="47" t="inlineStr">
        <is>
          <t>100건</t>
        </is>
      </c>
      <c r="E1368" s="47" t="inlineStr">
        <is>
          <t>월 10GB + 1Mbps</t>
        </is>
      </c>
      <c r="F1368" s="47" t="inlineStr">
        <is>
          <t>LG U+</t>
        </is>
      </c>
      <c r="G1368" s="47" t="inlineStr">
        <is>
          <t>5G</t>
        </is>
      </c>
      <c r="H1368" s="48" t="n">
        <v>990</v>
      </c>
      <c r="I1368" s="48" t="n">
        <v>6</v>
      </c>
      <c r="J1368" s="48" t="n">
        <v>19800</v>
      </c>
      <c r="K1368" s="47">
        <f t="array" ref="K1368">_xlfn.XLOOKUP(1,(참조!$B$2:$B$15=E1368)*(참조!$D$2:$D$15=C1368)*(참조!$E$2:$E$15=D1368),참조!$C$2:$C$15,"")</f>
        <v/>
      </c>
    </row>
    <row r="1369" hidden="1" s="27">
      <c r="A1369" s="47" t="inlineStr">
        <is>
          <t>스마텔</t>
        </is>
      </c>
      <c r="B1369" s="47" t="inlineStr">
        <is>
          <t>후후 스마트 15GB+</t>
        </is>
      </c>
      <c r="C1369" s="47" t="inlineStr">
        <is>
          <t>100분</t>
        </is>
      </c>
      <c r="D1369" s="47" t="inlineStr">
        <is>
          <t>100건</t>
        </is>
      </c>
      <c r="E1369" s="47" t="inlineStr">
        <is>
          <t>월 15GB + 3Mbps</t>
        </is>
      </c>
      <c r="F1369" s="47" t="inlineStr">
        <is>
          <t>LG U+</t>
        </is>
      </c>
      <c r="G1369" s="47" t="inlineStr">
        <is>
          <t>LTE</t>
        </is>
      </c>
      <c r="H1369" s="48" t="n">
        <v>18830</v>
      </c>
      <c r="I1369" s="48" t="n">
        <v>7</v>
      </c>
      <c r="J1369" s="48" t="n">
        <v>33330</v>
      </c>
      <c r="K1369" s="47">
        <f t="array" ref="K1369">_xlfn.XLOOKUP(1,(참조!$B$2:$B$15=E1369)*(참조!$D$2:$D$15=C1369)*(참조!$E$2:$E$15=D1369),참조!$C$2:$C$15,"")</f>
        <v/>
      </c>
    </row>
    <row r="1370" hidden="1" s="27">
      <c r="A1370" s="47" t="inlineStr">
        <is>
          <t>에이모바일</t>
        </is>
      </c>
      <c r="B1370" s="47" t="inlineStr">
        <is>
          <t>A 넥스트 15GB+/300분</t>
        </is>
      </c>
      <c r="C1370" s="47" t="inlineStr">
        <is>
          <t>300분</t>
        </is>
      </c>
      <c r="D1370" s="47" t="inlineStr">
        <is>
          <t>300건</t>
        </is>
      </c>
      <c r="E1370" s="47" t="inlineStr">
        <is>
          <t>월 15GB + 3Mbps</t>
        </is>
      </c>
      <c r="F1370" s="47" t="inlineStr">
        <is>
          <t>SKT</t>
        </is>
      </c>
      <c r="G1370" s="47" t="inlineStr">
        <is>
          <t>LTE</t>
        </is>
      </c>
      <c r="H1370" s="48" t="n">
        <v>6001</v>
      </c>
      <c r="I1370" s="48" t="n">
        <v>7</v>
      </c>
      <c r="J1370" s="48" t="n">
        <v>29900</v>
      </c>
      <c r="K1370" s="47">
        <f t="array" ref="K1370">_xlfn.XLOOKUP(1,(참조!$B$2:$B$15=E1370)*(참조!$D$2:$D$15=C1370)*(참조!$E$2:$E$15=D1370),참조!$C$2:$C$15,"")</f>
        <v/>
      </c>
    </row>
    <row r="1371" hidden="1" s="27">
      <c r="A1371" s="47" t="inlineStr">
        <is>
          <t>이야기모바일</t>
        </is>
      </c>
      <c r="B1371" s="47" t="inlineStr">
        <is>
          <t>5G 이야기 프리미엄 180GB+</t>
        </is>
      </c>
      <c r="C1371" s="47" t="inlineStr">
        <is>
          <t>무제한</t>
        </is>
      </c>
      <c r="D1371" s="47" t="inlineStr">
        <is>
          <t>무제한</t>
        </is>
      </c>
      <c r="E1371" s="47" t="inlineStr">
        <is>
          <t>월 180GB + 10Mbps</t>
        </is>
      </c>
      <c r="F1371" s="47" t="inlineStr">
        <is>
          <t>LG U+</t>
        </is>
      </c>
      <c r="G1371" s="47" t="inlineStr">
        <is>
          <t>5G</t>
        </is>
      </c>
      <c r="H1371" s="48" t="n">
        <v>22000</v>
      </c>
      <c r="I1371" s="48" t="n">
        <v>7</v>
      </c>
      <c r="J1371" s="48" t="n">
        <v>62700</v>
      </c>
      <c r="K1371" s="47">
        <f t="array" ref="K1371">_xlfn.XLOOKUP(1,(참조!$B$2:$B$15=E1371)*(참조!$D$2:$D$15=C1371)*(참조!$E$2:$E$15=D1371),참조!$C$2:$C$15,"")</f>
        <v/>
      </c>
    </row>
    <row r="1372" hidden="1" s="27">
      <c r="A1372" s="47" t="inlineStr">
        <is>
          <t>스마텔</t>
        </is>
      </c>
      <c r="B1372" s="47" t="inlineStr">
        <is>
          <t>USIM 심플 (500분 + 1GB)</t>
        </is>
      </c>
      <c r="C1372" s="47" t="inlineStr">
        <is>
          <t>500분</t>
        </is>
      </c>
      <c r="D1372" s="47" t="inlineStr">
        <is>
          <t>100건</t>
        </is>
      </c>
      <c r="E1372" s="47" t="inlineStr">
        <is>
          <t>월 1GB</t>
        </is>
      </c>
      <c r="F1372" s="47" t="inlineStr">
        <is>
          <t>LG U+</t>
        </is>
      </c>
      <c r="G1372" s="47" t="inlineStr">
        <is>
          <t>LTE</t>
        </is>
      </c>
      <c r="H1372" s="48" t="n">
        <v>1900</v>
      </c>
      <c r="I1372" s="48" t="n">
        <v>6</v>
      </c>
      <c r="J1372" s="48" t="n">
        <v>6600</v>
      </c>
      <c r="K1372" s="47">
        <f t="array" ref="K1372">_xlfn.XLOOKUP(1,(참조!$B$2:$B$15=E1372)*(참조!$D$2:$D$15=C1372)*(참조!$E$2:$E$15=D1372),참조!$C$2:$C$15,"")</f>
        <v/>
      </c>
    </row>
    <row r="1373" hidden="1" s="27">
      <c r="A1373" s="47" t="inlineStr">
        <is>
          <t>이야기모바일</t>
        </is>
      </c>
      <c r="B1373" s="47" t="inlineStr">
        <is>
          <t>이야기K 데이터 15GB+(멜론)</t>
        </is>
      </c>
      <c r="C1373" s="47" t="inlineStr">
        <is>
          <t>100분</t>
        </is>
      </c>
      <c r="D1373" s="47" t="inlineStr">
        <is>
          <t>100건</t>
        </is>
      </c>
      <c r="E1373" s="47" t="inlineStr">
        <is>
          <t>월 15GB + 3Mbps</t>
        </is>
      </c>
      <c r="F1373" s="47" t="inlineStr">
        <is>
          <t>KT</t>
        </is>
      </c>
      <c r="G1373" s="47" t="inlineStr">
        <is>
          <t>LTE</t>
        </is>
      </c>
      <c r="H1373" s="48" t="n">
        <v>19800</v>
      </c>
      <c r="I1373" s="48" t="n">
        <v>7</v>
      </c>
      <c r="J1373" s="48" t="n">
        <v>33000</v>
      </c>
      <c r="K1373" s="47">
        <f t="array" ref="K1373">_xlfn.XLOOKUP(1,(참조!$B$2:$B$15=E1373)*(참조!$D$2:$D$15=C1373)*(참조!$E$2:$E$15=D1373),참조!$C$2:$C$15,"")</f>
        <v/>
      </c>
    </row>
    <row r="1374" hidden="1" s="27">
      <c r="A1374" s="47" t="inlineStr">
        <is>
          <t>아이즈모바일</t>
        </is>
      </c>
      <c r="B1374" s="47" t="inlineStr">
        <is>
          <t>[K]무한15GB+ 밀리의서재</t>
        </is>
      </c>
      <c r="C1374" s="47" t="inlineStr">
        <is>
          <t>무제한</t>
        </is>
      </c>
      <c r="D1374" s="47" t="inlineStr">
        <is>
          <t>무제한</t>
        </is>
      </c>
      <c r="E1374" s="47" t="inlineStr">
        <is>
          <t>월 15GB + 1Mbps</t>
        </is>
      </c>
      <c r="F1374" s="47" t="inlineStr">
        <is>
          <t>KT</t>
        </is>
      </c>
      <c r="G1374" s="47" t="inlineStr">
        <is>
          <t>LTE</t>
        </is>
      </c>
      <c r="H1374" s="48" t="n">
        <v>18900</v>
      </c>
      <c r="I1374" s="48" t="n"/>
      <c r="J1374" s="48" t="n"/>
      <c r="K1374" s="47">
        <f t="array" ref="K1374">_xlfn.XLOOKUP(1,(참조!$B$2:$B$15=E1374)*(참조!$D$2:$D$15=C1374)*(참조!$E$2:$E$15=D1374),참조!$C$2:$C$15,"")</f>
        <v/>
      </c>
    </row>
    <row r="1375" hidden="1" s="27">
      <c r="A1375" s="47" t="inlineStr">
        <is>
          <t>이지모바일</t>
        </is>
      </c>
      <c r="B1375" s="47" t="inlineStr">
        <is>
          <t>EG 5G 심플 70GB+</t>
        </is>
      </c>
      <c r="C1375" s="47" t="inlineStr">
        <is>
          <t>무제한</t>
        </is>
      </c>
      <c r="D1375" s="47" t="inlineStr">
        <is>
          <t>무제한</t>
        </is>
      </c>
      <c r="E1375" s="47" t="inlineStr">
        <is>
          <t>월 70GB + 1Mbps</t>
        </is>
      </c>
      <c r="F1375" s="47" t="inlineStr">
        <is>
          <t>KT</t>
        </is>
      </c>
      <c r="G1375" s="47" t="inlineStr">
        <is>
          <t>5G</t>
        </is>
      </c>
      <c r="H1375" s="48" t="n">
        <v>23650</v>
      </c>
      <c r="I1375" s="48" t="n">
        <v>7</v>
      </c>
      <c r="J1375" s="48" t="n">
        <v>47300</v>
      </c>
      <c r="K1375" s="47">
        <f t="array" ref="K1375">_xlfn.XLOOKUP(1,(참조!$B$2:$B$15=E1375)*(참조!$D$2:$D$15=C1375)*(참조!$E$2:$E$15=D1375),참조!$C$2:$C$15,"")</f>
        <v/>
      </c>
    </row>
    <row r="1376" hidden="1" s="27">
      <c r="A1376" s="47" t="inlineStr">
        <is>
          <t>더원모바일</t>
        </is>
      </c>
      <c r="B1376" s="47" t="inlineStr">
        <is>
          <t>TOP 5G 200GB 기본 (쿠팡캐시)</t>
        </is>
      </c>
      <c r="C1376" s="47" t="inlineStr">
        <is>
          <t>무제한</t>
        </is>
      </c>
      <c r="D1376" s="47" t="inlineStr">
        <is>
          <t>무제한</t>
        </is>
      </c>
      <c r="E1376" s="47" t="inlineStr">
        <is>
          <t>월 200GB + 10Mbps</t>
        </is>
      </c>
      <c r="F1376" s="47" t="inlineStr">
        <is>
          <t>KT</t>
        </is>
      </c>
      <c r="G1376" s="47" t="inlineStr">
        <is>
          <t>5G</t>
        </is>
      </c>
      <c r="H1376" s="48" t="n">
        <v>24200</v>
      </c>
      <c r="I1376" s="48" t="n">
        <v>7</v>
      </c>
      <c r="J1376" s="48" t="n">
        <v>55000</v>
      </c>
      <c r="K1376" s="47">
        <f t="array" ref="K1376">_xlfn.XLOOKUP(1,(참조!$B$2:$B$15=E1376)*(참조!$D$2:$D$15=C1376)*(참조!$E$2:$E$15=D1376),참조!$C$2:$C$15,"")</f>
        <v/>
      </c>
    </row>
    <row r="1377" hidden="1" s="27">
      <c r="A1377" s="47" t="inlineStr">
        <is>
          <t>모빙</t>
        </is>
      </c>
      <c r="B1377" s="47" t="inlineStr">
        <is>
          <t>[S] 5G 데이터 20GB</t>
        </is>
      </c>
      <c r="C1377" s="47" t="inlineStr">
        <is>
          <t>무제한</t>
        </is>
      </c>
      <c r="D1377" s="47" t="inlineStr">
        <is>
          <t>100건</t>
        </is>
      </c>
      <c r="E1377" s="47" t="inlineStr">
        <is>
          <t>월 20GB</t>
        </is>
      </c>
      <c r="F1377" s="47" t="inlineStr">
        <is>
          <t>SKT</t>
        </is>
      </c>
      <c r="G1377" s="47" t="inlineStr">
        <is>
          <t>5G</t>
        </is>
      </c>
      <c r="H1377" s="48" t="n">
        <v>17000</v>
      </c>
      <c r="I1377" s="48" t="n"/>
      <c r="J1377" s="48" t="n"/>
      <c r="K1377" s="47">
        <f t="array" ref="K1377">_xlfn.XLOOKUP(1,(참조!$B$2:$B$15=E1377)*(참조!$D$2:$D$15=C1377)*(참조!$E$2:$E$15=D1377),참조!$C$2:$C$15,"")</f>
        <v/>
      </c>
    </row>
    <row r="1378" hidden="1" s="27">
      <c r="A1378" s="47" t="inlineStr">
        <is>
          <t>모빙</t>
        </is>
      </c>
      <c r="B1378" s="47" t="inlineStr">
        <is>
          <t>[S] 200분5GB</t>
        </is>
      </c>
      <c r="C1378" s="47" t="inlineStr">
        <is>
          <t>200분</t>
        </is>
      </c>
      <c r="D1378" s="47" t="inlineStr">
        <is>
          <t>100건</t>
        </is>
      </c>
      <c r="E1378" s="47" t="inlineStr">
        <is>
          <t>월 5GB</t>
        </is>
      </c>
      <c r="F1378" s="47" t="inlineStr">
        <is>
          <t>SKT</t>
        </is>
      </c>
      <c r="G1378" s="47" t="inlineStr">
        <is>
          <t>LTE</t>
        </is>
      </c>
      <c r="H1378" s="48" t="n">
        <v>990</v>
      </c>
      <c r="I1378" s="48" t="n">
        <v>12</v>
      </c>
      <c r="J1378" s="48" t="n">
        <v>16500</v>
      </c>
      <c r="K1378" s="47">
        <f t="array" ref="K1378">_xlfn.XLOOKUP(1,(참조!$B$2:$B$15=E1378)*(참조!$D$2:$D$15=C1378)*(참조!$E$2:$E$15=D1378),참조!$C$2:$C$15,"")</f>
        <v/>
      </c>
    </row>
    <row r="1379" hidden="1" s="27">
      <c r="A1379" s="47" t="inlineStr">
        <is>
          <t>이야기모바일</t>
        </is>
      </c>
      <c r="B1379" s="47" t="inlineStr">
        <is>
          <t>이야기 라이트S 100분 10GB+</t>
        </is>
      </c>
      <c r="C1379" s="47" t="inlineStr">
        <is>
          <t>100분</t>
        </is>
      </c>
      <c r="D1379" s="47" t="inlineStr">
        <is>
          <t>100건</t>
        </is>
      </c>
      <c r="E1379" s="47" t="inlineStr">
        <is>
          <t>월 10GB + 1Mbps</t>
        </is>
      </c>
      <c r="F1379" s="47" t="inlineStr">
        <is>
          <t>SKT</t>
        </is>
      </c>
      <c r="G1379" s="47" t="inlineStr">
        <is>
          <t>LTE</t>
        </is>
      </c>
      <c r="H1379" s="48" t="n">
        <v>23100</v>
      </c>
      <c r="I1379" s="48" t="n"/>
      <c r="J1379" s="48" t="n"/>
      <c r="K1379" s="47">
        <f t="array" ref="K1379">_xlfn.XLOOKUP(1,(참조!$B$2:$B$15=E1379)*(참조!$D$2:$D$15=C1379)*(참조!$E$2:$E$15=D1379),참조!$C$2:$C$15,"")</f>
        <v/>
      </c>
    </row>
    <row r="1380" hidden="1" s="27">
      <c r="A1380" s="47" t="inlineStr">
        <is>
          <t>이야기모바일</t>
        </is>
      </c>
      <c r="B1380" s="47" t="inlineStr">
        <is>
          <t>이야기K 데이터 7GB+(지니뮤직)</t>
        </is>
      </c>
      <c r="C1380" s="47" t="inlineStr">
        <is>
          <t>무제한</t>
        </is>
      </c>
      <c r="D1380" s="47" t="inlineStr">
        <is>
          <t>무제한</t>
        </is>
      </c>
      <c r="E1380" s="47" t="inlineStr">
        <is>
          <t>월 7GB + 1Mbps</t>
        </is>
      </c>
      <c r="F1380" s="47" t="inlineStr">
        <is>
          <t>KT</t>
        </is>
      </c>
      <c r="G1380" s="47" t="inlineStr">
        <is>
          <t>LTE</t>
        </is>
      </c>
      <c r="H1380" s="48" t="n">
        <v>12000</v>
      </c>
      <c r="I1380" s="48" t="n">
        <v>7</v>
      </c>
      <c r="J1380" s="48" t="n">
        <v>24200</v>
      </c>
      <c r="K1380" s="47">
        <f t="array" ref="K1380">_xlfn.XLOOKUP(1,(참조!$B$2:$B$15=E1380)*(참조!$D$2:$D$15=C1380)*(참조!$E$2:$E$15=D1380),참조!$C$2:$C$15,"")</f>
        <v/>
      </c>
    </row>
    <row r="1381" hidden="1" s="27">
      <c r="A1381" s="47" t="inlineStr">
        <is>
          <t>아이즈모바일</t>
        </is>
      </c>
      <c r="B1381" s="47" t="inlineStr">
        <is>
          <t>[K]CU&amp;롯시 300분/15GB+</t>
        </is>
      </c>
      <c r="C1381" s="47" t="inlineStr">
        <is>
          <t>300분</t>
        </is>
      </c>
      <c r="D1381" s="47" t="inlineStr">
        <is>
          <t>300건</t>
        </is>
      </c>
      <c r="E1381" s="47" t="inlineStr">
        <is>
          <t>월 15GB + 3Mbps</t>
        </is>
      </c>
      <c r="F1381" s="47" t="inlineStr">
        <is>
          <t>KT</t>
        </is>
      </c>
      <c r="G1381" s="47" t="inlineStr">
        <is>
          <t>LTE</t>
        </is>
      </c>
      <c r="H1381" s="48" t="n">
        <v>11900</v>
      </c>
      <c r="I1381" s="48" t="n">
        <v>7</v>
      </c>
      <c r="J1381" s="48" t="n">
        <v>41800</v>
      </c>
      <c r="K1381" s="47">
        <f t="array" ref="K1381">_xlfn.XLOOKUP(1,(참조!$B$2:$B$15=E1381)*(참조!$D$2:$D$15=C1381)*(참조!$E$2:$E$15=D1381),참조!$C$2:$C$15,"")</f>
        <v/>
      </c>
    </row>
    <row r="1382" hidden="1" s="27">
      <c r="A1382" s="47" t="inlineStr">
        <is>
          <t>모빙</t>
        </is>
      </c>
      <c r="B1382" s="47" t="inlineStr">
        <is>
          <t>모빙 300분20GB</t>
        </is>
      </c>
      <c r="C1382" s="47" t="inlineStr">
        <is>
          <t>300분</t>
        </is>
      </c>
      <c r="D1382" s="47" t="inlineStr">
        <is>
          <t>300건</t>
        </is>
      </c>
      <c r="E1382" s="47" t="inlineStr">
        <is>
          <t>월 20GB</t>
        </is>
      </c>
      <c r="F1382" s="47" t="inlineStr">
        <is>
          <t>SKT</t>
        </is>
      </c>
      <c r="G1382" s="47" t="inlineStr">
        <is>
          <t>LTE</t>
        </is>
      </c>
      <c r="H1382" s="48" t="n">
        <v>9900</v>
      </c>
      <c r="I1382" s="48" t="n"/>
      <c r="J1382" s="48" t="n"/>
      <c r="K1382" s="47">
        <f t="array" ref="K1382">_xlfn.XLOOKUP(1,(참조!$B$2:$B$15=E1382)*(참조!$D$2:$D$15=C1382)*(참조!$E$2:$E$15=D1382),참조!$C$2:$C$15,"")</f>
        <v/>
      </c>
    </row>
    <row r="1383" hidden="1" s="27">
      <c r="A1383" s="47" t="inlineStr">
        <is>
          <t>에이모바일</t>
        </is>
      </c>
      <c r="B1383" s="47" t="inlineStr">
        <is>
          <t>A 갓성비 6GB/200분 6</t>
        </is>
      </c>
      <c r="C1383" s="47" t="inlineStr">
        <is>
          <t>200분</t>
        </is>
      </c>
      <c r="D1383" s="47" t="inlineStr">
        <is>
          <t>100건</t>
        </is>
      </c>
      <c r="E1383" s="47" t="inlineStr">
        <is>
          <t>월 6GB</t>
        </is>
      </c>
      <c r="F1383" s="47" t="inlineStr">
        <is>
          <t>LG U+</t>
        </is>
      </c>
      <c r="G1383" s="47" t="inlineStr">
        <is>
          <t>LTE</t>
        </is>
      </c>
      <c r="H1383" s="48" t="n">
        <v>220</v>
      </c>
      <c r="I1383" s="48" t="n">
        <v>6</v>
      </c>
      <c r="J1383" s="48" t="n">
        <v>10450</v>
      </c>
      <c r="K1383" s="47">
        <f t="array" ref="K1383">_xlfn.XLOOKUP(1,(참조!$B$2:$B$15=E1383)*(참조!$D$2:$D$15=C1383)*(참조!$E$2:$E$15=D1383),참조!$C$2:$C$15,"")</f>
        <v/>
      </c>
    </row>
    <row r="1384" hidden="1" s="27">
      <c r="A1384" s="47" t="inlineStr">
        <is>
          <t>모빙</t>
        </is>
      </c>
      <c r="B1384" s="47" t="inlineStr">
        <is>
          <t>[K] 5G 300분6GB</t>
        </is>
      </c>
      <c r="C1384" s="47" t="inlineStr">
        <is>
          <t>300분</t>
        </is>
      </c>
      <c r="D1384" s="47" t="inlineStr">
        <is>
          <t>300건</t>
        </is>
      </c>
      <c r="E1384" s="47" t="inlineStr">
        <is>
          <t>월 6GB</t>
        </is>
      </c>
      <c r="F1384" s="47" t="inlineStr">
        <is>
          <t>KT</t>
        </is>
      </c>
      <c r="G1384" s="47" t="inlineStr">
        <is>
          <t>5G</t>
        </is>
      </c>
      <c r="H1384" s="48" t="n">
        <v>110</v>
      </c>
      <c r="I1384" s="48" t="n">
        <v>5</v>
      </c>
      <c r="J1384" s="48" t="n">
        <v>19800</v>
      </c>
      <c r="K1384" s="47">
        <f t="array" ref="K1384">_xlfn.XLOOKUP(1,(참조!$B$2:$B$15=E1384)*(참조!$D$2:$D$15=C1384)*(참조!$E$2:$E$15=D1384),참조!$C$2:$C$15,"")</f>
        <v/>
      </c>
    </row>
    <row r="1385" hidden="1" s="27">
      <c r="A1385" s="47" t="inlineStr">
        <is>
          <t>에이모바일</t>
        </is>
      </c>
      <c r="B1385" s="47" t="inlineStr">
        <is>
          <t>A 스마트 10GB/100분</t>
        </is>
      </c>
      <c r="C1385" s="47" t="inlineStr">
        <is>
          <t>100분</t>
        </is>
      </c>
      <c r="D1385" s="47" t="inlineStr">
        <is>
          <t>100건</t>
        </is>
      </c>
      <c r="E1385" s="47" t="inlineStr">
        <is>
          <t>월 10GB</t>
        </is>
      </c>
      <c r="F1385" s="47" t="inlineStr">
        <is>
          <t>SKT</t>
        </is>
      </c>
      <c r="G1385" s="47" t="inlineStr">
        <is>
          <t>LTE</t>
        </is>
      </c>
      <c r="H1385" s="48" t="n">
        <v>110</v>
      </c>
      <c r="I1385" s="48" t="n">
        <v>7</v>
      </c>
      <c r="J1385" s="48" t="n">
        <v>12100</v>
      </c>
      <c r="K1385" s="47">
        <f t="array" ref="K1385">_xlfn.XLOOKUP(1,(참조!$B$2:$B$15=E1385)*(참조!$D$2:$D$15=C1385)*(참조!$E$2:$E$15=D1385),참조!$C$2:$C$15,"")</f>
        <v/>
      </c>
    </row>
    <row r="1386" hidden="1" s="27">
      <c r="A1386" s="47" t="inlineStr">
        <is>
          <t>에이모바일</t>
        </is>
      </c>
      <c r="B1386" s="47" t="inlineStr">
        <is>
          <t>A 스페셜 15GB+ (24개월)</t>
        </is>
      </c>
      <c r="C1386" s="47" t="inlineStr">
        <is>
          <t>무제한</t>
        </is>
      </c>
      <c r="D1386" s="47" t="inlineStr">
        <is>
          <t>무제한</t>
        </is>
      </c>
      <c r="E1386" s="47" t="inlineStr">
        <is>
          <t>월 15GB + 1Mbps</t>
        </is>
      </c>
      <c r="F1386" s="47" t="inlineStr">
        <is>
          <t>LG U+</t>
        </is>
      </c>
      <c r="G1386" s="47" t="inlineStr">
        <is>
          <t>LTE</t>
        </is>
      </c>
      <c r="H1386" s="48" t="n">
        <v>20020</v>
      </c>
      <c r="I1386" s="48" t="n">
        <v>24</v>
      </c>
      <c r="J1386" s="48" t="n">
        <v>28600</v>
      </c>
      <c r="K1386" s="47">
        <f t="array" ref="K1386">_xlfn.XLOOKUP(1,(참조!$B$2:$B$15=E1386)*(참조!$D$2:$D$15=C1386)*(참조!$E$2:$E$15=D1386),참조!$C$2:$C$15,"")</f>
        <v/>
      </c>
    </row>
    <row r="1387" hidden="1" s="27">
      <c r="A1387" s="47" t="inlineStr">
        <is>
          <t>KT엠모바일</t>
        </is>
      </c>
      <c r="B1387" s="47" t="inlineStr">
        <is>
          <t>5G 모두다 맘껏 90GB+(밀리의 서재 FREE)</t>
        </is>
      </c>
      <c r="C1387" s="47" t="inlineStr">
        <is>
          <t>무제한</t>
        </is>
      </c>
      <c r="D1387" s="47" t="inlineStr">
        <is>
          <t>무제한</t>
        </is>
      </c>
      <c r="E1387" s="47" t="inlineStr">
        <is>
          <t>월 90GB + 1Mbps</t>
        </is>
      </c>
      <c r="F1387" s="47" t="inlineStr">
        <is>
          <t>KT</t>
        </is>
      </c>
      <c r="G1387" s="47" t="inlineStr">
        <is>
          <t>5G</t>
        </is>
      </c>
      <c r="H1387" s="48" t="n">
        <v>40300</v>
      </c>
      <c r="I1387" s="48" t="n"/>
      <c r="J1387" s="48" t="n"/>
      <c r="K1387" s="47">
        <f t="array" ref="K1387">_xlfn.XLOOKUP(1,(참조!$B$2:$B$15=E1387)*(참조!$D$2:$D$15=C1387)*(참조!$E$2:$E$15=D1387),참조!$C$2:$C$15,"")</f>
        <v/>
      </c>
    </row>
    <row r="1388" hidden="1" s="27">
      <c r="A1388" s="47" t="inlineStr">
        <is>
          <t>이지모바일</t>
        </is>
      </c>
      <c r="B1388" s="47" t="inlineStr">
        <is>
          <t>EG CU 데이터 15G+3/300분(CU할인)</t>
        </is>
      </c>
      <c r="C1388" s="47" t="inlineStr">
        <is>
          <t>300분</t>
        </is>
      </c>
      <c r="D1388" s="47" t="inlineStr">
        <is>
          <t>300건</t>
        </is>
      </c>
      <c r="E1388" s="47" t="inlineStr">
        <is>
          <t>월 15GB + 3Mbps</t>
        </is>
      </c>
      <c r="F1388" s="47" t="inlineStr">
        <is>
          <t>KT</t>
        </is>
      </c>
      <c r="G1388" s="47" t="inlineStr">
        <is>
          <t>LTE</t>
        </is>
      </c>
      <c r="H1388" s="48" t="n">
        <v>19000</v>
      </c>
      <c r="I1388" s="48" t="n">
        <v>7</v>
      </c>
      <c r="J1388" s="48" t="n">
        <v>33000</v>
      </c>
      <c r="K1388" s="47">
        <f t="array" ref="K1388">_xlfn.XLOOKUP(1,(참조!$B$2:$B$15=E1388)*(참조!$D$2:$D$15=C1388)*(참조!$E$2:$E$15=D1388),참조!$C$2:$C$15,"")</f>
        <v/>
      </c>
    </row>
    <row r="1389" hidden="1" s="27">
      <c r="A1389" s="47" t="inlineStr">
        <is>
          <t>핀다이렉트</t>
        </is>
      </c>
      <c r="B1389" s="47" t="inlineStr">
        <is>
          <t>[L] 핀다이렉트Z 7GB+</t>
        </is>
      </c>
      <c r="C1389" s="47" t="inlineStr">
        <is>
          <t>무제한</t>
        </is>
      </c>
      <c r="D1389" s="47" t="inlineStr">
        <is>
          <t>무제한</t>
        </is>
      </c>
      <c r="E1389" s="47" t="inlineStr">
        <is>
          <t>월 7GB + 1Mbps</t>
        </is>
      </c>
      <c r="F1389" s="47" t="inlineStr">
        <is>
          <t>LG U+</t>
        </is>
      </c>
      <c r="G1389" s="47" t="inlineStr">
        <is>
          <t>LTE</t>
        </is>
      </c>
      <c r="H1389" s="48" t="n">
        <v>10000</v>
      </c>
      <c r="I1389" s="48" t="n">
        <v>7</v>
      </c>
      <c r="J1389" s="48" t="n">
        <v>22000</v>
      </c>
      <c r="K1389" s="47">
        <f t="array" ref="K1389">_xlfn.XLOOKUP(1,(참조!$B$2:$B$15=E1389)*(참조!$D$2:$D$15=C1389)*(참조!$E$2:$E$15=D1389),참조!$C$2:$C$15,"")</f>
        <v/>
      </c>
    </row>
    <row r="1390" hidden="1" s="27">
      <c r="A1390" s="47" t="inlineStr">
        <is>
          <t>모빙</t>
        </is>
      </c>
      <c r="B1390" s="47" t="inlineStr">
        <is>
          <t>모빙 500분 7GB</t>
        </is>
      </c>
      <c r="C1390" s="47" t="inlineStr">
        <is>
          <t>500분</t>
        </is>
      </c>
      <c r="D1390" s="47" t="inlineStr">
        <is>
          <t>500건</t>
        </is>
      </c>
      <c r="E1390" s="47" t="inlineStr">
        <is>
          <t>월 7GB</t>
        </is>
      </c>
      <c r="F1390" s="47" t="inlineStr">
        <is>
          <t>SKT</t>
        </is>
      </c>
      <c r="G1390" s="47" t="inlineStr">
        <is>
          <t>LTE</t>
        </is>
      </c>
      <c r="H1390" s="48" t="n">
        <v>5000</v>
      </c>
      <c r="I1390" s="48" t="n"/>
      <c r="J1390" s="48" t="n"/>
      <c r="K1390" s="47">
        <f t="array" ref="K1390">_xlfn.XLOOKUP(1,(참조!$B$2:$B$15=E1390)*(참조!$D$2:$D$15=C1390)*(참조!$E$2:$E$15=D1390),참조!$C$2:$C$15,"")</f>
        <v/>
      </c>
    </row>
    <row r="1391" hidden="1" s="27">
      <c r="A1391" s="47" t="inlineStr">
        <is>
          <t>모빙</t>
        </is>
      </c>
      <c r="B1391" s="47" t="inlineStr">
        <is>
          <t>[L] 200분2GB</t>
        </is>
      </c>
      <c r="C1391" s="47" t="inlineStr">
        <is>
          <t>200분</t>
        </is>
      </c>
      <c r="D1391" s="47" t="inlineStr">
        <is>
          <t>200건</t>
        </is>
      </c>
      <c r="E1391" s="47" t="inlineStr">
        <is>
          <t>월 2GB</t>
        </is>
      </c>
      <c r="F1391" s="47" t="inlineStr">
        <is>
          <t>LG U+</t>
        </is>
      </c>
      <c r="G1391" s="47" t="inlineStr">
        <is>
          <t>LTE</t>
        </is>
      </c>
      <c r="H1391" s="48" t="n">
        <v>2800</v>
      </c>
      <c r="I1391" s="48" t="n"/>
      <c r="J1391" s="48" t="n"/>
      <c r="K1391" s="47">
        <f t="array" ref="K1391">_xlfn.XLOOKUP(1,(참조!$B$2:$B$15=E1391)*(참조!$D$2:$D$15=C1391)*(참조!$E$2:$E$15=D1391),참조!$C$2:$C$15,"")</f>
        <v/>
      </c>
    </row>
    <row r="1392" hidden="1" s="27">
      <c r="A1392" s="47" t="inlineStr">
        <is>
          <t>모빙</t>
        </is>
      </c>
      <c r="B1392" s="47" t="inlineStr">
        <is>
          <t>[S] 500분10GB</t>
        </is>
      </c>
      <c r="C1392" s="47" t="inlineStr">
        <is>
          <t>500분</t>
        </is>
      </c>
      <c r="D1392" s="47" t="inlineStr">
        <is>
          <t>500건</t>
        </is>
      </c>
      <c r="E1392" s="47" t="inlineStr">
        <is>
          <t>월 10GB</t>
        </is>
      </c>
      <c r="F1392" s="47" t="inlineStr">
        <is>
          <t>SKT</t>
        </is>
      </c>
      <c r="G1392" s="47" t="inlineStr">
        <is>
          <t>LTE</t>
        </is>
      </c>
      <c r="H1392" s="48" t="n">
        <v>10</v>
      </c>
      <c r="I1392" s="48" t="n">
        <v>7</v>
      </c>
      <c r="J1392" s="48" t="n">
        <v>28600</v>
      </c>
      <c r="K1392" s="47">
        <f t="array" ref="K1392">_xlfn.XLOOKUP(1,(참조!$B$2:$B$15=E1392)*(참조!$D$2:$D$15=C1392)*(참조!$E$2:$E$15=D1392),참조!$C$2:$C$15,"")</f>
        <v/>
      </c>
    </row>
    <row r="1393" hidden="1" s="27">
      <c r="A1393" s="47" t="inlineStr">
        <is>
          <t>모빙</t>
        </is>
      </c>
      <c r="B1393" s="47" t="inlineStr">
        <is>
          <t>[L] 5G 데이터 95GB+</t>
        </is>
      </c>
      <c r="C1393" s="47" t="inlineStr">
        <is>
          <t>무제한</t>
        </is>
      </c>
      <c r="D1393" s="47" t="inlineStr">
        <is>
          <t>무제한</t>
        </is>
      </c>
      <c r="E1393" s="47" t="inlineStr">
        <is>
          <t>월 95GB + 3Mbps</t>
        </is>
      </c>
      <c r="F1393" s="47" t="inlineStr">
        <is>
          <t>LG U+</t>
        </is>
      </c>
      <c r="G1393" s="47" t="inlineStr">
        <is>
          <t>5G</t>
        </is>
      </c>
      <c r="H1393" s="48" t="n">
        <v>9900</v>
      </c>
      <c r="I1393" s="48" t="n">
        <v>7</v>
      </c>
      <c r="J1393" s="48" t="n">
        <v>51700</v>
      </c>
      <c r="K1393" s="47">
        <f t="array" ref="K1393">_xlfn.XLOOKUP(1,(참조!$B$2:$B$15=E1393)*(참조!$D$2:$D$15=C1393)*(참조!$E$2:$E$15=D1393),참조!$C$2:$C$15,"")</f>
        <v/>
      </c>
    </row>
    <row r="1394" hidden="1" s="27">
      <c r="A1394" s="47" t="inlineStr">
        <is>
          <t>아이즈모바일</t>
        </is>
      </c>
      <c r="B1394" s="47" t="inlineStr">
        <is>
          <t>[S]OK캐쉬백 11GB+</t>
        </is>
      </c>
      <c r="C1394" s="47" t="inlineStr">
        <is>
          <t>무제한</t>
        </is>
      </c>
      <c r="D1394" s="47" t="inlineStr">
        <is>
          <t>무제한</t>
        </is>
      </c>
      <c r="E1394" s="47" t="inlineStr">
        <is>
          <t>월 11GB + 매일 2GB + 3Mbps</t>
        </is>
      </c>
      <c r="F1394" s="47" t="inlineStr">
        <is>
          <t>SKT</t>
        </is>
      </c>
      <c r="G1394" s="47" t="inlineStr">
        <is>
          <t>LTE</t>
        </is>
      </c>
      <c r="H1394" s="48" t="n">
        <v>29900</v>
      </c>
      <c r="I1394" s="48" t="n">
        <v>12</v>
      </c>
      <c r="J1394" s="48" t="n">
        <v>48400</v>
      </c>
      <c r="K1394" s="47">
        <f t="array" ref="K1394">_xlfn.XLOOKUP(1,(참조!$B$2:$B$15=E1394)*(참조!$D$2:$D$15=C1394)*(참조!$E$2:$E$15=D1394),참조!$C$2:$C$15,"")</f>
        <v/>
      </c>
    </row>
    <row r="1395" hidden="1" s="27">
      <c r="A1395" s="47" t="inlineStr">
        <is>
          <t>티플러스</t>
        </is>
      </c>
      <c r="B1395" s="47" t="inlineStr">
        <is>
          <t>티플북 10G+(도서문화상품권 매월 5000P)</t>
        </is>
      </c>
      <c r="C1395" s="47" t="inlineStr">
        <is>
          <t>무제한</t>
        </is>
      </c>
      <c r="D1395" s="47" t="inlineStr">
        <is>
          <t>무제한</t>
        </is>
      </c>
      <c r="E1395" s="47" t="inlineStr">
        <is>
          <t>월 10GB + 1Mbps</t>
        </is>
      </c>
      <c r="F1395" s="47" t="inlineStr">
        <is>
          <t>SKT</t>
        </is>
      </c>
      <c r="G1395" s="47" t="inlineStr">
        <is>
          <t>LTE</t>
        </is>
      </c>
      <c r="H1395" s="48" t="n">
        <v>6900</v>
      </c>
      <c r="I1395" s="48" t="n">
        <v>7</v>
      </c>
      <c r="J1395" s="48" t="n">
        <v>33000</v>
      </c>
      <c r="K1395" s="47">
        <f t="array" ref="K1395">_xlfn.XLOOKUP(1,(참조!$B$2:$B$15=E1395)*(참조!$D$2:$D$15=C1395)*(참조!$E$2:$E$15=D1395),참조!$C$2:$C$15,"")</f>
        <v/>
      </c>
    </row>
    <row r="1396" hidden="1" s="27">
      <c r="A1396" s="47" t="inlineStr">
        <is>
          <t>아이즈모바일</t>
        </is>
      </c>
      <c r="B1396" s="47" t="inlineStr">
        <is>
          <t>[L]아이즈100분/15GB+</t>
        </is>
      </c>
      <c r="C1396" s="47" t="inlineStr">
        <is>
          <t>100분</t>
        </is>
      </c>
      <c r="D1396" s="47" t="inlineStr">
        <is>
          <t>100건</t>
        </is>
      </c>
      <c r="E1396" s="47" t="inlineStr">
        <is>
          <t>월 15GB + 3Mbps</t>
        </is>
      </c>
      <c r="F1396" s="47" t="inlineStr">
        <is>
          <t>LG U+</t>
        </is>
      </c>
      <c r="G1396" s="47" t="inlineStr">
        <is>
          <t>LTE</t>
        </is>
      </c>
      <c r="H1396" s="48" t="n">
        <v>10900</v>
      </c>
      <c r="I1396" s="48" t="n">
        <v>7</v>
      </c>
      <c r="J1396" s="48" t="n">
        <v>37400</v>
      </c>
      <c r="K1396" s="47">
        <f t="array" ref="K1396">_xlfn.XLOOKUP(1,(참조!$B$2:$B$15=E1396)*(참조!$D$2:$D$15=C1396)*(참조!$E$2:$E$15=D1396),참조!$C$2:$C$15,"")</f>
        <v/>
      </c>
    </row>
    <row r="1397" hidden="1" s="27">
      <c r="A1397" s="47" t="inlineStr">
        <is>
          <t>아이즈모바일</t>
        </is>
      </c>
      <c r="B1397" s="47" t="inlineStr">
        <is>
          <t>[S]올리브영100분/15GB+</t>
        </is>
      </c>
      <c r="C1397" s="47" t="inlineStr">
        <is>
          <t>100분</t>
        </is>
      </c>
      <c r="D1397" s="47" t="inlineStr">
        <is>
          <t>100건</t>
        </is>
      </c>
      <c r="E1397" s="47" t="inlineStr">
        <is>
          <t>월 15GB + 3Mbps</t>
        </is>
      </c>
      <c r="F1397" s="47" t="inlineStr">
        <is>
          <t>SKT</t>
        </is>
      </c>
      <c r="G1397" s="47" t="inlineStr">
        <is>
          <t>LTE</t>
        </is>
      </c>
      <c r="H1397" s="48" t="n">
        <v>6000</v>
      </c>
      <c r="I1397" s="48" t="n">
        <v>7</v>
      </c>
      <c r="J1397" s="48" t="n">
        <v>37400</v>
      </c>
      <c r="K1397" s="47">
        <f t="array" ref="K1397">_xlfn.XLOOKUP(1,(참조!$B$2:$B$15=E1397)*(참조!$D$2:$D$15=C1397)*(참조!$E$2:$E$15=D1397),참조!$C$2:$C$15,"")</f>
        <v/>
      </c>
    </row>
    <row r="1398" hidden="1" s="27">
      <c r="A1398" s="47" t="inlineStr">
        <is>
          <t>에이모바일</t>
        </is>
      </c>
      <c r="B1398" s="47" t="inlineStr">
        <is>
          <t>A 올라잇 15GB+ 밀리의서재</t>
        </is>
      </c>
      <c r="C1398" s="47" t="inlineStr">
        <is>
          <t>무제한</t>
        </is>
      </c>
      <c r="D1398" s="47" t="inlineStr">
        <is>
          <t>무제한</t>
        </is>
      </c>
      <c r="E1398" s="47" t="inlineStr">
        <is>
          <t>월 15GB + 1Mbps</t>
        </is>
      </c>
      <c r="F1398" s="47" t="inlineStr">
        <is>
          <t>KT</t>
        </is>
      </c>
      <c r="G1398" s="47" t="inlineStr">
        <is>
          <t>LTE</t>
        </is>
      </c>
      <c r="H1398" s="48" t="n">
        <v>5500</v>
      </c>
      <c r="I1398" s="48" t="n">
        <v>7</v>
      </c>
      <c r="J1398" s="48" t="n">
        <v>24200</v>
      </c>
      <c r="K1398" s="47">
        <f t="array" ref="K1398">_xlfn.XLOOKUP(1,(참조!$B$2:$B$15=E1398)*(참조!$D$2:$D$15=C1398)*(참조!$E$2:$E$15=D1398),참조!$C$2:$C$15,"")</f>
        <v/>
      </c>
    </row>
    <row r="1399" hidden="1" s="27">
      <c r="A1399" s="47" t="inlineStr">
        <is>
          <t>더원모바일</t>
        </is>
      </c>
      <c r="B1399" s="47" t="inlineStr">
        <is>
          <t>TOP 5G 200GB 기본 (지니뮤직)</t>
        </is>
      </c>
      <c r="C1399" s="47" t="inlineStr">
        <is>
          <t>무제한</t>
        </is>
      </c>
      <c r="D1399" s="47" t="inlineStr">
        <is>
          <t>무제한</t>
        </is>
      </c>
      <c r="E1399" s="47" t="inlineStr">
        <is>
          <t>월 200GB + 10Mbps</t>
        </is>
      </c>
      <c r="F1399" s="47" t="inlineStr">
        <is>
          <t>KT</t>
        </is>
      </c>
      <c r="G1399" s="47" t="inlineStr">
        <is>
          <t>5G</t>
        </is>
      </c>
      <c r="H1399" s="48" t="n">
        <v>24200</v>
      </c>
      <c r="I1399" s="48" t="n">
        <v>7</v>
      </c>
      <c r="J1399" s="48" t="n">
        <v>55000</v>
      </c>
      <c r="K1399" s="47">
        <f t="array" ref="K1399">_xlfn.XLOOKUP(1,(참조!$B$2:$B$15=E1399)*(참조!$D$2:$D$15=C1399)*(참조!$E$2:$E$15=D1399),참조!$C$2:$C$15,"")</f>
        <v/>
      </c>
    </row>
    <row r="1400" hidden="1" s="27">
      <c r="A1400" s="47" t="inlineStr">
        <is>
          <t>스마텔</t>
        </is>
      </c>
      <c r="B1400" s="47" t="inlineStr">
        <is>
          <t>스위트 100GB+</t>
        </is>
      </c>
      <c r="C1400" s="47" t="inlineStr">
        <is>
          <t>무제한</t>
        </is>
      </c>
      <c r="D1400" s="47" t="inlineStr">
        <is>
          <t>무제한</t>
        </is>
      </c>
      <c r="E1400" s="47" t="inlineStr">
        <is>
          <t>월 100GB + 5Mbps</t>
        </is>
      </c>
      <c r="F1400" s="47" t="inlineStr">
        <is>
          <t>KT</t>
        </is>
      </c>
      <c r="G1400" s="47" t="inlineStr">
        <is>
          <t>LTE</t>
        </is>
      </c>
      <c r="H1400" s="48" t="n">
        <v>41800</v>
      </c>
      <c r="I1400" s="48" t="n">
        <v>36</v>
      </c>
      <c r="J1400" s="48" t="n">
        <v>46200</v>
      </c>
      <c r="K1400" s="47">
        <f t="array" ref="K1400">_xlfn.XLOOKUP(1,(참조!$B$2:$B$15=E1400)*(참조!$D$2:$D$15=C1400)*(참조!$E$2:$E$15=D1400),참조!$C$2:$C$15,"")</f>
        <v/>
      </c>
    </row>
    <row r="1401">
      <c r="A1401" s="47" t="inlineStr">
        <is>
          <t>모빙</t>
        </is>
      </c>
      <c r="B1401" s="47" t="inlineStr">
        <is>
          <t>[K] 5G 200분15GB</t>
        </is>
      </c>
      <c r="C1401" s="47" t="inlineStr">
        <is>
          <t>200분</t>
        </is>
      </c>
      <c r="D1401" s="47" t="inlineStr">
        <is>
          <t>100건</t>
        </is>
      </c>
      <c r="E1401" s="47" t="inlineStr">
        <is>
          <t>월 15GB</t>
        </is>
      </c>
      <c r="F1401" s="47" t="inlineStr">
        <is>
          <t>KT</t>
        </is>
      </c>
      <c r="G1401" s="47" t="inlineStr">
        <is>
          <t>5G</t>
        </is>
      </c>
      <c r="H1401" s="48" t="n">
        <v>5610</v>
      </c>
      <c r="I1401" s="48" t="n">
        <v>7</v>
      </c>
      <c r="J1401" s="48" t="n">
        <v>34100</v>
      </c>
      <c r="K1401" s="47">
        <f t="array" ref="K1401">_xlfn.XLOOKUP(1,(참조!$B$2:$B$15=E1401)*(참조!$D$2:$D$15=C1401)*(참조!$E$2:$E$15=D1401),참조!$C$2:$C$15,"")</f>
        <v/>
      </c>
    </row>
    <row r="1402" hidden="1" s="27">
      <c r="A1402" s="47" t="inlineStr">
        <is>
          <t>이지모바일</t>
        </is>
      </c>
      <c r="B1402" s="47" t="inlineStr">
        <is>
          <t>[5G]EG 무제한 110GB+5(올영5000원)</t>
        </is>
      </c>
      <c r="C1402" s="47" t="inlineStr">
        <is>
          <t>무제한</t>
        </is>
      </c>
      <c r="D1402" s="47" t="inlineStr">
        <is>
          <t>무제한</t>
        </is>
      </c>
      <c r="E1402" s="47" t="inlineStr">
        <is>
          <t>월 110GB + 5Mbps</t>
        </is>
      </c>
      <c r="F1402" s="47" t="inlineStr">
        <is>
          <t>KT</t>
        </is>
      </c>
      <c r="G1402" s="47" t="inlineStr">
        <is>
          <t>5G</t>
        </is>
      </c>
      <c r="H1402" s="48" t="n">
        <v>25500</v>
      </c>
      <c r="I1402" s="48" t="n">
        <v>7</v>
      </c>
      <c r="J1402" s="48" t="n">
        <v>49500</v>
      </c>
      <c r="K1402" s="47">
        <f t="array" ref="K1402">_xlfn.XLOOKUP(1,(참조!$B$2:$B$15=E1402)*(참조!$D$2:$D$15=C1402)*(참조!$E$2:$E$15=D1402),참조!$C$2:$C$15,"")</f>
        <v/>
      </c>
    </row>
    <row r="1403" hidden="1" s="27">
      <c r="A1403" s="47" t="inlineStr">
        <is>
          <t>에이모바일</t>
        </is>
      </c>
      <c r="B1403" s="47" t="inlineStr">
        <is>
          <t>A 스페셜 15GB+/100분 (24개월)</t>
        </is>
      </c>
      <c r="C1403" s="47" t="inlineStr">
        <is>
          <t>100분</t>
        </is>
      </c>
      <c r="D1403" s="47" t="inlineStr">
        <is>
          <t>100건</t>
        </is>
      </c>
      <c r="E1403" s="47" t="inlineStr">
        <is>
          <t>월 15GB + 3Mbps</t>
        </is>
      </c>
      <c r="F1403" s="47" t="inlineStr">
        <is>
          <t>LG U+</t>
        </is>
      </c>
      <c r="G1403" s="47" t="inlineStr">
        <is>
          <t>LTE</t>
        </is>
      </c>
      <c r="H1403" s="48" t="n">
        <v>21010</v>
      </c>
      <c r="I1403" s="48" t="n">
        <v>24</v>
      </c>
      <c r="J1403" s="48" t="n">
        <v>28600</v>
      </c>
      <c r="K1403" s="47">
        <f t="array" ref="K1403">_xlfn.XLOOKUP(1,(참조!$B$2:$B$15=E1403)*(참조!$D$2:$D$15=C1403)*(참조!$E$2:$E$15=D1403),참조!$C$2:$C$15,"")</f>
        <v/>
      </c>
    </row>
    <row r="1404" hidden="1" s="27">
      <c r="A1404" s="47" t="inlineStr">
        <is>
          <t>모빙</t>
        </is>
      </c>
      <c r="B1404" s="47" t="inlineStr">
        <is>
          <t>[L] 데이터7GB+_2y_plus</t>
        </is>
      </c>
      <c r="C1404" s="47" t="inlineStr">
        <is>
          <t>무제한</t>
        </is>
      </c>
      <c r="D1404" s="47" t="inlineStr">
        <is>
          <t>무제한</t>
        </is>
      </c>
      <c r="E1404" s="47" t="inlineStr">
        <is>
          <t>월 7GB + 1Mbps</t>
        </is>
      </c>
      <c r="F1404" s="47" t="inlineStr">
        <is>
          <t>LG U+</t>
        </is>
      </c>
      <c r="G1404" s="47" t="inlineStr">
        <is>
          <t>LTE</t>
        </is>
      </c>
      <c r="H1404" s="48" t="n">
        <v>12000</v>
      </c>
      <c r="I1404" s="48" t="n">
        <v>24</v>
      </c>
      <c r="J1404" s="48" t="n">
        <v>42000</v>
      </c>
      <c r="K1404" s="47">
        <f t="array" ref="K1404">_xlfn.XLOOKUP(1,(참조!$B$2:$B$15=E1404)*(참조!$D$2:$D$15=C1404)*(참조!$E$2:$E$15=D1404),참조!$C$2:$C$15,"")</f>
        <v/>
      </c>
    </row>
    <row r="1405" hidden="1" s="27">
      <c r="A1405" s="47" t="inlineStr">
        <is>
          <t>아이즈모바일</t>
        </is>
      </c>
      <c r="B1405" s="47" t="inlineStr">
        <is>
          <t>[L]무한7GB+</t>
        </is>
      </c>
      <c r="C1405" s="47" t="inlineStr">
        <is>
          <t>무제한</t>
        </is>
      </c>
      <c r="D1405" s="47" t="inlineStr">
        <is>
          <t>무제한</t>
        </is>
      </c>
      <c r="E1405" s="47" t="inlineStr">
        <is>
          <t>월 7GB + 1Mbps</t>
        </is>
      </c>
      <c r="F1405" s="47" t="inlineStr">
        <is>
          <t>LG U+</t>
        </is>
      </c>
      <c r="G1405" s="47" t="inlineStr">
        <is>
          <t>LTE</t>
        </is>
      </c>
      <c r="H1405" s="48" t="n">
        <v>12900</v>
      </c>
      <c r="I1405" s="48" t="n"/>
      <c r="J1405" s="48" t="n"/>
      <c r="K1405" s="47">
        <f t="array" ref="K1405">_xlfn.XLOOKUP(1,(참조!$B$2:$B$15=E1405)*(참조!$D$2:$D$15=C1405)*(참조!$E$2:$E$15=D1405),참조!$C$2:$C$15,"")</f>
        <v/>
      </c>
    </row>
    <row r="1406" hidden="1" s="27">
      <c r="A1406" s="47" t="inlineStr">
        <is>
          <t>스마텔</t>
        </is>
      </c>
      <c r="B1406" s="47" t="inlineStr">
        <is>
          <t>LTE 음성무제한 11GB</t>
        </is>
      </c>
      <c r="C1406" s="47" t="inlineStr">
        <is>
          <t>무제한</t>
        </is>
      </c>
      <c r="D1406" s="47" t="inlineStr">
        <is>
          <t>200건</t>
        </is>
      </c>
      <c r="E1406" s="47" t="inlineStr">
        <is>
          <t>월 11GB</t>
        </is>
      </c>
      <c r="F1406" s="47" t="inlineStr">
        <is>
          <t>SKT</t>
        </is>
      </c>
      <c r="G1406" s="47" t="inlineStr">
        <is>
          <t>LTE</t>
        </is>
      </c>
      <c r="H1406" s="48" t="n">
        <v>4500</v>
      </c>
      <c r="I1406" s="48" t="n">
        <v>7</v>
      </c>
      <c r="J1406" s="48" t="n">
        <v>19800</v>
      </c>
      <c r="K1406" s="47">
        <f t="array" ref="K1406">_xlfn.XLOOKUP(1,(참조!$B$2:$B$15=E1406)*(참조!$D$2:$D$15=C1406)*(참조!$E$2:$E$15=D1406),참조!$C$2:$C$15,"")</f>
        <v/>
      </c>
    </row>
    <row r="1407" hidden="1" s="27">
      <c r="A1407" s="47" t="inlineStr">
        <is>
          <t>쉐이크모바일</t>
        </is>
      </c>
      <c r="B1407" s="47" t="inlineStr">
        <is>
          <t>[모요only] 쉐이크 LTE 7GB+_모아진 전자 구독</t>
        </is>
      </c>
      <c r="C1407" s="47" t="inlineStr">
        <is>
          <t>무제한</t>
        </is>
      </c>
      <c r="D1407" s="47" t="inlineStr">
        <is>
          <t>무제한</t>
        </is>
      </c>
      <c r="E1407" s="47" t="inlineStr">
        <is>
          <t>월 7GB + 1Mbps</t>
        </is>
      </c>
      <c r="F1407" s="47" t="inlineStr">
        <is>
          <t>KT</t>
        </is>
      </c>
      <c r="G1407" s="47" t="inlineStr">
        <is>
          <t>LTE</t>
        </is>
      </c>
      <c r="H1407" s="48" t="n">
        <v>7700</v>
      </c>
      <c r="I1407" s="48" t="n">
        <v>7</v>
      </c>
      <c r="J1407" s="48" t="n">
        <v>23100</v>
      </c>
      <c r="K1407" s="47">
        <f t="array" ref="K1407">_xlfn.XLOOKUP(1,(참조!$B$2:$B$15=E1407)*(참조!$D$2:$D$15=C1407)*(참조!$E$2:$E$15=D1407),참조!$C$2:$C$15,"")</f>
        <v/>
      </c>
    </row>
    <row r="1408" hidden="1" s="27">
      <c r="A1408" s="47" t="inlineStr">
        <is>
          <t>인스모바일</t>
        </is>
      </c>
      <c r="B1408" s="47" t="inlineStr">
        <is>
          <t>실속 200분+2GB(USIM)</t>
        </is>
      </c>
      <c r="C1408" s="47" t="inlineStr">
        <is>
          <t>200분</t>
        </is>
      </c>
      <c r="D1408" s="47" t="inlineStr">
        <is>
          <t>50건</t>
        </is>
      </c>
      <c r="E1408" s="47" t="inlineStr">
        <is>
          <t>월 2GB</t>
        </is>
      </c>
      <c r="F1408" s="47" t="inlineStr">
        <is>
          <t>LG U+</t>
        </is>
      </c>
      <c r="G1408" s="47" t="inlineStr">
        <is>
          <t>LTE</t>
        </is>
      </c>
      <c r="H1408" s="48" t="n">
        <v>1100</v>
      </c>
      <c r="I1408" s="48" t="n">
        <v>6</v>
      </c>
      <c r="J1408" s="48" t="n">
        <v>12100</v>
      </c>
      <c r="K1408" s="47">
        <f t="array" ref="K1408">_xlfn.XLOOKUP(1,(참조!$B$2:$B$15=E1408)*(참조!$D$2:$D$15=C1408)*(참조!$E$2:$E$15=D1408),참조!$C$2:$C$15,"")</f>
        <v/>
      </c>
    </row>
    <row r="1409" hidden="1" s="27">
      <c r="A1409" s="47" t="inlineStr">
        <is>
          <t>아이즈모바일</t>
        </is>
      </c>
      <c r="B1409" s="47" t="inlineStr">
        <is>
          <t>[S]이디야 블루 11GB+</t>
        </is>
      </c>
      <c r="C1409" s="47" t="inlineStr">
        <is>
          <t>무제한</t>
        </is>
      </c>
      <c r="D1409" s="47" t="inlineStr">
        <is>
          <t>무제한</t>
        </is>
      </c>
      <c r="E1409" s="47" t="inlineStr">
        <is>
          <t>월 11GB + 매일 2GB + 3Mbps</t>
        </is>
      </c>
      <c r="F1409" s="47" t="inlineStr">
        <is>
          <t>SKT</t>
        </is>
      </c>
      <c r="G1409" s="47" t="inlineStr">
        <is>
          <t>LTE</t>
        </is>
      </c>
      <c r="H1409" s="48" t="n">
        <v>8900</v>
      </c>
      <c r="I1409" s="48" t="n">
        <v>7</v>
      </c>
      <c r="J1409" s="48" t="n">
        <v>48400</v>
      </c>
      <c r="K1409" s="47">
        <f t="array" ref="K1409">_xlfn.XLOOKUP(1,(참조!$B$2:$B$15=E1409)*(참조!$D$2:$D$15=C1409)*(참조!$E$2:$E$15=D1409),참조!$C$2:$C$15,"")</f>
        <v/>
      </c>
    </row>
    <row r="1410" hidden="1" s="27">
      <c r="A1410" s="47" t="inlineStr">
        <is>
          <t>스마텔</t>
        </is>
      </c>
      <c r="B1410" s="47" t="inlineStr">
        <is>
          <t>스위트 7GB+(지니뮤직) (+10GB 24개월간 추가 제공)</t>
        </is>
      </c>
      <c r="C1410" s="47" t="inlineStr">
        <is>
          <t>무제한</t>
        </is>
      </c>
      <c r="D1410" s="47" t="inlineStr">
        <is>
          <t>무제한</t>
        </is>
      </c>
      <c r="E1410" s="47" t="inlineStr">
        <is>
          <t>월 7GB + 1Mbps</t>
        </is>
      </c>
      <c r="F1410" s="47" t="inlineStr">
        <is>
          <t>KT</t>
        </is>
      </c>
      <c r="G1410" s="47" t="inlineStr">
        <is>
          <t>LTE</t>
        </is>
      </c>
      <c r="H1410" s="48" t="n">
        <v>22000</v>
      </c>
      <c r="I1410" s="48" t="n">
        <v>36</v>
      </c>
      <c r="J1410" s="48" t="n">
        <v>27500</v>
      </c>
      <c r="K1410" s="47">
        <f t="array" ref="K1410">_xlfn.XLOOKUP(1,(참조!$B$2:$B$15=E1410)*(참조!$D$2:$D$15=C1410)*(참조!$E$2:$E$15=D1410),참조!$C$2:$C$15,"")</f>
        <v/>
      </c>
    </row>
    <row r="1411" hidden="1" s="27">
      <c r="A1411" s="47" t="inlineStr">
        <is>
          <t>티플러스</t>
        </is>
      </c>
      <c r="B1411" s="47" t="inlineStr">
        <is>
          <t>티플 데이터마음껏1G(100분)</t>
        </is>
      </c>
      <c r="C1411" s="47" t="inlineStr">
        <is>
          <t>100분</t>
        </is>
      </c>
      <c r="D1411" s="47" t="inlineStr">
        <is>
          <t>100건</t>
        </is>
      </c>
      <c r="E1411" s="47" t="inlineStr">
        <is>
          <t>월 1GB + 1Mbps</t>
        </is>
      </c>
      <c r="F1411" s="47" t="inlineStr">
        <is>
          <t>LG U+</t>
        </is>
      </c>
      <c r="G1411" s="47" t="inlineStr">
        <is>
          <t>LTE</t>
        </is>
      </c>
      <c r="H1411" s="48" t="n">
        <v>6600</v>
      </c>
      <c r="I1411" s="48" t="n"/>
      <c r="J1411" s="48" t="n"/>
      <c r="K1411" s="47">
        <f t="array" ref="K1411">_xlfn.XLOOKUP(1,(참조!$B$2:$B$15=E1411)*(참조!$D$2:$D$15=C1411)*(참조!$E$2:$E$15=D1411),참조!$C$2:$C$15,"")</f>
        <v/>
      </c>
    </row>
    <row r="1412" hidden="1" s="27">
      <c r="A1412" s="47" t="inlineStr">
        <is>
          <t>더원모바일</t>
        </is>
      </c>
      <c r="B1412" s="47" t="inlineStr">
        <is>
          <t>TOP 5G 200GB 기본 (올리브영)</t>
        </is>
      </c>
      <c r="C1412" s="47" t="inlineStr">
        <is>
          <t>무제한</t>
        </is>
      </c>
      <c r="D1412" s="47" t="inlineStr">
        <is>
          <t>무제한</t>
        </is>
      </c>
      <c r="E1412" s="47" t="inlineStr">
        <is>
          <t>월 200GB + 10Mbps</t>
        </is>
      </c>
      <c r="F1412" s="47" t="inlineStr">
        <is>
          <t>KT</t>
        </is>
      </c>
      <c r="G1412" s="47" t="inlineStr">
        <is>
          <t>5G</t>
        </is>
      </c>
      <c r="H1412" s="48" t="n">
        <v>24200</v>
      </c>
      <c r="I1412" s="48" t="n">
        <v>7</v>
      </c>
      <c r="J1412" s="48" t="n">
        <v>55000</v>
      </c>
      <c r="K1412" s="47">
        <f t="array" ref="K1412">_xlfn.XLOOKUP(1,(참조!$B$2:$B$15=E1412)*(참조!$D$2:$D$15=C1412)*(참조!$E$2:$E$15=D1412),참조!$C$2:$C$15,"")</f>
        <v/>
      </c>
    </row>
    <row r="1413" hidden="1" s="27">
      <c r="A1413" s="47" t="inlineStr">
        <is>
          <t>스마텔</t>
        </is>
      </c>
      <c r="B1413" s="47" t="inlineStr">
        <is>
          <t>스위트 100GB+(왓챠)</t>
        </is>
      </c>
      <c r="C1413" s="47" t="inlineStr">
        <is>
          <t>무제한</t>
        </is>
      </c>
      <c r="D1413" s="47" t="inlineStr">
        <is>
          <t>무제한</t>
        </is>
      </c>
      <c r="E1413" s="47" t="inlineStr">
        <is>
          <t>월 100GB + 5Mbps</t>
        </is>
      </c>
      <c r="F1413" s="47" t="inlineStr">
        <is>
          <t>KT</t>
        </is>
      </c>
      <c r="G1413" s="47" t="inlineStr">
        <is>
          <t>LTE</t>
        </is>
      </c>
      <c r="H1413" s="48" t="n">
        <v>44000</v>
      </c>
      <c r="I1413" s="48" t="n">
        <v>36</v>
      </c>
      <c r="J1413" s="48" t="n">
        <v>49500</v>
      </c>
      <c r="K1413" s="47">
        <f t="array" ref="K1413">_xlfn.XLOOKUP(1,(참조!$B$2:$B$15=E1413)*(참조!$D$2:$D$15=C1413)*(참조!$E$2:$E$15=D1413),참조!$C$2:$C$15,"")</f>
        <v/>
      </c>
    </row>
    <row r="1414" hidden="1" s="27">
      <c r="A1414" s="47" t="inlineStr">
        <is>
          <t>아이즈모바일</t>
        </is>
      </c>
      <c r="B1414" s="47" t="inlineStr">
        <is>
          <t>[S]이디야 블루 15GB+/100분</t>
        </is>
      </c>
      <c r="C1414" s="47" t="inlineStr">
        <is>
          <t>100분</t>
        </is>
      </c>
      <c r="D1414" s="47" t="inlineStr">
        <is>
          <t>100건</t>
        </is>
      </c>
      <c r="E1414" s="47" t="inlineStr">
        <is>
          <t>월 15GB + 3Mbps</t>
        </is>
      </c>
      <c r="F1414" s="47" t="inlineStr">
        <is>
          <t>SKT</t>
        </is>
      </c>
      <c r="G1414" s="47" t="inlineStr">
        <is>
          <t>LTE</t>
        </is>
      </c>
      <c r="H1414" s="48" t="n">
        <v>6000</v>
      </c>
      <c r="I1414" s="48" t="n">
        <v>7</v>
      </c>
      <c r="J1414" s="48" t="n">
        <v>37400</v>
      </c>
      <c r="K1414" s="47">
        <f t="array" ref="K1414">_xlfn.XLOOKUP(1,(참조!$B$2:$B$15=E1414)*(참조!$D$2:$D$15=C1414)*(참조!$E$2:$E$15=D1414),참조!$C$2:$C$15,"")</f>
        <v/>
      </c>
    </row>
    <row r="1415" hidden="1" s="27">
      <c r="A1415" s="47" t="inlineStr">
        <is>
          <t>이지모바일</t>
        </is>
      </c>
      <c r="B1415" s="47" t="inlineStr">
        <is>
          <t>[5G]EG 데이터 5GB/100분</t>
        </is>
      </c>
      <c r="C1415" s="47" t="inlineStr">
        <is>
          <t>100분</t>
        </is>
      </c>
      <c r="D1415" s="47" t="inlineStr">
        <is>
          <t>100건</t>
        </is>
      </c>
      <c r="E1415" s="47" t="inlineStr">
        <is>
          <t>월 5GB</t>
        </is>
      </c>
      <c r="F1415" s="47" t="inlineStr">
        <is>
          <t>KT</t>
        </is>
      </c>
      <c r="G1415" s="47" t="inlineStr">
        <is>
          <t>5G</t>
        </is>
      </c>
      <c r="H1415" s="48" t="n">
        <v>2210</v>
      </c>
      <c r="I1415" s="48" t="n">
        <v>7</v>
      </c>
      <c r="J1415" s="48" t="n">
        <v>27000</v>
      </c>
      <c r="K1415" s="47">
        <f t="array" ref="K1415">_xlfn.XLOOKUP(1,(참조!$B$2:$B$15=E1415)*(참조!$D$2:$D$15=C1415)*(참조!$E$2:$E$15=D1415),참조!$C$2:$C$15,"")</f>
        <v/>
      </c>
    </row>
    <row r="1416" hidden="1" s="27">
      <c r="A1416" s="47" t="inlineStr">
        <is>
          <t>스마텔</t>
        </is>
      </c>
      <c r="B1416" s="47" t="inlineStr">
        <is>
          <t>스위트 11GB+(다이소 3000)</t>
        </is>
      </c>
      <c r="C1416" s="47" t="inlineStr">
        <is>
          <t>무제한</t>
        </is>
      </c>
      <c r="D1416" s="47" t="inlineStr">
        <is>
          <t>무제한</t>
        </is>
      </c>
      <c r="E1416" s="47" t="inlineStr">
        <is>
          <t>월 11GB + 매일 2GB + 3Mbps</t>
        </is>
      </c>
      <c r="F1416" s="47" t="inlineStr">
        <is>
          <t>KT</t>
        </is>
      </c>
      <c r="G1416" s="47" t="inlineStr">
        <is>
          <t>LTE</t>
        </is>
      </c>
      <c r="H1416" s="48" t="n">
        <v>22500</v>
      </c>
      <c r="I1416" s="48" t="n">
        <v>7</v>
      </c>
      <c r="J1416" s="48" t="n">
        <v>42130</v>
      </c>
      <c r="K1416" s="47">
        <f t="array" ref="K1416">_xlfn.XLOOKUP(1,(참조!$B$2:$B$15=E1416)*(참조!$D$2:$D$15=C1416)*(참조!$E$2:$E$15=D1416),참조!$C$2:$C$15,"")</f>
        <v/>
      </c>
    </row>
    <row r="1417" hidden="1" s="27">
      <c r="A1417" s="47" t="inlineStr">
        <is>
          <t>고고모바일</t>
        </is>
      </c>
      <c r="B1417" s="47" t="inlineStr">
        <is>
          <t>5G100분/3GB-데이터소진후 자동차단</t>
        </is>
      </c>
      <c r="C1417" s="47" t="inlineStr">
        <is>
          <t>100분</t>
        </is>
      </c>
      <c r="D1417" s="47" t="inlineStr">
        <is>
          <t>100건</t>
        </is>
      </c>
      <c r="E1417" s="47" t="inlineStr">
        <is>
          <t>월 3GB</t>
        </is>
      </c>
      <c r="F1417" s="47" t="inlineStr">
        <is>
          <t>KT</t>
        </is>
      </c>
      <c r="G1417" s="47" t="inlineStr">
        <is>
          <t>5G</t>
        </is>
      </c>
      <c r="H1417" s="48" t="n">
        <v>9020</v>
      </c>
      <c r="I1417" s="48" t="n"/>
      <c r="J1417" s="48" t="n"/>
      <c r="K1417" s="47">
        <f t="array" ref="K1417">_xlfn.XLOOKUP(1,(참조!$B$2:$B$15=E1417)*(참조!$D$2:$D$15=C1417)*(참조!$E$2:$E$15=D1417),참조!$C$2:$C$15,"")</f>
        <v/>
      </c>
    </row>
    <row r="1418" hidden="1" s="27">
      <c r="A1418" s="47" t="inlineStr">
        <is>
          <t>이야기모바일</t>
        </is>
      </c>
      <c r="B1418" s="47" t="inlineStr">
        <is>
          <t>내맘대로S(350+4GB)</t>
        </is>
      </c>
      <c r="C1418" s="47" t="inlineStr">
        <is>
          <t>350분</t>
        </is>
      </c>
      <c r="D1418" s="47" t="inlineStr">
        <is>
          <t>100건</t>
        </is>
      </c>
      <c r="E1418" s="47" t="inlineStr">
        <is>
          <t>월 4GB</t>
        </is>
      </c>
      <c r="F1418" s="47" t="inlineStr">
        <is>
          <t>SKT</t>
        </is>
      </c>
      <c r="G1418" s="47" t="inlineStr">
        <is>
          <t>LTE</t>
        </is>
      </c>
      <c r="H1418" s="48" t="n">
        <v>5500</v>
      </c>
      <c r="I1418" s="48" t="n">
        <v>12</v>
      </c>
      <c r="J1418" s="48" t="n">
        <v>11000</v>
      </c>
      <c r="K1418" s="47">
        <f t="array" ref="K1418">_xlfn.XLOOKUP(1,(참조!$B$2:$B$15=E1418)*(참조!$D$2:$D$15=C1418)*(참조!$E$2:$E$15=D1418),참조!$C$2:$C$15,"")</f>
        <v/>
      </c>
    </row>
    <row r="1419" hidden="1" s="27">
      <c r="A1419" s="47" t="inlineStr">
        <is>
          <t>쉐이크모바일</t>
        </is>
      </c>
      <c r="B1419" s="47" t="inlineStr">
        <is>
          <t>[모요only] 쉐이크 5G 90GB+_밀리의서재</t>
        </is>
      </c>
      <c r="C1419" s="47" t="inlineStr">
        <is>
          <t>무제한</t>
        </is>
      </c>
      <c r="D1419" s="47" t="inlineStr">
        <is>
          <t>무제한</t>
        </is>
      </c>
      <c r="E1419" s="47" t="inlineStr">
        <is>
          <t>월 90GB + 1Mbps</t>
        </is>
      </c>
      <c r="F1419" s="47" t="inlineStr">
        <is>
          <t>KT</t>
        </is>
      </c>
      <c r="G1419" s="47" t="inlineStr">
        <is>
          <t>5G</t>
        </is>
      </c>
      <c r="H1419" s="48" t="n">
        <v>21000</v>
      </c>
      <c r="I1419" s="48" t="n">
        <v>7</v>
      </c>
      <c r="J1419" s="48" t="n">
        <v>47300</v>
      </c>
      <c r="K1419" s="47">
        <f t="array" ref="K1419">_xlfn.XLOOKUP(1,(참조!$B$2:$B$15=E1419)*(참조!$D$2:$D$15=C1419)*(참조!$E$2:$E$15=D1419),참조!$C$2:$C$15,"")</f>
        <v/>
      </c>
    </row>
    <row r="1420" hidden="1" s="27">
      <c r="A1420" s="47" t="inlineStr">
        <is>
          <t>이야기모바일</t>
        </is>
      </c>
      <c r="B1420" s="47" t="inlineStr">
        <is>
          <t>이야기K 데이터 15GB+(지니뮤직)</t>
        </is>
      </c>
      <c r="C1420" s="47" t="inlineStr">
        <is>
          <t>100분</t>
        </is>
      </c>
      <c r="D1420" s="47" t="inlineStr">
        <is>
          <t>100건</t>
        </is>
      </c>
      <c r="E1420" s="47" t="inlineStr">
        <is>
          <t>월 15GB + 3Mbps</t>
        </is>
      </c>
      <c r="F1420" s="47" t="inlineStr">
        <is>
          <t>KT</t>
        </is>
      </c>
      <c r="G1420" s="47" t="inlineStr">
        <is>
          <t>LTE</t>
        </is>
      </c>
      <c r="H1420" s="48" t="n">
        <v>19800</v>
      </c>
      <c r="I1420" s="48" t="n">
        <v>7</v>
      </c>
      <c r="J1420" s="48" t="n">
        <v>33000</v>
      </c>
      <c r="K1420" s="47">
        <f t="array" ref="K1420">_xlfn.XLOOKUP(1,(참조!$B$2:$B$15=E1420)*(참조!$D$2:$D$15=C1420)*(참조!$E$2:$E$15=D1420),참조!$C$2:$C$15,"")</f>
        <v/>
      </c>
    </row>
    <row r="1421" hidden="1" s="27">
      <c r="A1421" s="47" t="inlineStr">
        <is>
          <t>티플러스</t>
        </is>
      </c>
      <c r="B1421" s="47" t="inlineStr">
        <is>
          <t>티플 10GB+(이디야커피)</t>
        </is>
      </c>
      <c r="C1421" s="47" t="inlineStr">
        <is>
          <t>무제한</t>
        </is>
      </c>
      <c r="D1421" s="47" t="inlineStr">
        <is>
          <t>무제한</t>
        </is>
      </c>
      <c r="E1421" s="47" t="inlineStr">
        <is>
          <t>월 10GB + 1Mbps</t>
        </is>
      </c>
      <c r="F1421" s="47" t="inlineStr">
        <is>
          <t>SKT</t>
        </is>
      </c>
      <c r="G1421" s="47" t="inlineStr">
        <is>
          <t>LTE</t>
        </is>
      </c>
      <c r="H1421" s="48" t="n">
        <v>5900</v>
      </c>
      <c r="I1421" s="48" t="n">
        <v>7</v>
      </c>
      <c r="J1421" s="48" t="n">
        <v>33000</v>
      </c>
      <c r="K1421" s="47">
        <f t="array" ref="K1421">_xlfn.XLOOKUP(1,(참조!$B$2:$B$15=E1421)*(참조!$D$2:$D$15=C1421)*(참조!$E$2:$E$15=D1421),참조!$C$2:$C$15,"")</f>
        <v/>
      </c>
    </row>
    <row r="1422" hidden="1" s="27">
      <c r="A1422" s="47" t="inlineStr">
        <is>
          <t>스마텔</t>
        </is>
      </c>
      <c r="B1422" s="47" t="inlineStr">
        <is>
          <t>스마트 7GB+</t>
        </is>
      </c>
      <c r="C1422" s="47" t="inlineStr">
        <is>
          <t>무제한</t>
        </is>
      </c>
      <c r="D1422" s="47" t="inlineStr">
        <is>
          <t>무제한</t>
        </is>
      </c>
      <c r="E1422" s="47" t="inlineStr">
        <is>
          <t>월 7GB + 1Mbps</t>
        </is>
      </c>
      <c r="F1422" s="47" t="inlineStr">
        <is>
          <t>LG U+</t>
        </is>
      </c>
      <c r="G1422" s="47" t="inlineStr">
        <is>
          <t>LTE</t>
        </is>
      </c>
      <c r="H1422" s="48" t="n">
        <v>13000</v>
      </c>
      <c r="I1422" s="48" t="n">
        <v>7</v>
      </c>
      <c r="J1422" s="48" t="n">
        <v>24200</v>
      </c>
      <c r="K1422" s="47">
        <f t="array" ref="K1422">_xlfn.XLOOKUP(1,(참조!$B$2:$B$15=E1422)*(참조!$D$2:$D$15=C1422)*(참조!$E$2:$E$15=D1422),참조!$C$2:$C$15,"")</f>
        <v/>
      </c>
    </row>
    <row r="1423" hidden="1" s="27">
      <c r="A1423" s="47" t="inlineStr">
        <is>
          <t>핀다이렉트</t>
        </is>
      </c>
      <c r="B1423" s="47" t="inlineStr">
        <is>
          <t>[모요only] [K] 핀다이렉트Z 7GB+(네이버페이) _PIN</t>
        </is>
      </c>
      <c r="C1423" s="47" t="inlineStr">
        <is>
          <t>무제한</t>
        </is>
      </c>
      <c r="D1423" s="47" t="inlineStr">
        <is>
          <t>무제한</t>
        </is>
      </c>
      <c r="E1423" s="47" t="inlineStr">
        <is>
          <t>월 7GB + 1Mbps</t>
        </is>
      </c>
      <c r="F1423" s="47" t="inlineStr">
        <is>
          <t>KT</t>
        </is>
      </c>
      <c r="G1423" s="47" t="inlineStr">
        <is>
          <t>LTE</t>
        </is>
      </c>
      <c r="H1423" s="48" t="n">
        <v>12000</v>
      </c>
      <c r="I1423" s="48" t="n">
        <v>7</v>
      </c>
      <c r="J1423" s="48" t="n">
        <v>26400</v>
      </c>
      <c r="K1423" s="47">
        <f t="array" ref="K1423">_xlfn.XLOOKUP(1,(참조!$B$2:$B$15=E1423)*(참조!$D$2:$D$15=C1423)*(참조!$E$2:$E$15=D1423),참조!$C$2:$C$15,"")</f>
        <v/>
      </c>
    </row>
    <row r="1424" hidden="1" s="27">
      <c r="A1424" s="47" t="inlineStr">
        <is>
          <t>아이즈모바일</t>
        </is>
      </c>
      <c r="B1424" s="47" t="inlineStr">
        <is>
          <t>[L]아이즈팩 10GB+1Mbps</t>
        </is>
      </c>
      <c r="C1424" s="47" t="inlineStr">
        <is>
          <t>무제한</t>
        </is>
      </c>
      <c r="D1424" s="47" t="inlineStr">
        <is>
          <t>무제한</t>
        </is>
      </c>
      <c r="E1424" s="47" t="inlineStr">
        <is>
          <t>월 10GB + 1Mbps</t>
        </is>
      </c>
      <c r="F1424" s="47" t="inlineStr">
        <is>
          <t>LG U+</t>
        </is>
      </c>
      <c r="G1424" s="47" t="inlineStr">
        <is>
          <t>LTE</t>
        </is>
      </c>
      <c r="H1424" s="48" t="n">
        <v>11500</v>
      </c>
      <c r="I1424" s="48" t="n">
        <v>24</v>
      </c>
      <c r="J1424" s="48" t="n">
        <v>27500</v>
      </c>
      <c r="K1424" s="47">
        <f t="array" ref="K1424">_xlfn.XLOOKUP(1,(참조!$B$2:$B$15=E1424)*(참조!$D$2:$D$15=C1424)*(참조!$E$2:$E$15=D1424),참조!$C$2:$C$15,"")</f>
        <v/>
      </c>
    </row>
    <row r="1425" hidden="1" s="27">
      <c r="A1425" s="47" t="inlineStr">
        <is>
          <t>KG모바일</t>
        </is>
      </c>
      <c r="B1425" s="47" t="inlineStr">
        <is>
          <t>[모빌카드 스페셜] 유심 5G 50GB+</t>
        </is>
      </c>
      <c r="C1425" s="47" t="inlineStr">
        <is>
          <t>무제한</t>
        </is>
      </c>
      <c r="D1425" s="47" t="inlineStr">
        <is>
          <t>무제한</t>
        </is>
      </c>
      <c r="E1425" s="47" t="inlineStr">
        <is>
          <t>월 50GB + 1Mbps</t>
        </is>
      </c>
      <c r="F1425" s="47" t="inlineStr">
        <is>
          <t>LG U+</t>
        </is>
      </c>
      <c r="G1425" s="47" t="inlineStr">
        <is>
          <t>5G</t>
        </is>
      </c>
      <c r="H1425" s="48" t="n">
        <v>25520</v>
      </c>
      <c r="I1425" s="48" t="n">
        <v>7</v>
      </c>
      <c r="J1425" s="48" t="n">
        <v>46750</v>
      </c>
      <c r="K1425" s="47">
        <f t="array" ref="K1425">_xlfn.XLOOKUP(1,(참조!$B$2:$B$15=E1425)*(참조!$D$2:$D$15=C1425)*(참조!$E$2:$E$15=D1425),참조!$C$2:$C$15,"")</f>
        <v/>
      </c>
    </row>
    <row r="1426" hidden="1" s="27">
      <c r="A1426" s="47" t="inlineStr">
        <is>
          <t>모빙</t>
        </is>
      </c>
      <c r="B1426" s="47" t="inlineStr">
        <is>
          <t>[L] 데이터 10GB+_2y_plus</t>
        </is>
      </c>
      <c r="C1426" s="47" t="inlineStr">
        <is>
          <t>무제한</t>
        </is>
      </c>
      <c r="D1426" s="47" t="inlineStr">
        <is>
          <t>무제한</t>
        </is>
      </c>
      <c r="E1426" s="47" t="inlineStr">
        <is>
          <t>월 10GB + 1Mbps</t>
        </is>
      </c>
      <c r="F1426" s="47" t="inlineStr">
        <is>
          <t>LG U+</t>
        </is>
      </c>
      <c r="G1426" s="47" t="inlineStr">
        <is>
          <t>LTE</t>
        </is>
      </c>
      <c r="H1426" s="48" t="n">
        <v>13000</v>
      </c>
      <c r="I1426" s="48" t="n">
        <v>24</v>
      </c>
      <c r="J1426" s="48" t="n">
        <v>30800</v>
      </c>
      <c r="K1426" s="47">
        <f t="array" ref="K1426">_xlfn.XLOOKUP(1,(참조!$B$2:$B$15=E1426)*(참조!$D$2:$D$15=C1426)*(참조!$E$2:$E$15=D1426),참조!$C$2:$C$15,"")</f>
        <v/>
      </c>
    </row>
    <row r="1427" hidden="1" s="27">
      <c r="A1427" s="47" t="inlineStr">
        <is>
          <t>에이모바일</t>
        </is>
      </c>
      <c r="B1427" s="47" t="inlineStr">
        <is>
          <t>A 갓성비 6GB/300분 6</t>
        </is>
      </c>
      <c r="C1427" s="47" t="inlineStr">
        <is>
          <t>300분</t>
        </is>
      </c>
      <c r="D1427" s="47" t="inlineStr">
        <is>
          <t>100건</t>
        </is>
      </c>
      <c r="E1427" s="47" t="inlineStr">
        <is>
          <t>월 6GB</t>
        </is>
      </c>
      <c r="F1427" s="47" t="inlineStr">
        <is>
          <t>LG U+</t>
        </is>
      </c>
      <c r="G1427" s="47" t="inlineStr">
        <is>
          <t>LTE</t>
        </is>
      </c>
      <c r="H1427" s="48" t="n">
        <v>110</v>
      </c>
      <c r="I1427" s="48" t="n">
        <v>6</v>
      </c>
      <c r="J1427" s="48" t="n">
        <v>11550</v>
      </c>
      <c r="K1427" s="47">
        <f t="array" ref="K1427">_xlfn.XLOOKUP(1,(참조!$B$2:$B$15=E1427)*(참조!$D$2:$D$15=C1427)*(참조!$E$2:$E$15=D1427),참조!$C$2:$C$15,"")</f>
        <v/>
      </c>
    </row>
    <row r="1428" hidden="1" s="27">
      <c r="A1428" s="47" t="inlineStr">
        <is>
          <t>이지모바일</t>
        </is>
      </c>
      <c r="B1428" s="47" t="inlineStr">
        <is>
          <t>EG 무제한 100G+5(웨이브)</t>
        </is>
      </c>
      <c r="C1428" s="47" t="inlineStr">
        <is>
          <t>무제한</t>
        </is>
      </c>
      <c r="D1428" s="47" t="inlineStr">
        <is>
          <t>무제한</t>
        </is>
      </c>
      <c r="E1428" s="47" t="inlineStr">
        <is>
          <t>월 100GB + 5Mbps</t>
        </is>
      </c>
      <c r="F1428" s="47" t="inlineStr">
        <is>
          <t>KT</t>
        </is>
      </c>
      <c r="G1428" s="47" t="inlineStr">
        <is>
          <t>LTE</t>
        </is>
      </c>
      <c r="H1428" s="48" t="n">
        <v>23650</v>
      </c>
      <c r="I1428" s="48" t="n">
        <v>7</v>
      </c>
      <c r="J1428" s="48" t="n">
        <v>46200</v>
      </c>
      <c r="K1428" s="47">
        <f t="array" ref="K1428">_xlfn.XLOOKUP(1,(참조!$B$2:$B$15=E1428)*(참조!$D$2:$D$15=C1428)*(참조!$E$2:$E$15=D1428),참조!$C$2:$C$15,"")</f>
        <v/>
      </c>
    </row>
    <row r="1429" hidden="1" s="27">
      <c r="A1429" s="47" t="inlineStr">
        <is>
          <t>스마텔</t>
        </is>
      </c>
      <c r="B1429" s="47" t="inlineStr">
        <is>
          <t>스위트 11GB+(다이소 5000)</t>
        </is>
      </c>
      <c r="C1429" s="47" t="inlineStr">
        <is>
          <t>무제한</t>
        </is>
      </c>
      <c r="D1429" s="47" t="inlineStr">
        <is>
          <t>무제한</t>
        </is>
      </c>
      <c r="E1429" s="47" t="inlineStr">
        <is>
          <t>월 11GB + 매일 2GB + 3Mbps</t>
        </is>
      </c>
      <c r="F1429" s="47" t="inlineStr">
        <is>
          <t>KT</t>
        </is>
      </c>
      <c r="G1429" s="47" t="inlineStr">
        <is>
          <t>LTE</t>
        </is>
      </c>
      <c r="H1429" s="48" t="n">
        <v>23380</v>
      </c>
      <c r="I1429" s="48" t="n">
        <v>7</v>
      </c>
      <c r="J1429" s="48" t="n">
        <v>43010</v>
      </c>
      <c r="K1429" s="47">
        <f t="array" ref="K1429">_xlfn.XLOOKUP(1,(참조!$B$2:$B$15=E1429)*(참조!$D$2:$D$15=C1429)*(참조!$E$2:$E$15=D1429),참조!$C$2:$C$15,"")</f>
        <v/>
      </c>
    </row>
    <row r="1430" hidden="1" s="27">
      <c r="A1430" s="47" t="inlineStr">
        <is>
          <t>스마텔</t>
        </is>
      </c>
      <c r="B1430" s="47" t="inlineStr">
        <is>
          <t>스마일 플러스(50분+1.8GB)</t>
        </is>
      </c>
      <c r="C1430" s="47" t="inlineStr">
        <is>
          <t>50분</t>
        </is>
      </c>
      <c r="D1430" s="47" t="inlineStr">
        <is>
          <t>50건</t>
        </is>
      </c>
      <c r="E1430" s="47" t="inlineStr">
        <is>
          <t>월 1.8GB</t>
        </is>
      </c>
      <c r="F1430" s="47" t="inlineStr">
        <is>
          <t>SKT</t>
        </is>
      </c>
      <c r="G1430" s="47" t="inlineStr">
        <is>
          <t>LTE</t>
        </is>
      </c>
      <c r="H1430" s="48" t="n">
        <v>1760</v>
      </c>
      <c r="I1430" s="48" t="n">
        <v>5</v>
      </c>
      <c r="J1430" s="48" t="n">
        <v>3300</v>
      </c>
      <c r="K1430" s="47">
        <f t="array" ref="K1430">_xlfn.XLOOKUP(1,(참조!$B$2:$B$15=E1430)*(참조!$D$2:$D$15=C1430)*(참조!$E$2:$E$15=D1430),참조!$C$2:$C$15,"")</f>
        <v/>
      </c>
    </row>
    <row r="1431" hidden="1" s="27">
      <c r="A1431" s="47" t="inlineStr">
        <is>
          <t>KG모바일</t>
        </is>
      </c>
      <c r="B1431" s="47" t="inlineStr">
        <is>
          <t>[일반] 유심 5G 180GB+</t>
        </is>
      </c>
      <c r="C1431" s="47" t="inlineStr">
        <is>
          <t>무제한</t>
        </is>
      </c>
      <c r="D1431" s="47" t="inlineStr">
        <is>
          <t>무제한</t>
        </is>
      </c>
      <c r="E1431" s="47" t="inlineStr">
        <is>
          <t>월 180GB + 10Mbps</t>
        </is>
      </c>
      <c r="F1431" s="47" t="inlineStr">
        <is>
          <t>LG U+</t>
        </is>
      </c>
      <c r="G1431" s="47" t="inlineStr">
        <is>
          <t>5G</t>
        </is>
      </c>
      <c r="H1431" s="48" t="n">
        <v>48180</v>
      </c>
      <c r="I1431" s="48" t="n">
        <v>12</v>
      </c>
      <c r="J1431" s="48" t="n">
        <v>59400</v>
      </c>
      <c r="K1431" s="47">
        <f t="array" ref="K1431">_xlfn.XLOOKUP(1,(참조!$B$2:$B$15=E1431)*(참조!$D$2:$D$15=C1431)*(참조!$E$2:$E$15=D1431),참조!$C$2:$C$15,"")</f>
        <v/>
      </c>
    </row>
    <row r="1432" hidden="1" s="27">
      <c r="A1432" s="47" t="inlineStr">
        <is>
          <t>스마텔</t>
        </is>
      </c>
      <c r="B1432" s="47" t="inlineStr">
        <is>
          <t>스마트2 15GB+</t>
        </is>
      </c>
      <c r="C1432" s="47" t="inlineStr">
        <is>
          <t>300분</t>
        </is>
      </c>
      <c r="D1432" s="47" t="inlineStr">
        <is>
          <t>300건</t>
        </is>
      </c>
      <c r="E1432" s="47" t="inlineStr">
        <is>
          <t>월 15GB + 3Mbps</t>
        </is>
      </c>
      <c r="F1432" s="47" t="inlineStr">
        <is>
          <t>LG U+</t>
        </is>
      </c>
      <c r="G1432" s="47" t="inlineStr">
        <is>
          <t>LTE</t>
        </is>
      </c>
      <c r="H1432" s="48" t="n">
        <v>20100</v>
      </c>
      <c r="I1432" s="48" t="n">
        <v>7</v>
      </c>
      <c r="J1432" s="48" t="n">
        <v>34100</v>
      </c>
      <c r="K1432" s="47">
        <f t="array" ref="K1432">_xlfn.XLOOKUP(1,(참조!$B$2:$B$15=E1432)*(참조!$D$2:$D$15=C1432)*(참조!$E$2:$E$15=D1432),참조!$C$2:$C$15,"")</f>
        <v/>
      </c>
    </row>
    <row r="1433" hidden="1" s="27">
      <c r="A1433" s="47" t="inlineStr">
        <is>
          <t>에이모바일</t>
        </is>
      </c>
      <c r="B1433" s="47" t="inlineStr">
        <is>
          <t>A 스마트 13GB</t>
        </is>
      </c>
      <c r="C1433" s="47" t="inlineStr">
        <is>
          <t>무제한</t>
        </is>
      </c>
      <c r="D1433" s="47" t="inlineStr">
        <is>
          <t>무제한</t>
        </is>
      </c>
      <c r="E1433" s="47" t="inlineStr">
        <is>
          <t>월 13GB</t>
        </is>
      </c>
      <c r="F1433" s="47" t="inlineStr">
        <is>
          <t>SKT</t>
        </is>
      </c>
      <c r="G1433" s="47" t="inlineStr">
        <is>
          <t>LTE</t>
        </is>
      </c>
      <c r="H1433" s="48" t="n">
        <v>990</v>
      </c>
      <c r="I1433" s="48" t="n">
        <v>7</v>
      </c>
      <c r="J1433" s="48" t="n">
        <v>17160</v>
      </c>
      <c r="K1433" s="47">
        <f t="array" ref="K1433">_xlfn.XLOOKUP(1,(참조!$B$2:$B$15=E1433)*(참조!$D$2:$D$15=C1433)*(참조!$E$2:$E$15=D1433),참조!$C$2:$C$15,"")</f>
        <v/>
      </c>
    </row>
    <row r="1434" hidden="1" s="27">
      <c r="A1434" s="47" t="inlineStr">
        <is>
          <t>리브모바일</t>
        </is>
      </c>
      <c r="B1434" s="47" t="inlineStr">
        <is>
          <t>LTE 15GB+(100분/100건)</t>
        </is>
      </c>
      <c r="C1434" s="47" t="inlineStr">
        <is>
          <t>100분</t>
        </is>
      </c>
      <c r="D1434" s="47" t="inlineStr">
        <is>
          <t>100건</t>
        </is>
      </c>
      <c r="E1434" s="47" t="inlineStr">
        <is>
          <t>월 15GB + 3Mbps</t>
        </is>
      </c>
      <c r="F1434" s="47" t="inlineStr">
        <is>
          <t>LG U+</t>
        </is>
      </c>
      <c r="G1434" s="47" t="inlineStr">
        <is>
          <t>LTE</t>
        </is>
      </c>
      <c r="H1434" s="48" t="n">
        <v>22500</v>
      </c>
      <c r="I1434" s="48" t="n">
        <v>12</v>
      </c>
      <c r="J1434" s="48" t="n">
        <v>26900</v>
      </c>
      <c r="K1434" s="47">
        <f t="array" ref="K1434">_xlfn.XLOOKUP(1,(참조!$B$2:$B$15=E1434)*(참조!$D$2:$D$15=C1434)*(참조!$E$2:$E$15=D1434),참조!$C$2:$C$15,"")</f>
        <v/>
      </c>
    </row>
    <row r="1435" hidden="1" s="27">
      <c r="A1435" s="47" t="inlineStr">
        <is>
          <t>이야기모바일</t>
        </is>
      </c>
      <c r="B1435" s="47" t="inlineStr">
        <is>
          <t>이야기 스탠다드S 300분15GB+</t>
        </is>
      </c>
      <c r="C1435" s="47" t="inlineStr">
        <is>
          <t>300분</t>
        </is>
      </c>
      <c r="D1435" s="47" t="inlineStr">
        <is>
          <t>300건</t>
        </is>
      </c>
      <c r="E1435" s="47" t="inlineStr">
        <is>
          <t>월 15GB + 3Mbps</t>
        </is>
      </c>
      <c r="F1435" s="47" t="inlineStr">
        <is>
          <t>SKT</t>
        </is>
      </c>
      <c r="G1435" s="47" t="inlineStr">
        <is>
          <t>LTE</t>
        </is>
      </c>
      <c r="H1435" s="48" t="n">
        <v>19000</v>
      </c>
      <c r="I1435" s="48" t="n">
        <v>7</v>
      </c>
      <c r="J1435" s="48" t="n">
        <v>36300</v>
      </c>
      <c r="K1435" s="47">
        <f t="array" ref="K1435">_xlfn.XLOOKUP(1,(참조!$B$2:$B$15=E1435)*(참조!$D$2:$D$15=C1435)*(참조!$E$2:$E$15=D1435),참조!$C$2:$C$15,"")</f>
        <v/>
      </c>
    </row>
    <row r="1436" hidden="1" s="27">
      <c r="A1436" s="47" t="inlineStr">
        <is>
          <t>아이즈모바일</t>
        </is>
      </c>
      <c r="B1436" s="47" t="inlineStr">
        <is>
          <t>[L]5G 데이터안심(300분/15GB+)</t>
        </is>
      </c>
      <c r="C1436" s="47" t="inlineStr">
        <is>
          <t>300분</t>
        </is>
      </c>
      <c r="D1436" s="47" t="inlineStr">
        <is>
          <t>300건</t>
        </is>
      </c>
      <c r="E1436" s="47" t="inlineStr">
        <is>
          <t>월 15GB + 1Mbps</t>
        </is>
      </c>
      <c r="F1436" s="47" t="inlineStr">
        <is>
          <t>LG U+</t>
        </is>
      </c>
      <c r="G1436" s="47" t="inlineStr">
        <is>
          <t>5G</t>
        </is>
      </c>
      <c r="H1436" s="48" t="n">
        <v>5900</v>
      </c>
      <c r="I1436" s="48" t="n">
        <v>6</v>
      </c>
      <c r="J1436" s="48" t="n">
        <v>33000</v>
      </c>
      <c r="K1436" s="47">
        <f t="array" ref="K1436">_xlfn.XLOOKUP(1,(참조!$B$2:$B$15=E1436)*(참조!$D$2:$D$15=C1436)*(참조!$E$2:$E$15=D1436),참조!$C$2:$C$15,"")</f>
        <v/>
      </c>
    </row>
    <row r="1437" hidden="1" s="27">
      <c r="A1437" s="47" t="inlineStr">
        <is>
          <t>티플러스</t>
        </is>
      </c>
      <c r="B1437" s="47" t="inlineStr">
        <is>
          <t>티플포유(3G/100분)</t>
        </is>
      </c>
      <c r="C1437" s="47" t="inlineStr">
        <is>
          <t>100분</t>
        </is>
      </c>
      <c r="D1437" s="47" t="inlineStr">
        <is>
          <t>100건</t>
        </is>
      </c>
      <c r="E1437" s="47" t="inlineStr">
        <is>
          <t>월 3GB</t>
        </is>
      </c>
      <c r="F1437" s="47" t="inlineStr">
        <is>
          <t>LG U+</t>
        </is>
      </c>
      <c r="G1437" s="47" t="inlineStr">
        <is>
          <t>LTE</t>
        </is>
      </c>
      <c r="H1437" s="48" t="n">
        <v>5500</v>
      </c>
      <c r="I1437" s="48" t="n"/>
      <c r="J1437" s="48" t="n"/>
      <c r="K1437" s="47">
        <f t="array" ref="K1437">_xlfn.XLOOKUP(1,(참조!$B$2:$B$15=E1437)*(참조!$D$2:$D$15=C1437)*(참조!$E$2:$E$15=D1437),참조!$C$2:$C$15,"")</f>
        <v/>
      </c>
    </row>
    <row r="1438" hidden="1" s="27">
      <c r="A1438" s="47" t="inlineStr">
        <is>
          <t>티플러스</t>
        </is>
      </c>
      <c r="B1438" s="47" t="inlineStr">
        <is>
          <t>티플포유(2G/200분)</t>
        </is>
      </c>
      <c r="C1438" s="47" t="inlineStr">
        <is>
          <t>200분</t>
        </is>
      </c>
      <c r="D1438" s="47" t="inlineStr">
        <is>
          <t>100건</t>
        </is>
      </c>
      <c r="E1438" s="47" t="inlineStr">
        <is>
          <t>월 2GB</t>
        </is>
      </c>
      <c r="F1438" s="47" t="inlineStr">
        <is>
          <t>LG U+</t>
        </is>
      </c>
      <c r="G1438" s="47" t="inlineStr">
        <is>
          <t>LTE</t>
        </is>
      </c>
      <c r="H1438" s="48" t="n">
        <v>5500</v>
      </c>
      <c r="I1438" s="48" t="n"/>
      <c r="J1438" s="48" t="n"/>
      <c r="K1438" s="47">
        <f t="array" ref="K1438">_xlfn.XLOOKUP(1,(참조!$B$2:$B$15=E1438)*(참조!$D$2:$D$15=C1438)*(참조!$E$2:$E$15=D1438),참조!$C$2:$C$15,"")</f>
        <v/>
      </c>
    </row>
    <row r="1439" hidden="1" s="27">
      <c r="A1439" s="47" t="inlineStr">
        <is>
          <t>티플러스</t>
        </is>
      </c>
      <c r="B1439" s="47" t="inlineStr">
        <is>
          <t>티플 드림(2GB/100분)</t>
        </is>
      </c>
      <c r="C1439" s="47" t="inlineStr">
        <is>
          <t>100분</t>
        </is>
      </c>
      <c r="D1439" s="47" t="inlineStr">
        <is>
          <t>100건</t>
        </is>
      </c>
      <c r="E1439" s="47" t="inlineStr">
        <is>
          <t>월 2GB</t>
        </is>
      </c>
      <c r="F1439" s="47" t="inlineStr">
        <is>
          <t>SKT</t>
        </is>
      </c>
      <c r="G1439" s="47" t="inlineStr">
        <is>
          <t>LTE</t>
        </is>
      </c>
      <c r="H1439" s="48" t="n">
        <v>5500</v>
      </c>
      <c r="I1439" s="48" t="n"/>
      <c r="J1439" s="48" t="n"/>
      <c r="K1439" s="47">
        <f t="array" ref="K1439">_xlfn.XLOOKUP(1,(참조!$B$2:$B$15=E1439)*(참조!$D$2:$D$15=C1439)*(참조!$E$2:$E$15=D1439),참조!$C$2:$C$15,"")</f>
        <v/>
      </c>
    </row>
    <row r="1440" hidden="1" s="27">
      <c r="A1440" s="47" t="inlineStr">
        <is>
          <t>에이모바일</t>
        </is>
      </c>
      <c r="B1440" s="47" t="inlineStr">
        <is>
          <t>A 넥스트 15GB+/100분</t>
        </is>
      </c>
      <c r="C1440" s="47" t="inlineStr">
        <is>
          <t>100분</t>
        </is>
      </c>
      <c r="D1440" s="47" t="inlineStr">
        <is>
          <t>100건</t>
        </is>
      </c>
      <c r="E1440" s="47" t="inlineStr">
        <is>
          <t>월 15GB + 3Mbps</t>
        </is>
      </c>
      <c r="F1440" s="47" t="inlineStr">
        <is>
          <t>SKT</t>
        </is>
      </c>
      <c r="G1440" s="47" t="inlineStr">
        <is>
          <t>LTE</t>
        </is>
      </c>
      <c r="H1440" s="48" t="n">
        <v>6001</v>
      </c>
      <c r="I1440" s="48" t="n">
        <v>7</v>
      </c>
      <c r="J1440" s="48" t="n">
        <v>26400</v>
      </c>
      <c r="K1440" s="47">
        <f t="array" ref="K1440">_xlfn.XLOOKUP(1,(참조!$B$2:$B$15=E1440)*(참조!$D$2:$D$15=C1440)*(참조!$E$2:$E$15=D1440),참조!$C$2:$C$15,"")</f>
        <v/>
      </c>
    </row>
    <row r="1441" hidden="1" s="27">
      <c r="A1441" s="47" t="inlineStr">
        <is>
          <t>스마텔</t>
        </is>
      </c>
      <c r="B1441" s="47" t="inlineStr">
        <is>
          <t>스위트 7GB+(올영 3000)</t>
        </is>
      </c>
      <c r="C1441" s="47" t="inlineStr">
        <is>
          <t>무제한</t>
        </is>
      </c>
      <c r="D1441" s="47" t="inlineStr">
        <is>
          <t>무제한</t>
        </is>
      </c>
      <c r="E1441" s="47" t="inlineStr">
        <is>
          <t>월 7GB + 1Mbps</t>
        </is>
      </c>
      <c r="F1441" s="47" t="inlineStr">
        <is>
          <t>KT</t>
        </is>
      </c>
      <c r="G1441" s="47" t="inlineStr">
        <is>
          <t>LTE</t>
        </is>
      </c>
      <c r="H1441" s="48" t="n">
        <v>13500</v>
      </c>
      <c r="I1441" s="48" t="n">
        <v>7</v>
      </c>
      <c r="J1441" s="48" t="n">
        <v>25630</v>
      </c>
      <c r="K1441" s="47">
        <f t="array" ref="K1441">_xlfn.XLOOKUP(1,(참조!$B$2:$B$15=E1441)*(참조!$D$2:$D$15=C1441)*(참조!$E$2:$E$15=D1441),참조!$C$2:$C$15,"")</f>
        <v/>
      </c>
    </row>
    <row r="1442" hidden="1" s="27">
      <c r="A1442" s="47" t="inlineStr">
        <is>
          <t>스마텔</t>
        </is>
      </c>
      <c r="B1442" s="47" t="inlineStr">
        <is>
          <t>스위트 7GB+(다이소 3000)</t>
        </is>
      </c>
      <c r="C1442" s="47" t="inlineStr">
        <is>
          <t>무제한</t>
        </is>
      </c>
      <c r="D1442" s="47" t="inlineStr">
        <is>
          <t>무제한</t>
        </is>
      </c>
      <c r="E1442" s="47" t="inlineStr">
        <is>
          <t>월 7GB + 1Mbps</t>
        </is>
      </c>
      <c r="F1442" s="47" t="inlineStr">
        <is>
          <t>KT</t>
        </is>
      </c>
      <c r="G1442" s="47" t="inlineStr">
        <is>
          <t>LTE</t>
        </is>
      </c>
      <c r="H1442" s="48" t="n">
        <v>13500</v>
      </c>
      <c r="I1442" s="48" t="n">
        <v>7</v>
      </c>
      <c r="J1442" s="48" t="n">
        <v>25630</v>
      </c>
      <c r="K1442" s="47">
        <f t="array" ref="K1442">_xlfn.XLOOKUP(1,(참조!$B$2:$B$15=E1442)*(참조!$D$2:$D$15=C1442)*(참조!$E$2:$E$15=D1442),참조!$C$2:$C$15,"")</f>
        <v/>
      </c>
    </row>
    <row r="1443" hidden="1" s="27">
      <c r="A1443" s="47" t="inlineStr">
        <is>
          <t>이지모바일</t>
        </is>
      </c>
      <c r="B1443" s="47" t="inlineStr">
        <is>
          <t>EG 5G스탠다드 지니 110G+(지니뮤직)</t>
        </is>
      </c>
      <c r="C1443" s="47" t="inlineStr">
        <is>
          <t>무제한</t>
        </is>
      </c>
      <c r="D1443" s="47" t="inlineStr">
        <is>
          <t>무제한</t>
        </is>
      </c>
      <c r="E1443" s="47" t="inlineStr">
        <is>
          <t>월 110GB + 5Mbps</t>
        </is>
      </c>
      <c r="F1443" s="47" t="inlineStr">
        <is>
          <t>KT</t>
        </is>
      </c>
      <c r="G1443" s="47" t="inlineStr">
        <is>
          <t>5G</t>
        </is>
      </c>
      <c r="H1443" s="48" t="n">
        <v>25080</v>
      </c>
      <c r="I1443" s="48" t="n">
        <v>7</v>
      </c>
      <c r="J1443" s="48" t="n">
        <v>55000</v>
      </c>
      <c r="K1443" s="47">
        <f t="array" ref="K1443">_xlfn.XLOOKUP(1,(참조!$B$2:$B$15=E1443)*(참조!$D$2:$D$15=C1443)*(참조!$E$2:$E$15=D1443),참조!$C$2:$C$15,"")</f>
        <v/>
      </c>
    </row>
    <row r="1444" hidden="1" s="27">
      <c r="A1444" s="47" t="inlineStr">
        <is>
          <t>모빙</t>
        </is>
      </c>
      <c r="B1444" s="47" t="inlineStr">
        <is>
          <t>쏙쏙 300분5GB</t>
        </is>
      </c>
      <c r="C1444" s="47" t="inlineStr">
        <is>
          <t>300분</t>
        </is>
      </c>
      <c r="D1444" s="47" t="inlineStr">
        <is>
          <t>100건</t>
        </is>
      </c>
      <c r="E1444" s="47" t="inlineStr">
        <is>
          <t>월 5GB</t>
        </is>
      </c>
      <c r="F1444" s="47" t="inlineStr">
        <is>
          <t>KT</t>
        </is>
      </c>
      <c r="G1444" s="47" t="inlineStr">
        <is>
          <t>LTE</t>
        </is>
      </c>
      <c r="H1444" s="48" t="n">
        <v>110</v>
      </c>
      <c r="I1444" s="48" t="n">
        <v>5</v>
      </c>
      <c r="J1444" s="48" t="n">
        <v>14300</v>
      </c>
      <c r="K1444" s="47">
        <f t="array" ref="K1444">_xlfn.XLOOKUP(1,(참조!$B$2:$B$15=E1444)*(참조!$D$2:$D$15=C1444)*(참조!$E$2:$E$15=D1444),참조!$C$2:$C$15,"")</f>
        <v/>
      </c>
    </row>
    <row r="1445" hidden="1" s="27">
      <c r="A1445" s="47" t="inlineStr">
        <is>
          <t>스마텔</t>
        </is>
      </c>
      <c r="B1445" s="47" t="inlineStr">
        <is>
          <t>스마일 1GB+</t>
        </is>
      </c>
      <c r="C1445" s="47" t="inlineStr">
        <is>
          <t>무제한</t>
        </is>
      </c>
      <c r="D1445" s="47" t="inlineStr">
        <is>
          <t>무제한</t>
        </is>
      </c>
      <c r="E1445" s="47" t="inlineStr">
        <is>
          <t>월 1GB + 1Mbps</t>
        </is>
      </c>
      <c r="F1445" s="47" t="inlineStr">
        <is>
          <t>SKT</t>
        </is>
      </c>
      <c r="G1445" s="47" t="inlineStr">
        <is>
          <t>LTE</t>
        </is>
      </c>
      <c r="H1445" s="48" t="n">
        <v>10340</v>
      </c>
      <c r="I1445" s="48" t="n">
        <v>7</v>
      </c>
      <c r="J1445" s="48" t="n">
        <v>16940</v>
      </c>
      <c r="K1445" s="47">
        <f t="array" ref="K1445">_xlfn.XLOOKUP(1,(참조!$B$2:$B$15=E1445)*(참조!$D$2:$D$15=C1445)*(참조!$E$2:$E$15=D1445),참조!$C$2:$C$15,"")</f>
        <v/>
      </c>
    </row>
    <row r="1446" hidden="1" s="27">
      <c r="A1446" s="47" t="inlineStr">
        <is>
          <t>KG모바일</t>
        </is>
      </c>
      <c r="B1446" s="47" t="inlineStr">
        <is>
          <t>[일반] 유심 5G 50GB+</t>
        </is>
      </c>
      <c r="C1446" s="47" t="inlineStr">
        <is>
          <t>무제한</t>
        </is>
      </c>
      <c r="D1446" s="47" t="inlineStr">
        <is>
          <t>무제한</t>
        </is>
      </c>
      <c r="E1446" s="47" t="inlineStr">
        <is>
          <t>월 50GB + 1Mbps</t>
        </is>
      </c>
      <c r="F1446" s="47" t="inlineStr">
        <is>
          <t>LG U+</t>
        </is>
      </c>
      <c r="G1446" s="47" t="inlineStr">
        <is>
          <t>5G</t>
        </is>
      </c>
      <c r="H1446" s="48" t="n">
        <v>35530</v>
      </c>
      <c r="I1446" s="48" t="n">
        <v>12</v>
      </c>
      <c r="J1446" s="48" t="n">
        <v>46750</v>
      </c>
      <c r="K1446" s="47">
        <f t="array" ref="K1446">_xlfn.XLOOKUP(1,(참조!$B$2:$B$15=E1446)*(참조!$D$2:$D$15=C1446)*(참조!$E$2:$E$15=D1446),참조!$C$2:$C$15,"")</f>
        <v/>
      </c>
    </row>
    <row r="1447" hidden="1" s="27">
      <c r="A1447" s="47" t="inlineStr">
        <is>
          <t>에이모바일</t>
        </is>
      </c>
      <c r="B1447" s="47" t="inlineStr">
        <is>
          <t>A 넥스트 7GB+</t>
        </is>
      </c>
      <c r="C1447" s="47" t="inlineStr">
        <is>
          <t>무제한</t>
        </is>
      </c>
      <c r="D1447" s="47" t="inlineStr">
        <is>
          <t>무제한</t>
        </is>
      </c>
      <c r="E1447" s="47" t="inlineStr">
        <is>
          <t>월 7GB + 1Mbps</t>
        </is>
      </c>
      <c r="F1447" s="47" t="inlineStr">
        <is>
          <t>SKT</t>
        </is>
      </c>
      <c r="G1447" s="47" t="inlineStr">
        <is>
          <t>LTE</t>
        </is>
      </c>
      <c r="H1447" s="48" t="n">
        <v>3000</v>
      </c>
      <c r="I1447" s="48" t="n">
        <v>7</v>
      </c>
      <c r="J1447" s="48" t="n">
        <v>18900</v>
      </c>
      <c r="K1447" s="47">
        <f t="array" ref="K1447">_xlfn.XLOOKUP(1,(참조!$B$2:$B$15=E1447)*(참조!$D$2:$D$15=C1447)*(참조!$E$2:$E$15=D1447),참조!$C$2:$C$15,"")</f>
        <v/>
      </c>
    </row>
    <row r="1448" hidden="1" s="27">
      <c r="A1448" s="47" t="inlineStr">
        <is>
          <t>스마텔</t>
        </is>
      </c>
      <c r="B1448" s="47" t="inlineStr">
        <is>
          <t>후후 스마트 7GB+</t>
        </is>
      </c>
      <c r="C1448" s="47" t="inlineStr">
        <is>
          <t>무제한</t>
        </is>
      </c>
      <c r="D1448" s="47" t="inlineStr">
        <is>
          <t>무제한</t>
        </is>
      </c>
      <c r="E1448" s="47" t="inlineStr">
        <is>
          <t>월 7GB + 1Mbps</t>
        </is>
      </c>
      <c r="F1448" s="47" t="inlineStr">
        <is>
          <t>LG U+</t>
        </is>
      </c>
      <c r="G1448" s="47" t="inlineStr">
        <is>
          <t>LTE</t>
        </is>
      </c>
      <c r="H1448" s="48" t="n">
        <v>13330</v>
      </c>
      <c r="I1448" s="48" t="n">
        <v>7</v>
      </c>
      <c r="J1448" s="48" t="n">
        <v>24530</v>
      </c>
      <c r="K1448" s="47">
        <f t="array" ref="K1448">_xlfn.XLOOKUP(1,(참조!$B$2:$B$15=E1448)*(참조!$D$2:$D$15=C1448)*(참조!$E$2:$E$15=D1448),참조!$C$2:$C$15,"")</f>
        <v/>
      </c>
    </row>
    <row r="1449" hidden="1" s="27">
      <c r="A1449" s="47" t="inlineStr">
        <is>
          <t>모빙</t>
        </is>
      </c>
      <c r="B1449" s="47" t="inlineStr">
        <is>
          <t>[K] 데이터 10GB+</t>
        </is>
      </c>
      <c r="C1449" s="47" t="inlineStr">
        <is>
          <t>무제한</t>
        </is>
      </c>
      <c r="D1449" s="47" t="inlineStr">
        <is>
          <t>무제한</t>
        </is>
      </c>
      <c r="E1449" s="47" t="inlineStr">
        <is>
          <t>월 10GB + 1Mbps</t>
        </is>
      </c>
      <c r="F1449" s="47" t="inlineStr">
        <is>
          <t>KT</t>
        </is>
      </c>
      <c r="G1449" s="47" t="inlineStr">
        <is>
          <t>LTE</t>
        </is>
      </c>
      <c r="H1449" s="48" t="n">
        <v>13200</v>
      </c>
      <c r="I1449" s="48" t="n">
        <v>24</v>
      </c>
      <c r="J1449" s="48" t="n">
        <v>30800</v>
      </c>
      <c r="K1449" s="47">
        <f t="array" ref="K1449">_xlfn.XLOOKUP(1,(참조!$B$2:$B$15=E1449)*(참조!$D$2:$D$15=C1449)*(참조!$E$2:$E$15=D1449),참조!$C$2:$C$15,"")</f>
        <v/>
      </c>
    </row>
    <row r="1450" hidden="1" s="27">
      <c r="A1450" s="47" t="inlineStr">
        <is>
          <t>모빙</t>
        </is>
      </c>
      <c r="B1450" s="47" t="inlineStr">
        <is>
          <t>5G 쏙쏙 300분20GB</t>
        </is>
      </c>
      <c r="C1450" s="47" t="inlineStr">
        <is>
          <t>300분</t>
        </is>
      </c>
      <c r="D1450" s="47" t="inlineStr">
        <is>
          <t>100건</t>
        </is>
      </c>
      <c r="E1450" s="47" t="inlineStr">
        <is>
          <t>월 20GB</t>
        </is>
      </c>
      <c r="F1450" s="47" t="inlineStr">
        <is>
          <t>KT</t>
        </is>
      </c>
      <c r="G1450" s="47" t="inlineStr">
        <is>
          <t>5G</t>
        </is>
      </c>
      <c r="H1450" s="48" t="n">
        <v>8800</v>
      </c>
      <c r="I1450" s="48" t="n">
        <v>7</v>
      </c>
      <c r="J1450" s="48" t="n">
        <v>41800</v>
      </c>
      <c r="K1450" s="47">
        <f t="array" ref="K1450">_xlfn.XLOOKUP(1,(참조!$B$2:$B$15=E1450)*(참조!$D$2:$D$15=C1450)*(참조!$E$2:$E$15=D1450),참조!$C$2:$C$15,"")</f>
        <v/>
      </c>
    </row>
    <row r="1451" hidden="1" s="27">
      <c r="A1451" s="47" t="inlineStr">
        <is>
          <t>모빙</t>
        </is>
      </c>
      <c r="B1451" s="47" t="inlineStr">
        <is>
          <t>[L] 데이터 15GB+</t>
        </is>
      </c>
      <c r="C1451" s="47" t="inlineStr">
        <is>
          <t>무제한</t>
        </is>
      </c>
      <c r="D1451" s="47" t="inlineStr">
        <is>
          <t>무제한</t>
        </is>
      </c>
      <c r="E1451" s="47" t="inlineStr">
        <is>
          <t>월 15GB + 1Mbps</t>
        </is>
      </c>
      <c r="F1451" s="47" t="inlineStr">
        <is>
          <t>LG U+</t>
        </is>
      </c>
      <c r="G1451" s="47" t="inlineStr">
        <is>
          <t>LTE</t>
        </is>
      </c>
      <c r="H1451" s="48" t="n">
        <v>12000</v>
      </c>
      <c r="I1451" s="48" t="n">
        <v>7</v>
      </c>
      <c r="J1451" s="48" t="n">
        <v>33000</v>
      </c>
      <c r="K1451" s="47">
        <f t="array" ref="K1451">_xlfn.XLOOKUP(1,(참조!$B$2:$B$15=E1451)*(참조!$D$2:$D$15=C1451)*(참조!$E$2:$E$15=D1451),참조!$C$2:$C$15,"")</f>
        <v/>
      </c>
    </row>
    <row r="1452" hidden="1" s="27">
      <c r="A1452" s="47" t="inlineStr">
        <is>
          <t>모빙</t>
        </is>
      </c>
      <c r="B1452" s="47" t="inlineStr">
        <is>
          <t>[K] 300분15GB+</t>
        </is>
      </c>
      <c r="C1452" s="47" t="inlineStr">
        <is>
          <t>300분</t>
        </is>
      </c>
      <c r="D1452" s="47" t="inlineStr">
        <is>
          <t>300건</t>
        </is>
      </c>
      <c r="E1452" s="47" t="inlineStr">
        <is>
          <t>월 15GB + 3Mbps</t>
        </is>
      </c>
      <c r="F1452" s="47" t="inlineStr">
        <is>
          <t>KT</t>
        </is>
      </c>
      <c r="G1452" s="47" t="inlineStr">
        <is>
          <t>LTE</t>
        </is>
      </c>
      <c r="H1452" s="48" t="n">
        <v>22000</v>
      </c>
      <c r="I1452" s="48" t="n">
        <v>24</v>
      </c>
      <c r="J1452" s="48" t="n">
        <v>44000</v>
      </c>
      <c r="K1452" s="47">
        <f t="array" ref="K1452">_xlfn.XLOOKUP(1,(참조!$B$2:$B$15=E1452)*(참조!$D$2:$D$15=C1452)*(참조!$E$2:$E$15=D1452),참조!$C$2:$C$15,"")</f>
        <v/>
      </c>
    </row>
    <row r="1453" hidden="1" s="27">
      <c r="A1453" s="47" t="inlineStr">
        <is>
          <t>에이모바일</t>
        </is>
      </c>
      <c r="B1453" s="47" t="inlineStr">
        <is>
          <t>A 스페셜 15GB+/300분 (24개월)</t>
        </is>
      </c>
      <c r="C1453" s="47" t="inlineStr">
        <is>
          <t>300분</t>
        </is>
      </c>
      <c r="D1453" s="47" t="inlineStr">
        <is>
          <t>300건</t>
        </is>
      </c>
      <c r="E1453" s="47" t="inlineStr">
        <is>
          <t>월 15GB + 3Mbps</t>
        </is>
      </c>
      <c r="F1453" s="47" t="inlineStr">
        <is>
          <t>LG U+</t>
        </is>
      </c>
      <c r="G1453" s="47" t="inlineStr">
        <is>
          <t>LTE</t>
        </is>
      </c>
      <c r="H1453" s="48" t="n">
        <v>22000</v>
      </c>
      <c r="I1453" s="48" t="n">
        <v>24</v>
      </c>
      <c r="J1453" s="48" t="n">
        <v>30800</v>
      </c>
      <c r="K1453" s="47">
        <f t="array" ref="K1453">_xlfn.XLOOKUP(1,(참조!$B$2:$B$15=E1453)*(참조!$D$2:$D$15=C1453)*(참조!$E$2:$E$15=D1453),참조!$C$2:$C$15,"")</f>
        <v/>
      </c>
    </row>
    <row r="1454" hidden="1" s="27">
      <c r="A1454" s="47" t="inlineStr">
        <is>
          <t>티플러스</t>
        </is>
      </c>
      <c r="B1454" s="47" t="inlineStr">
        <is>
          <t>완전마음껏 10GB＋</t>
        </is>
      </c>
      <c r="C1454" s="47" t="inlineStr">
        <is>
          <t>무제한</t>
        </is>
      </c>
      <c r="D1454" s="47" t="inlineStr">
        <is>
          <t>무제한</t>
        </is>
      </c>
      <c r="E1454" s="47" t="inlineStr">
        <is>
          <t>월 10GB + 1Mbps</t>
        </is>
      </c>
      <c r="F1454" s="47" t="inlineStr">
        <is>
          <t>KT</t>
        </is>
      </c>
      <c r="G1454" s="47" t="inlineStr">
        <is>
          <t>LTE</t>
        </is>
      </c>
      <c r="H1454" s="48" t="n">
        <v>11900</v>
      </c>
      <c r="I1454" s="48" t="n">
        <v>7</v>
      </c>
      <c r="J1454" s="48" t="n">
        <v>26400</v>
      </c>
      <c r="K1454" s="47">
        <f t="array" ref="K1454">_xlfn.XLOOKUP(1,(참조!$B$2:$B$15=E1454)*(참조!$D$2:$D$15=C1454)*(참조!$E$2:$E$15=D1454),참조!$C$2:$C$15,"")</f>
        <v/>
      </c>
    </row>
    <row r="1455" hidden="1" s="27">
      <c r="A1455" s="47" t="inlineStr">
        <is>
          <t>이야기모바일</t>
        </is>
      </c>
      <c r="B1455" s="47" t="inlineStr">
        <is>
          <t>이야기 라이트 100분5GB+</t>
        </is>
      </c>
      <c r="C1455" s="47" t="inlineStr">
        <is>
          <t>100분</t>
        </is>
      </c>
      <c r="D1455" s="47" t="inlineStr">
        <is>
          <t>100건</t>
        </is>
      </c>
      <c r="E1455" s="47" t="inlineStr">
        <is>
          <t>월 5GB + 1Mbps</t>
        </is>
      </c>
      <c r="F1455" s="47" t="inlineStr">
        <is>
          <t>LG U+</t>
        </is>
      </c>
      <c r="G1455" s="47" t="inlineStr">
        <is>
          <t>LTE</t>
        </is>
      </c>
      <c r="H1455" s="48" t="n">
        <v>8800</v>
      </c>
      <c r="I1455" s="48" t="n">
        <v>24</v>
      </c>
      <c r="J1455" s="48" t="n">
        <v>11000</v>
      </c>
      <c r="K1455" s="47">
        <f t="array" ref="K1455">_xlfn.XLOOKUP(1,(참조!$B$2:$B$15=E1455)*(참조!$D$2:$D$15=C1455)*(참조!$E$2:$E$15=D1455),참조!$C$2:$C$15,"")</f>
        <v/>
      </c>
    </row>
    <row r="1456" hidden="1" s="27">
      <c r="A1456" s="47" t="inlineStr">
        <is>
          <t>리브모바일</t>
        </is>
      </c>
      <c r="B1456" s="47" t="inlineStr">
        <is>
          <t>LTE 무제한 11GB+</t>
        </is>
      </c>
      <c r="C1456" s="47" t="inlineStr">
        <is>
          <t>무제한</t>
        </is>
      </c>
      <c r="D1456" s="47" t="inlineStr">
        <is>
          <t>무제한</t>
        </is>
      </c>
      <c r="E1456" s="47" t="inlineStr">
        <is>
          <t>월 11GB + 매일 2GB + 3Mbps</t>
        </is>
      </c>
      <c r="F1456" s="47" t="inlineStr">
        <is>
          <t>KT</t>
        </is>
      </c>
      <c r="G1456" s="47" t="inlineStr">
        <is>
          <t>LTE</t>
        </is>
      </c>
      <c r="H1456" s="48" t="n">
        <v>31100</v>
      </c>
      <c r="I1456" s="48" t="n">
        <v>12</v>
      </c>
      <c r="J1456" s="48" t="n">
        <v>35500</v>
      </c>
      <c r="K1456" s="47">
        <f t="array" ref="K1456">_xlfn.XLOOKUP(1,(참조!$B$2:$B$15=E1456)*(참조!$D$2:$D$15=C1456)*(참조!$E$2:$E$15=D1456),참조!$C$2:$C$15,"")</f>
        <v/>
      </c>
    </row>
    <row r="1457" hidden="1" s="27">
      <c r="A1457" s="47" t="inlineStr">
        <is>
          <t>스마텔</t>
        </is>
      </c>
      <c r="B1457" s="47" t="inlineStr">
        <is>
          <t>스위트2 15GB+(지니뮤직)</t>
        </is>
      </c>
      <c r="C1457" s="47" t="inlineStr">
        <is>
          <t>300분</t>
        </is>
      </c>
      <c r="D1457" s="47" t="inlineStr">
        <is>
          <t>300건</t>
        </is>
      </c>
      <c r="E1457" s="47" t="inlineStr">
        <is>
          <t>월 15GB + 3Mbps</t>
        </is>
      </c>
      <c r="F1457" s="47" t="inlineStr">
        <is>
          <t>KT</t>
        </is>
      </c>
      <c r="G1457" s="47" t="inlineStr">
        <is>
          <t>LTE</t>
        </is>
      </c>
      <c r="H1457" s="48" t="n">
        <v>33000</v>
      </c>
      <c r="I1457" s="48" t="n">
        <v>36</v>
      </c>
      <c r="J1457" s="48" t="n">
        <v>38500</v>
      </c>
      <c r="K1457" s="47">
        <f t="array" ref="K1457">_xlfn.XLOOKUP(1,(참조!$B$2:$B$15=E1457)*(참조!$D$2:$D$15=C1457)*(참조!$E$2:$E$15=D1457),참조!$C$2:$C$15,"")</f>
        <v/>
      </c>
    </row>
    <row r="1458" hidden="1" s="27">
      <c r="A1458" s="47" t="inlineStr">
        <is>
          <t>에이모바일</t>
        </is>
      </c>
      <c r="B1458" s="47" t="inlineStr">
        <is>
          <t>A 5G 스마트 10GB/200분</t>
        </is>
      </c>
      <c r="C1458" s="47" t="inlineStr">
        <is>
          <t>200분</t>
        </is>
      </c>
      <c r="D1458" s="47" t="inlineStr">
        <is>
          <t>100건</t>
        </is>
      </c>
      <c r="E1458" s="47" t="inlineStr">
        <is>
          <t>월 10GB</t>
        </is>
      </c>
      <c r="F1458" s="47" t="inlineStr">
        <is>
          <t>SKT</t>
        </is>
      </c>
      <c r="G1458" s="47" t="inlineStr">
        <is>
          <t>5G</t>
        </is>
      </c>
      <c r="H1458" s="48" t="n">
        <v>1100</v>
      </c>
      <c r="I1458" s="48" t="n">
        <v>7</v>
      </c>
      <c r="J1458" s="48" t="n">
        <v>14190</v>
      </c>
      <c r="K1458" s="47">
        <f t="array" ref="K1458">_xlfn.XLOOKUP(1,(참조!$B$2:$B$15=E1458)*(참조!$D$2:$D$15=C1458)*(참조!$E$2:$E$15=D1458),참조!$C$2:$C$15,"")</f>
        <v/>
      </c>
    </row>
    <row r="1459" hidden="1" s="27">
      <c r="A1459" s="47" t="inlineStr">
        <is>
          <t>이지모바일</t>
        </is>
      </c>
      <c r="B1459" s="47" t="inlineStr">
        <is>
          <t>EG 5G 심플 50GB+</t>
        </is>
      </c>
      <c r="C1459" s="47" t="inlineStr">
        <is>
          <t>무제한</t>
        </is>
      </c>
      <c r="D1459" s="47" t="inlineStr">
        <is>
          <t>무제한</t>
        </is>
      </c>
      <c r="E1459" s="47" t="inlineStr">
        <is>
          <t>월 50GB + 1Mbps</t>
        </is>
      </c>
      <c r="F1459" s="47" t="inlineStr">
        <is>
          <t>KT</t>
        </is>
      </c>
      <c r="G1459" s="47" t="inlineStr">
        <is>
          <t>5G</t>
        </is>
      </c>
      <c r="H1459" s="48" t="n">
        <v>23100</v>
      </c>
      <c r="I1459" s="48" t="n">
        <v>7</v>
      </c>
      <c r="J1459" s="48" t="n">
        <v>45100</v>
      </c>
      <c r="K1459" s="47">
        <f t="array" ref="K1459">_xlfn.XLOOKUP(1,(참조!$B$2:$B$15=E1459)*(참조!$D$2:$D$15=C1459)*(참조!$E$2:$E$15=D1459),참조!$C$2:$C$15,"")</f>
        <v/>
      </c>
    </row>
    <row r="1460" hidden="1" s="27">
      <c r="A1460" s="47" t="inlineStr">
        <is>
          <t>모빙</t>
        </is>
      </c>
      <c r="B1460" s="47" t="inlineStr">
        <is>
          <t>[L] 라운지프리 11GB+</t>
        </is>
      </c>
      <c r="C1460" s="47" t="inlineStr">
        <is>
          <t>무제한</t>
        </is>
      </c>
      <c r="D1460" s="47" t="inlineStr">
        <is>
          <t>무제한</t>
        </is>
      </c>
      <c r="E1460" s="47" t="inlineStr">
        <is>
          <t>월 11GB + 매일 2GB + 3Mbps</t>
        </is>
      </c>
      <c r="F1460" s="47" t="inlineStr">
        <is>
          <t>LG U+</t>
        </is>
      </c>
      <c r="G1460" s="47" t="inlineStr">
        <is>
          <t>LTE</t>
        </is>
      </c>
      <c r="H1460" s="48" t="n">
        <v>31000</v>
      </c>
      <c r="I1460" s="48" t="n">
        <v>24</v>
      </c>
      <c r="J1460" s="48" t="n">
        <v>46000</v>
      </c>
      <c r="K1460" s="47">
        <f t="array" ref="K1460">_xlfn.XLOOKUP(1,(참조!$B$2:$B$15=E1460)*(참조!$D$2:$D$15=C1460)*(참조!$E$2:$E$15=D1460),참조!$C$2:$C$15,"")</f>
        <v/>
      </c>
    </row>
    <row r="1461" hidden="1" s="27">
      <c r="A1461" s="47" t="inlineStr">
        <is>
          <t>찬스모바일</t>
        </is>
      </c>
      <c r="B1461" s="47" t="inlineStr">
        <is>
          <t>음성기본 10GB+</t>
        </is>
      </c>
      <c r="C1461" s="47" t="inlineStr">
        <is>
          <t>무제한</t>
        </is>
      </c>
      <c r="D1461" s="47" t="inlineStr">
        <is>
          <t>무제한</t>
        </is>
      </c>
      <c r="E1461" s="47" t="inlineStr">
        <is>
          <t>월 10GB + 1Mbps</t>
        </is>
      </c>
      <c r="F1461" s="47" t="inlineStr">
        <is>
          <t>LG U+</t>
        </is>
      </c>
      <c r="G1461" s="47" t="inlineStr">
        <is>
          <t>LTE</t>
        </is>
      </c>
      <c r="H1461" s="48" t="n">
        <v>10000</v>
      </c>
      <c r="I1461" s="48" t="n">
        <v>7</v>
      </c>
      <c r="J1461" s="48" t="n">
        <v>24200</v>
      </c>
      <c r="K1461" s="47">
        <f t="array" ref="K1461">_xlfn.XLOOKUP(1,(참조!$B$2:$B$15=E1461)*(참조!$D$2:$D$15=C1461)*(참조!$E$2:$E$15=D1461),참조!$C$2:$C$15,"")</f>
        <v/>
      </c>
    </row>
    <row r="1462" hidden="1" s="27">
      <c r="A1462" s="47" t="inlineStr">
        <is>
          <t>스마텔</t>
        </is>
      </c>
      <c r="B1462" s="47" t="inlineStr">
        <is>
          <t>스위트 10GB+ (+10GB 24개월간 추가 제공)</t>
        </is>
      </c>
      <c r="C1462" s="47" t="inlineStr">
        <is>
          <t>무제한</t>
        </is>
      </c>
      <c r="D1462" s="47" t="inlineStr">
        <is>
          <t>무제한</t>
        </is>
      </c>
      <c r="E1462" s="47" t="inlineStr">
        <is>
          <t>월 10GB + 1Mbps</t>
        </is>
      </c>
      <c r="F1462" s="47" t="inlineStr">
        <is>
          <t>KT</t>
        </is>
      </c>
      <c r="G1462" s="47" t="inlineStr">
        <is>
          <t>LTE</t>
        </is>
      </c>
      <c r="H1462" s="48" t="n">
        <v>22000</v>
      </c>
      <c r="I1462" s="48" t="n">
        <v>36</v>
      </c>
      <c r="J1462" s="48" t="n">
        <v>28600</v>
      </c>
      <c r="K1462" s="47">
        <f t="array" ref="K1462">_xlfn.XLOOKUP(1,(참조!$B$2:$B$15=E1462)*(참조!$D$2:$D$15=C1462)*(참조!$E$2:$E$15=D1462),참조!$C$2:$C$15,"")</f>
        <v/>
      </c>
    </row>
    <row r="1463" hidden="1" s="27">
      <c r="A1463" s="47" t="inlineStr">
        <is>
          <t>모빙</t>
        </is>
      </c>
      <c r="B1463" s="47" t="inlineStr">
        <is>
          <t>[S] 100분15GB+</t>
        </is>
      </c>
      <c r="C1463" s="47" t="inlineStr">
        <is>
          <t>100분</t>
        </is>
      </c>
      <c r="D1463" s="47" t="inlineStr">
        <is>
          <t>100건</t>
        </is>
      </c>
      <c r="E1463" s="47" t="inlineStr">
        <is>
          <t>월 15GB + 3Mbps</t>
        </is>
      </c>
      <c r="F1463" s="47" t="inlineStr">
        <is>
          <t>SKT</t>
        </is>
      </c>
      <c r="G1463" s="47" t="inlineStr">
        <is>
          <t>LTE</t>
        </is>
      </c>
      <c r="H1463" s="48" t="n">
        <v>6000</v>
      </c>
      <c r="I1463" s="48" t="n">
        <v>7</v>
      </c>
      <c r="J1463" s="48" t="n">
        <v>36300</v>
      </c>
      <c r="K1463" s="47">
        <f t="array" ref="K1463">_xlfn.XLOOKUP(1,(참조!$B$2:$B$15=E1463)*(참조!$D$2:$D$15=C1463)*(참조!$E$2:$E$15=D1463),참조!$C$2:$C$15,"")</f>
        <v/>
      </c>
    </row>
    <row r="1464" hidden="1" s="27">
      <c r="A1464" s="47" t="inlineStr">
        <is>
          <t>모빙</t>
        </is>
      </c>
      <c r="B1464" s="47" t="inlineStr">
        <is>
          <t>홈결합 100분15GB+</t>
        </is>
      </c>
      <c r="C1464" s="47" t="inlineStr">
        <is>
          <t>100분</t>
        </is>
      </c>
      <c r="D1464" s="47" t="inlineStr">
        <is>
          <t>100건</t>
        </is>
      </c>
      <c r="E1464" s="47" t="inlineStr">
        <is>
          <t>월 15GB + 3Mbps</t>
        </is>
      </c>
      <c r="F1464" s="47" t="inlineStr">
        <is>
          <t>LG U+</t>
        </is>
      </c>
      <c r="G1464" s="47" t="inlineStr">
        <is>
          <t>LTE</t>
        </is>
      </c>
      <c r="H1464" s="48" t="n">
        <v>22000</v>
      </c>
      <c r="I1464" s="48" t="n">
        <v>12</v>
      </c>
      <c r="J1464" s="48" t="n">
        <v>39000</v>
      </c>
      <c r="K1464" s="47">
        <f t="array" ref="K1464">_xlfn.XLOOKUP(1,(참조!$B$2:$B$15=E1464)*(참조!$D$2:$D$15=C1464)*(참조!$E$2:$E$15=D1464),참조!$C$2:$C$15,"")</f>
        <v/>
      </c>
    </row>
    <row r="1465" hidden="1" s="27">
      <c r="A1465" s="47" t="inlineStr">
        <is>
          <t>이야기모바일</t>
        </is>
      </c>
      <c r="B1465" s="47" t="inlineStr">
        <is>
          <t>이야기 라이트S 100분 15GB+</t>
        </is>
      </c>
      <c r="C1465" s="47" t="inlineStr">
        <is>
          <t>100분</t>
        </is>
      </c>
      <c r="D1465" s="47" t="inlineStr">
        <is>
          <t>100건</t>
        </is>
      </c>
      <c r="E1465" s="47" t="inlineStr">
        <is>
          <t>월 15GB + 1Mbps</t>
        </is>
      </c>
      <c r="F1465" s="47" t="inlineStr">
        <is>
          <t>SKT</t>
        </is>
      </c>
      <c r="G1465" s="47" t="inlineStr">
        <is>
          <t>LTE</t>
        </is>
      </c>
      <c r="H1465" s="48" t="n">
        <v>26400</v>
      </c>
      <c r="I1465" s="48" t="n"/>
      <c r="J1465" s="48" t="n"/>
      <c r="K1465" s="47">
        <f t="array" ref="K1465">_xlfn.XLOOKUP(1,(참조!$B$2:$B$15=E1465)*(참조!$D$2:$D$15=C1465)*(참조!$E$2:$E$15=D1465),참조!$C$2:$C$15,"")</f>
        <v/>
      </c>
    </row>
    <row r="1466" hidden="1" s="27">
      <c r="A1466" s="47" t="inlineStr">
        <is>
          <t>스마텔</t>
        </is>
      </c>
      <c r="B1466" s="47" t="inlineStr">
        <is>
          <t>5G 스마트플러스(200분 + 5GB)</t>
        </is>
      </c>
      <c r="C1466" s="47" t="inlineStr">
        <is>
          <t>200분</t>
        </is>
      </c>
      <c r="D1466" s="47" t="inlineStr">
        <is>
          <t>100건</t>
        </is>
      </c>
      <c r="E1466" s="47" t="inlineStr">
        <is>
          <t>월 5GB</t>
        </is>
      </c>
      <c r="F1466" s="47" t="inlineStr">
        <is>
          <t>LG U+</t>
        </is>
      </c>
      <c r="G1466" s="47" t="inlineStr">
        <is>
          <t>5G</t>
        </is>
      </c>
      <c r="H1466" s="48" t="n">
        <v>7200</v>
      </c>
      <c r="I1466" s="48" t="n">
        <v>12</v>
      </c>
      <c r="J1466" s="48" t="n">
        <v>13000</v>
      </c>
      <c r="K1466" s="47">
        <f t="array" ref="K1466">_xlfn.XLOOKUP(1,(참조!$B$2:$B$15=E1466)*(참조!$D$2:$D$15=C1466)*(참조!$E$2:$E$15=D1466),참조!$C$2:$C$15,"")</f>
        <v/>
      </c>
    </row>
    <row r="1467" hidden="1" s="27">
      <c r="A1467" s="47" t="inlineStr">
        <is>
          <t>KG모바일</t>
        </is>
      </c>
      <c r="B1467" s="47" t="inlineStr">
        <is>
          <t>[일반] 유심 5G 31GB+</t>
        </is>
      </c>
      <c r="C1467" s="47" t="inlineStr">
        <is>
          <t>무제한</t>
        </is>
      </c>
      <c r="D1467" s="47" t="inlineStr">
        <is>
          <t>무제한</t>
        </is>
      </c>
      <c r="E1467" s="47" t="inlineStr">
        <is>
          <t>월 31GB + 1Mbps</t>
        </is>
      </c>
      <c r="F1467" s="47" t="inlineStr">
        <is>
          <t>LG U+</t>
        </is>
      </c>
      <c r="G1467" s="47" t="inlineStr">
        <is>
          <t>5G</t>
        </is>
      </c>
      <c r="H1467" s="48" t="n">
        <v>34320</v>
      </c>
      <c r="I1467" s="48" t="n">
        <v>12</v>
      </c>
      <c r="J1467" s="48" t="n">
        <v>45650</v>
      </c>
      <c r="K1467" s="47">
        <f t="array" ref="K1467">_xlfn.XLOOKUP(1,(참조!$B$2:$B$15=E1467)*(참조!$D$2:$D$15=C1467)*(참조!$E$2:$E$15=D1467),참조!$C$2:$C$15,"")</f>
        <v/>
      </c>
    </row>
    <row r="1468" hidden="1" s="27">
      <c r="A1468" s="47" t="inlineStr">
        <is>
          <t>시월모바일</t>
        </is>
      </c>
      <c r="B1468" s="47" t="inlineStr">
        <is>
          <t>쿠폰팩 통화기본10GB+</t>
        </is>
      </c>
      <c r="C1468" s="47" t="inlineStr">
        <is>
          <t>무제한</t>
        </is>
      </c>
      <c r="D1468" s="47" t="inlineStr">
        <is>
          <t>무제한</t>
        </is>
      </c>
      <c r="E1468" s="47" t="inlineStr">
        <is>
          <t>월 10GB + 1Mbps</t>
        </is>
      </c>
      <c r="F1468" s="47" t="inlineStr">
        <is>
          <t>LG U+</t>
        </is>
      </c>
      <c r="G1468" s="47" t="inlineStr">
        <is>
          <t>LTE</t>
        </is>
      </c>
      <c r="H1468" s="48" t="n">
        <v>13250</v>
      </c>
      <c r="I1468" s="48" t="n">
        <v>7</v>
      </c>
      <c r="J1468" s="48" t="n">
        <v>24250</v>
      </c>
      <c r="K1468" s="47">
        <f t="array" ref="K1468">_xlfn.XLOOKUP(1,(참조!$B$2:$B$15=E1468)*(참조!$D$2:$D$15=C1468)*(참조!$E$2:$E$15=D1468),참조!$C$2:$C$15,"")</f>
        <v/>
      </c>
    </row>
    <row r="1469" hidden="1" s="27">
      <c r="A1469" s="47" t="inlineStr">
        <is>
          <t>이야기모바일</t>
        </is>
      </c>
      <c r="B1469" s="47" t="inlineStr">
        <is>
          <t>5G 이야기 무한 110GB</t>
        </is>
      </c>
      <c r="C1469" s="47" t="inlineStr">
        <is>
          <t>무제한</t>
        </is>
      </c>
      <c r="D1469" s="47" t="inlineStr">
        <is>
          <t>무제한</t>
        </is>
      </c>
      <c r="E1469" s="47" t="inlineStr">
        <is>
          <t>월 110GB + 5Mbps</t>
        </is>
      </c>
      <c r="F1469" s="47" t="inlineStr">
        <is>
          <t>SKT</t>
        </is>
      </c>
      <c r="G1469" s="47" t="inlineStr">
        <is>
          <t>5G</t>
        </is>
      </c>
      <c r="H1469" s="48" t="n">
        <v>44000</v>
      </c>
      <c r="I1469" s="48" t="n">
        <v>7</v>
      </c>
      <c r="J1469" s="48" t="n">
        <v>47300</v>
      </c>
      <c r="K1469" s="47">
        <f t="array" ref="K1469">_xlfn.XLOOKUP(1,(참조!$B$2:$B$15=E1469)*(참조!$D$2:$D$15=C1469)*(참조!$E$2:$E$15=D1469),참조!$C$2:$C$15,"")</f>
        <v/>
      </c>
    </row>
    <row r="1470" hidden="1" s="27">
      <c r="A1470" s="47" t="inlineStr">
        <is>
          <t>아이즈모바일</t>
        </is>
      </c>
      <c r="B1470" s="47" t="inlineStr">
        <is>
          <t>[S]아이즈팩 11GB+</t>
        </is>
      </c>
      <c r="C1470" s="47" t="inlineStr">
        <is>
          <t>무제한</t>
        </is>
      </c>
      <c r="D1470" s="47" t="inlineStr">
        <is>
          <t>무제한</t>
        </is>
      </c>
      <c r="E1470" s="47" t="inlineStr">
        <is>
          <t>월 11GB + 매일 2GB + 3Mbps</t>
        </is>
      </c>
      <c r="F1470" s="47" t="inlineStr">
        <is>
          <t>SKT</t>
        </is>
      </c>
      <c r="G1470" s="47" t="inlineStr">
        <is>
          <t>LTE</t>
        </is>
      </c>
      <c r="H1470" s="48" t="n">
        <v>9500</v>
      </c>
      <c r="I1470" s="48" t="n">
        <v>7</v>
      </c>
      <c r="J1470" s="48" t="n">
        <v>45100</v>
      </c>
      <c r="K1470" s="47">
        <f t="array" ref="K1470">_xlfn.XLOOKUP(1,(참조!$B$2:$B$15=E1470)*(참조!$D$2:$D$15=C1470)*(참조!$E$2:$E$15=D1470),참조!$C$2:$C$15,"")</f>
        <v/>
      </c>
    </row>
    <row r="1471" hidden="1" s="27">
      <c r="A1471" s="47" t="inlineStr">
        <is>
          <t>모빙</t>
        </is>
      </c>
      <c r="B1471" s="47" t="inlineStr">
        <is>
          <t>쏙쏙 100분(10GB)</t>
        </is>
      </c>
      <c r="C1471" s="47" t="inlineStr">
        <is>
          <t>100분</t>
        </is>
      </c>
      <c r="D1471" s="47" t="inlineStr">
        <is>
          <t>100건</t>
        </is>
      </c>
      <c r="E1471" s="47" t="inlineStr">
        <is>
          <t>월 10GB</t>
        </is>
      </c>
      <c r="F1471" s="47" t="inlineStr">
        <is>
          <t>KT</t>
        </is>
      </c>
      <c r="G1471" s="47" t="inlineStr">
        <is>
          <t>LTE</t>
        </is>
      </c>
      <c r="H1471" s="48" t="n">
        <v>8000</v>
      </c>
      <c r="I1471" s="48" t="n"/>
      <c r="J1471" s="48" t="n"/>
      <c r="K1471" s="47">
        <f t="array" ref="K1471">_xlfn.XLOOKUP(1,(참조!$B$2:$B$15=E1471)*(참조!$D$2:$D$15=C1471)*(참조!$E$2:$E$15=D1471),참조!$C$2:$C$15,"")</f>
        <v/>
      </c>
    </row>
    <row r="1472" hidden="1" s="27">
      <c r="A1472" s="47" t="inlineStr">
        <is>
          <t>핀다이렉트</t>
        </is>
      </c>
      <c r="B1472" s="47" t="inlineStr">
        <is>
          <t>[모요only] [S] 핀다이렉트Z Mini _PIN</t>
        </is>
      </c>
      <c r="C1472" s="47" t="inlineStr">
        <is>
          <t>무제한</t>
        </is>
      </c>
      <c r="D1472" s="47" t="inlineStr">
        <is>
          <t>무제한</t>
        </is>
      </c>
      <c r="E1472" s="47" t="inlineStr">
        <is>
          <t>월 7GB + 1Mbps</t>
        </is>
      </c>
      <c r="F1472" s="47" t="inlineStr">
        <is>
          <t>SKT</t>
        </is>
      </c>
      <c r="G1472" s="47" t="inlineStr">
        <is>
          <t>LTE</t>
        </is>
      </c>
      <c r="H1472" s="48" t="n">
        <v>7000</v>
      </c>
      <c r="I1472" s="48" t="n">
        <v>7</v>
      </c>
      <c r="J1472" s="48" t="n">
        <v>22000</v>
      </c>
      <c r="K1472" s="47">
        <f t="array" ref="K1472">_xlfn.XLOOKUP(1,(참조!$B$2:$B$15=E1472)*(참조!$D$2:$D$15=C1472)*(참조!$E$2:$E$15=D1472),참조!$C$2:$C$15,"")</f>
        <v/>
      </c>
    </row>
    <row r="1473" hidden="1" s="27">
      <c r="A1473" s="47" t="inlineStr">
        <is>
          <t>스마텔</t>
        </is>
      </c>
      <c r="B1473" s="47" t="inlineStr">
        <is>
          <t>스마일플러스(100분+1.5GB)</t>
        </is>
      </c>
      <c r="C1473" s="47" t="inlineStr">
        <is>
          <t>100분</t>
        </is>
      </c>
      <c r="D1473" s="47" t="inlineStr">
        <is>
          <t>100건</t>
        </is>
      </c>
      <c r="E1473" s="47" t="inlineStr">
        <is>
          <t>월 1.5GB</t>
        </is>
      </c>
      <c r="F1473" s="47" t="inlineStr">
        <is>
          <t>SKT</t>
        </is>
      </c>
      <c r="G1473" s="47" t="inlineStr">
        <is>
          <t>LTE</t>
        </is>
      </c>
      <c r="H1473" s="48" t="n">
        <v>1600</v>
      </c>
      <c r="I1473" s="48" t="n">
        <v>5</v>
      </c>
      <c r="J1473" s="48" t="n">
        <v>6000</v>
      </c>
      <c r="K1473" s="47">
        <f t="array" ref="K1473">_xlfn.XLOOKUP(1,(참조!$B$2:$B$15=E1473)*(참조!$D$2:$D$15=C1473)*(참조!$E$2:$E$15=D1473),참조!$C$2:$C$15,"")</f>
        <v/>
      </c>
    </row>
    <row r="1474" hidden="1" s="27">
      <c r="A1474" s="47" t="inlineStr">
        <is>
          <t>인스모바일</t>
        </is>
      </c>
      <c r="B1474" s="47" t="inlineStr">
        <is>
          <t>실속 150분+3GB(USIM)</t>
        </is>
      </c>
      <c r="C1474" s="47" t="inlineStr">
        <is>
          <t>150분</t>
        </is>
      </c>
      <c r="D1474" s="47" t="inlineStr">
        <is>
          <t>50건</t>
        </is>
      </c>
      <c r="E1474" s="47" t="inlineStr">
        <is>
          <t>월 3GB</t>
        </is>
      </c>
      <c r="F1474" s="47" t="inlineStr">
        <is>
          <t>LG U+</t>
        </is>
      </c>
      <c r="G1474" s="47" t="inlineStr">
        <is>
          <t>LTE</t>
        </is>
      </c>
      <c r="H1474" s="48" t="n">
        <v>1210</v>
      </c>
      <c r="I1474" s="48" t="n">
        <v>6</v>
      </c>
      <c r="J1474" s="48" t="n">
        <v>15400</v>
      </c>
      <c r="K1474" s="47">
        <f t="array" ref="K1474">_xlfn.XLOOKUP(1,(참조!$B$2:$B$15=E1474)*(참조!$D$2:$D$15=C1474)*(참조!$E$2:$E$15=D1474),참조!$C$2:$C$15,"")</f>
        <v/>
      </c>
    </row>
    <row r="1475" hidden="1" s="27">
      <c r="A1475" s="47" t="inlineStr">
        <is>
          <t>티플러스</t>
        </is>
      </c>
      <c r="B1475" s="47" t="inlineStr">
        <is>
          <t>5G 티플 8GB(8GB/300분)</t>
        </is>
      </c>
      <c r="C1475" s="47" t="inlineStr">
        <is>
          <t>300분</t>
        </is>
      </c>
      <c r="D1475" s="47" t="inlineStr">
        <is>
          <t>100건</t>
        </is>
      </c>
      <c r="E1475" s="47" t="inlineStr">
        <is>
          <t>월 8GB</t>
        </is>
      </c>
      <c r="F1475" s="47" t="inlineStr">
        <is>
          <t>SKT</t>
        </is>
      </c>
      <c r="G1475" s="47" t="inlineStr">
        <is>
          <t>5G</t>
        </is>
      </c>
      <c r="H1475" s="48" t="n">
        <v>5000</v>
      </c>
      <c r="I1475" s="48" t="n">
        <v>4</v>
      </c>
      <c r="J1475" s="48" t="n">
        <v>14300</v>
      </c>
      <c r="K1475" s="47">
        <f t="array" ref="K1475">_xlfn.XLOOKUP(1,(참조!$B$2:$B$15=E1475)*(참조!$D$2:$D$15=C1475)*(참조!$E$2:$E$15=D1475),참조!$C$2:$C$15,"")</f>
        <v/>
      </c>
    </row>
    <row r="1476" hidden="1" s="27">
      <c r="A1476" s="47" t="inlineStr">
        <is>
          <t>에이모바일</t>
        </is>
      </c>
      <c r="B1476" s="47" t="inlineStr">
        <is>
          <t>A 5G 갓성비 5GB/100분</t>
        </is>
      </c>
      <c r="C1476" s="47" t="inlineStr">
        <is>
          <t>100분</t>
        </is>
      </c>
      <c r="D1476" s="47" t="inlineStr">
        <is>
          <t>50건</t>
        </is>
      </c>
      <c r="E1476" s="47" t="inlineStr">
        <is>
          <t>월 5GB</t>
        </is>
      </c>
      <c r="F1476" s="47" t="inlineStr">
        <is>
          <t>LG U+</t>
        </is>
      </c>
      <c r="G1476" s="47" t="inlineStr">
        <is>
          <t>5G</t>
        </is>
      </c>
      <c r="H1476" s="48" t="n">
        <v>1100</v>
      </c>
      <c r="I1476" s="48" t="n">
        <v>6</v>
      </c>
      <c r="J1476" s="48" t="n">
        <v>7700</v>
      </c>
      <c r="K1476" s="47">
        <f t="array" ref="K1476">_xlfn.XLOOKUP(1,(참조!$B$2:$B$15=E1476)*(참조!$D$2:$D$15=C1476)*(참조!$E$2:$E$15=D1476),참조!$C$2:$C$15,"")</f>
        <v/>
      </c>
    </row>
    <row r="1477" hidden="1" s="27">
      <c r="A1477" s="47" t="inlineStr">
        <is>
          <t>아이즈모바일</t>
        </is>
      </c>
      <c r="B1477" s="47" t="inlineStr">
        <is>
          <t>[S]올리브영7GB+</t>
        </is>
      </c>
      <c r="C1477" s="47" t="inlineStr">
        <is>
          <t>무제한</t>
        </is>
      </c>
      <c r="D1477" s="47" t="inlineStr">
        <is>
          <t>무제한</t>
        </is>
      </c>
      <c r="E1477" s="47" t="inlineStr">
        <is>
          <t>월 7GB + 1Mbps</t>
        </is>
      </c>
      <c r="F1477" s="47" t="inlineStr">
        <is>
          <t>SKT</t>
        </is>
      </c>
      <c r="G1477" s="47" t="inlineStr">
        <is>
          <t>LTE</t>
        </is>
      </c>
      <c r="H1477" s="48" t="n">
        <v>3000</v>
      </c>
      <c r="I1477" s="48" t="n">
        <v>7</v>
      </c>
      <c r="J1477" s="48" t="n">
        <v>27500</v>
      </c>
      <c r="K1477" s="47">
        <f t="array" ref="K1477">_xlfn.XLOOKUP(1,(참조!$B$2:$B$15=E1477)*(참조!$D$2:$D$15=C1477)*(참조!$E$2:$E$15=D1477),참조!$C$2:$C$15,"")</f>
        <v/>
      </c>
    </row>
    <row r="1478" hidden="1" s="27">
      <c r="A1478" s="47" t="inlineStr">
        <is>
          <t>티플러스</t>
        </is>
      </c>
      <c r="B1478" s="47" t="inlineStr">
        <is>
          <t>5G 가성비플러스(3GB/350분)</t>
        </is>
      </c>
      <c r="C1478" s="47" t="inlineStr">
        <is>
          <t>350분</t>
        </is>
      </c>
      <c r="D1478" s="47" t="inlineStr">
        <is>
          <t>100건</t>
        </is>
      </c>
      <c r="E1478" s="47" t="inlineStr">
        <is>
          <t>월 3GB</t>
        </is>
      </c>
      <c r="F1478" s="47" t="inlineStr">
        <is>
          <t>LG U+</t>
        </is>
      </c>
      <c r="G1478" s="47" t="inlineStr">
        <is>
          <t>5G</t>
        </is>
      </c>
      <c r="H1478" s="48" t="n">
        <v>1900</v>
      </c>
      <c r="I1478" s="48" t="n">
        <v>6</v>
      </c>
      <c r="J1478" s="48" t="n">
        <v>7700</v>
      </c>
      <c r="K1478" s="47">
        <f t="array" ref="K1478">_xlfn.XLOOKUP(1,(참조!$B$2:$B$15=E1478)*(참조!$D$2:$D$15=C1478)*(참조!$E$2:$E$15=D1478),참조!$C$2:$C$15,"")</f>
        <v/>
      </c>
    </row>
    <row r="1479" hidden="1" s="27">
      <c r="A1479" s="47" t="inlineStr">
        <is>
          <t>이야기모바일</t>
        </is>
      </c>
      <c r="B1479" s="47" t="inlineStr">
        <is>
          <t>이야기 라이트 1GB+</t>
        </is>
      </c>
      <c r="C1479" s="47" t="inlineStr">
        <is>
          <t>무제한</t>
        </is>
      </c>
      <c r="D1479" s="47" t="inlineStr">
        <is>
          <t>무제한</t>
        </is>
      </c>
      <c r="E1479" s="47" t="inlineStr">
        <is>
          <t>월 1GB + 1Mbps</t>
        </is>
      </c>
      <c r="F1479" s="47" t="inlineStr">
        <is>
          <t>LG U+</t>
        </is>
      </c>
      <c r="G1479" s="47" t="inlineStr">
        <is>
          <t>LTE</t>
        </is>
      </c>
      <c r="H1479" s="48" t="n">
        <v>8800</v>
      </c>
      <c r="I1479" s="48" t="n"/>
      <c r="J1479" s="48" t="n"/>
      <c r="K1479" s="47">
        <f t="array" ref="K1479">_xlfn.XLOOKUP(1,(참조!$B$2:$B$15=E1479)*(참조!$D$2:$D$15=C1479)*(참조!$E$2:$E$15=D1479),참조!$C$2:$C$15,"")</f>
        <v/>
      </c>
    </row>
    <row r="1480" hidden="1" s="27">
      <c r="A1480" s="47" t="inlineStr">
        <is>
          <t>스마텔</t>
        </is>
      </c>
      <c r="B1480" s="47" t="inlineStr">
        <is>
          <t>스위트 100GB+(다이소 3000)</t>
        </is>
      </c>
      <c r="C1480" s="47" t="inlineStr">
        <is>
          <t>무제한</t>
        </is>
      </c>
      <c r="D1480" s="47" t="inlineStr">
        <is>
          <t>무제한</t>
        </is>
      </c>
      <c r="E1480" s="47" t="inlineStr">
        <is>
          <t>월 100GB + 5Mbps</t>
        </is>
      </c>
      <c r="F1480" s="47" t="inlineStr">
        <is>
          <t>KT</t>
        </is>
      </c>
      <c r="G1480" s="47" t="inlineStr">
        <is>
          <t>LTE</t>
        </is>
      </c>
      <c r="H1480" s="48" t="n">
        <v>24500</v>
      </c>
      <c r="I1480" s="48" t="n">
        <v>7</v>
      </c>
      <c r="J1480" s="48" t="n">
        <v>47630</v>
      </c>
      <c r="K1480" s="47">
        <f t="array" ref="K1480">_xlfn.XLOOKUP(1,(참조!$B$2:$B$15=E1480)*(참조!$D$2:$D$15=C1480)*(참조!$E$2:$E$15=D1480),참조!$C$2:$C$15,"")</f>
        <v/>
      </c>
    </row>
    <row r="1481" hidden="1" s="27">
      <c r="A1481" s="47" t="inlineStr">
        <is>
          <t>고고모바일</t>
        </is>
      </c>
      <c r="B1481" s="47" t="inlineStr">
        <is>
          <t>무제한 10GB+1M(다이소 매월 5000원)</t>
        </is>
      </c>
      <c r="C1481" s="47" t="inlineStr">
        <is>
          <t>무제한</t>
        </is>
      </c>
      <c r="D1481" s="47" t="inlineStr">
        <is>
          <t>무제한</t>
        </is>
      </c>
      <c r="E1481" s="47" t="inlineStr">
        <is>
          <t>월 10GB + 1Mbps</t>
        </is>
      </c>
      <c r="F1481" s="47" t="inlineStr">
        <is>
          <t>KT</t>
        </is>
      </c>
      <c r="G1481" s="47" t="inlineStr">
        <is>
          <t>LTE</t>
        </is>
      </c>
      <c r="H1481" s="48" t="n">
        <v>24090</v>
      </c>
      <c r="I1481" s="48" t="n"/>
      <c r="J1481" s="48" t="n"/>
      <c r="K1481" s="47">
        <f t="array" ref="K1481">_xlfn.XLOOKUP(1,(참조!$B$2:$B$15=E1481)*(참조!$D$2:$D$15=C1481)*(참조!$E$2:$E$15=D1481),참조!$C$2:$C$15,"")</f>
        <v/>
      </c>
    </row>
    <row r="1482" hidden="1" s="27">
      <c r="A1482" s="47" t="inlineStr">
        <is>
          <t>고고모바일</t>
        </is>
      </c>
      <c r="B1482" s="47" t="inlineStr">
        <is>
          <t>무제한 10GB+1M(올리브영 매월 5000원)</t>
        </is>
      </c>
      <c r="C1482" s="47" t="inlineStr">
        <is>
          <t>무제한</t>
        </is>
      </c>
      <c r="D1482" s="47" t="inlineStr">
        <is>
          <t>무제한</t>
        </is>
      </c>
      <c r="E1482" s="47" t="inlineStr">
        <is>
          <t>월 10GB + 1Mbps</t>
        </is>
      </c>
      <c r="F1482" s="47" t="inlineStr">
        <is>
          <t>KT</t>
        </is>
      </c>
      <c r="G1482" s="47" t="inlineStr">
        <is>
          <t>LTE</t>
        </is>
      </c>
      <c r="H1482" s="48" t="n">
        <v>24090</v>
      </c>
      <c r="I1482" s="48" t="n"/>
      <c r="J1482" s="48" t="n"/>
      <c r="K1482" s="47">
        <f t="array" ref="K1482">_xlfn.XLOOKUP(1,(참조!$B$2:$B$15=E1482)*(참조!$D$2:$D$15=C1482)*(참조!$E$2:$E$15=D1482),참조!$C$2:$C$15,"")</f>
        <v/>
      </c>
    </row>
    <row r="1483" hidden="1" s="27">
      <c r="A1483" s="47" t="inlineStr">
        <is>
          <t>모빙</t>
        </is>
      </c>
      <c r="B1483" s="47" t="inlineStr">
        <is>
          <t>[S] 데이터 11GB+</t>
        </is>
      </c>
      <c r="C1483" s="47" t="inlineStr">
        <is>
          <t>무제한</t>
        </is>
      </c>
      <c r="D1483" s="47" t="inlineStr">
        <is>
          <t>무제한</t>
        </is>
      </c>
      <c r="E1483" s="47" t="inlineStr">
        <is>
          <t>월 11GB + 매일 2GB + 3Mbps</t>
        </is>
      </c>
      <c r="F1483" s="47" t="inlineStr">
        <is>
          <t>SKT</t>
        </is>
      </c>
      <c r="G1483" s="47" t="inlineStr">
        <is>
          <t>LTE</t>
        </is>
      </c>
      <c r="H1483" s="48" t="n">
        <v>9900</v>
      </c>
      <c r="I1483" s="48" t="n">
        <v>7</v>
      </c>
      <c r="J1483" s="48" t="n">
        <v>46200</v>
      </c>
      <c r="K1483" s="47">
        <f t="array" ref="K1483">_xlfn.XLOOKUP(1,(참조!$B$2:$B$15=E1483)*(참조!$D$2:$D$15=C1483)*(참조!$E$2:$E$15=D1483),참조!$C$2:$C$15,"")</f>
        <v/>
      </c>
    </row>
    <row r="1484" hidden="1" s="27">
      <c r="A1484" s="47" t="inlineStr">
        <is>
          <t>더원모바일</t>
        </is>
      </c>
      <c r="B1484" s="47" t="inlineStr">
        <is>
          <t>TOP 5G 200GB 기본 (다이소)</t>
        </is>
      </c>
      <c r="C1484" s="47" t="inlineStr">
        <is>
          <t>무제한</t>
        </is>
      </c>
      <c r="D1484" s="47" t="inlineStr">
        <is>
          <t>무제한</t>
        </is>
      </c>
      <c r="E1484" s="47" t="inlineStr">
        <is>
          <t>월 200GB + 10Mbps</t>
        </is>
      </c>
      <c r="F1484" s="47" t="inlineStr">
        <is>
          <t>KT</t>
        </is>
      </c>
      <c r="G1484" s="47" t="inlineStr">
        <is>
          <t>5G</t>
        </is>
      </c>
      <c r="H1484" s="48" t="n">
        <v>24200</v>
      </c>
      <c r="I1484" s="48" t="n">
        <v>7</v>
      </c>
      <c r="J1484" s="48" t="n">
        <v>55000</v>
      </c>
      <c r="K1484" s="47">
        <f t="array" ref="K1484">_xlfn.XLOOKUP(1,(참조!$B$2:$B$15=E1484)*(참조!$D$2:$D$15=C1484)*(참조!$E$2:$E$15=D1484),참조!$C$2:$C$15,"")</f>
        <v/>
      </c>
    </row>
    <row r="1485" hidden="1" s="27">
      <c r="A1485" s="47" t="inlineStr">
        <is>
          <t>인스모바일</t>
        </is>
      </c>
      <c r="B1485" s="47" t="inlineStr">
        <is>
          <t>[평생할인] 올프리 5GB+(USIM)</t>
        </is>
      </c>
      <c r="C1485" s="47" t="inlineStr">
        <is>
          <t>무제한</t>
        </is>
      </c>
      <c r="D1485" s="47" t="inlineStr">
        <is>
          <t>무제한</t>
        </is>
      </c>
      <c r="E1485" s="47" t="inlineStr">
        <is>
          <t>월 5GB + 1Mbps</t>
        </is>
      </c>
      <c r="F1485" s="47" t="inlineStr">
        <is>
          <t>LG U+</t>
        </is>
      </c>
      <c r="G1485" s="47" t="inlineStr">
        <is>
          <t>LTE</t>
        </is>
      </c>
      <c r="H1485" s="48" t="n">
        <v>9680</v>
      </c>
      <c r="I1485" s="48" t="n"/>
      <c r="J1485" s="48" t="n"/>
      <c r="K1485" s="47">
        <f t="array" ref="K1485">_xlfn.XLOOKUP(1,(참조!$B$2:$B$15=E1485)*(참조!$D$2:$D$15=C1485)*(참조!$E$2:$E$15=D1485),참조!$C$2:$C$15,"")</f>
        <v/>
      </c>
    </row>
    <row r="1486" hidden="1" s="27">
      <c r="A1486" s="47" t="inlineStr">
        <is>
          <t>모빙</t>
        </is>
      </c>
      <c r="B1486" s="47" t="inlineStr">
        <is>
          <t>[S] 데이터 7GB+</t>
        </is>
      </c>
      <c r="C1486" s="47" t="inlineStr">
        <is>
          <t>무제한</t>
        </is>
      </c>
      <c r="D1486" s="47" t="inlineStr">
        <is>
          <t>무제한</t>
        </is>
      </c>
      <c r="E1486" s="47" t="inlineStr">
        <is>
          <t>월 7GB + 1Mbps</t>
        </is>
      </c>
      <c r="F1486" s="47" t="inlineStr">
        <is>
          <t>SKT</t>
        </is>
      </c>
      <c r="G1486" s="47" t="inlineStr">
        <is>
          <t>LTE</t>
        </is>
      </c>
      <c r="H1486" s="48" t="n">
        <v>3000</v>
      </c>
      <c r="I1486" s="48" t="n">
        <v>7</v>
      </c>
      <c r="J1486" s="48" t="n">
        <v>26400</v>
      </c>
      <c r="K1486" s="47">
        <f t="array" ref="K1486">_xlfn.XLOOKUP(1,(참조!$B$2:$B$15=E1486)*(참조!$D$2:$D$15=C1486)*(참조!$E$2:$E$15=D1486),참조!$C$2:$C$15,"")</f>
        <v/>
      </c>
    </row>
    <row r="1487" hidden="1" s="27">
      <c r="A1487" s="47" t="inlineStr">
        <is>
          <t>에이모바일</t>
        </is>
      </c>
      <c r="B1487" s="47" t="inlineStr">
        <is>
          <t>A 갓성비 10GB/100분 6</t>
        </is>
      </c>
      <c r="C1487" s="47" t="inlineStr">
        <is>
          <t>100분</t>
        </is>
      </c>
      <c r="D1487" s="47" t="inlineStr">
        <is>
          <t>100건</t>
        </is>
      </c>
      <c r="E1487" s="47" t="inlineStr">
        <is>
          <t>월 10GB</t>
        </is>
      </c>
      <c r="F1487" s="47" t="inlineStr">
        <is>
          <t>LG U+</t>
        </is>
      </c>
      <c r="G1487" s="47" t="inlineStr">
        <is>
          <t>LTE</t>
        </is>
      </c>
      <c r="H1487" s="48" t="n">
        <v>110</v>
      </c>
      <c r="I1487" s="48" t="n">
        <v>6</v>
      </c>
      <c r="J1487" s="48" t="n">
        <v>13200</v>
      </c>
      <c r="K1487" s="47">
        <f t="array" ref="K1487">_xlfn.XLOOKUP(1,(참조!$B$2:$B$15=E1487)*(참조!$D$2:$D$15=C1487)*(참조!$E$2:$E$15=D1487),참조!$C$2:$C$15,"")</f>
        <v/>
      </c>
    </row>
    <row r="1488" hidden="1" s="27">
      <c r="A1488" s="47" t="inlineStr">
        <is>
          <t>스마텔</t>
        </is>
      </c>
      <c r="B1488" s="47" t="inlineStr">
        <is>
          <t>스위트 100GB+(올영 5000)</t>
        </is>
      </c>
      <c r="C1488" s="47" t="inlineStr">
        <is>
          <t>무제한</t>
        </is>
      </c>
      <c r="D1488" s="47" t="inlineStr">
        <is>
          <t>무제한</t>
        </is>
      </c>
      <c r="E1488" s="47" t="inlineStr">
        <is>
          <t>월 100GB + 5Mbps</t>
        </is>
      </c>
      <c r="F1488" s="47" t="inlineStr">
        <is>
          <t>KT</t>
        </is>
      </c>
      <c r="G1488" s="47" t="inlineStr">
        <is>
          <t>LTE</t>
        </is>
      </c>
      <c r="H1488" s="48" t="n">
        <v>25380</v>
      </c>
      <c r="I1488" s="48" t="n">
        <v>7</v>
      </c>
      <c r="J1488" s="48" t="n">
        <v>48510</v>
      </c>
      <c r="K1488" s="47">
        <f t="array" ref="K1488">_xlfn.XLOOKUP(1,(참조!$B$2:$B$15=E1488)*(참조!$D$2:$D$15=C1488)*(참조!$E$2:$E$15=D1488),참조!$C$2:$C$15,"")</f>
        <v/>
      </c>
    </row>
    <row r="1489" hidden="1" s="27">
      <c r="A1489" s="47" t="inlineStr">
        <is>
          <t>이야기모바일</t>
        </is>
      </c>
      <c r="B1489" s="47" t="inlineStr">
        <is>
          <t>내맘대로(100분+6GB)(5G)</t>
        </is>
      </c>
      <c r="C1489" s="47" t="inlineStr">
        <is>
          <t>100분</t>
        </is>
      </c>
      <c r="D1489" s="47" t="inlineStr">
        <is>
          <t>100건</t>
        </is>
      </c>
      <c r="E1489" s="47" t="inlineStr">
        <is>
          <t>월 6GB</t>
        </is>
      </c>
      <c r="F1489" s="47" t="inlineStr">
        <is>
          <t>LG U+</t>
        </is>
      </c>
      <c r="G1489" s="47" t="inlineStr">
        <is>
          <t>5G</t>
        </is>
      </c>
      <c r="H1489" s="48" t="n">
        <v>8800</v>
      </c>
      <c r="I1489" s="48" t="n"/>
      <c r="J1489" s="48" t="n"/>
      <c r="K1489" s="47">
        <f t="array" ref="K1489">_xlfn.XLOOKUP(1,(참조!$B$2:$B$15=E1489)*(참조!$D$2:$D$15=C1489)*(참조!$E$2:$E$15=D1489),참조!$C$2:$C$15,"")</f>
        <v/>
      </c>
    </row>
    <row r="1490" hidden="1" s="27">
      <c r="A1490" s="47" t="inlineStr">
        <is>
          <t>이야기모바일</t>
        </is>
      </c>
      <c r="B1490" s="47" t="inlineStr">
        <is>
          <t>이야기 K 데이터 100GB+(배달의 민족 5000P)</t>
        </is>
      </c>
      <c r="C1490" s="47" t="inlineStr">
        <is>
          <t>무제한</t>
        </is>
      </c>
      <c r="D1490" s="47" t="inlineStr">
        <is>
          <t>무제한</t>
        </is>
      </c>
      <c r="E1490" s="47" t="inlineStr">
        <is>
          <t>월 100GB + 5Mbps</t>
        </is>
      </c>
      <c r="F1490" s="47" t="inlineStr">
        <is>
          <t>KT</t>
        </is>
      </c>
      <c r="G1490" s="47" t="inlineStr">
        <is>
          <t>LTE</t>
        </is>
      </c>
      <c r="H1490" s="48" t="n">
        <v>27200</v>
      </c>
      <c r="I1490" s="48" t="n">
        <v>7</v>
      </c>
      <c r="J1490" s="48" t="n">
        <v>49200</v>
      </c>
      <c r="K1490" s="47">
        <f t="array" ref="K1490">_xlfn.XLOOKUP(1,(참조!$B$2:$B$15=E1490)*(참조!$D$2:$D$15=C1490)*(참조!$E$2:$E$15=D1490),참조!$C$2:$C$15,"")</f>
        <v/>
      </c>
    </row>
    <row r="1491" hidden="1" s="27">
      <c r="A1491" s="47" t="inlineStr">
        <is>
          <t>이지모바일</t>
        </is>
      </c>
      <c r="B1491" s="47" t="inlineStr">
        <is>
          <t>EG 무제한 71G+3(멜론)</t>
        </is>
      </c>
      <c r="C1491" s="47" t="inlineStr">
        <is>
          <t>무제한</t>
        </is>
      </c>
      <c r="D1491" s="47" t="inlineStr">
        <is>
          <t>무제한</t>
        </is>
      </c>
      <c r="E1491" s="47" t="inlineStr">
        <is>
          <t>월 11GB + 매일 2GB + 3Mbps</t>
        </is>
      </c>
      <c r="F1491" s="47" t="inlineStr">
        <is>
          <t>KT</t>
        </is>
      </c>
      <c r="G1491" s="47" t="inlineStr">
        <is>
          <t>LTE</t>
        </is>
      </c>
      <c r="H1491" s="48" t="n">
        <v>22100</v>
      </c>
      <c r="I1491" s="48" t="n">
        <v>7</v>
      </c>
      <c r="J1491" s="48" t="n">
        <v>39600</v>
      </c>
      <c r="K1491" s="47">
        <f t="array" ref="K1491">_xlfn.XLOOKUP(1,(참조!$B$2:$B$15=E1491)*(참조!$D$2:$D$15=C1491)*(참조!$E$2:$E$15=D1491),참조!$C$2:$C$15,"")</f>
        <v/>
      </c>
    </row>
    <row r="1492" hidden="1" s="27">
      <c r="A1492" s="47" t="inlineStr">
        <is>
          <t>이야기모바일</t>
        </is>
      </c>
      <c r="B1492" s="47" t="inlineStr">
        <is>
          <t>이야기 K 데이터 100GB+(다이소 5000P)</t>
        </is>
      </c>
      <c r="C1492" s="47" t="inlineStr">
        <is>
          <t>무제한</t>
        </is>
      </c>
      <c r="D1492" s="47" t="inlineStr">
        <is>
          <t>무제한</t>
        </is>
      </c>
      <c r="E1492" s="47" t="inlineStr">
        <is>
          <t>월 100GB + 5Mbps</t>
        </is>
      </c>
      <c r="F1492" s="47" t="inlineStr">
        <is>
          <t>KT</t>
        </is>
      </c>
      <c r="G1492" s="47" t="inlineStr">
        <is>
          <t>LTE</t>
        </is>
      </c>
      <c r="H1492" s="48" t="n">
        <v>27200</v>
      </c>
      <c r="I1492" s="48" t="n">
        <v>7</v>
      </c>
      <c r="J1492" s="48" t="n">
        <v>49200</v>
      </c>
      <c r="K1492" s="47">
        <f t="array" ref="K1492">_xlfn.XLOOKUP(1,(참조!$B$2:$B$15=E1492)*(참조!$D$2:$D$15=C1492)*(참조!$E$2:$E$15=D1492),참조!$C$2:$C$15,"")</f>
        <v/>
      </c>
    </row>
    <row r="1493" hidden="1" s="27">
      <c r="A1493" s="47" t="inlineStr">
        <is>
          <t>이야기모바일</t>
        </is>
      </c>
      <c r="B1493" s="47" t="inlineStr">
        <is>
          <t>[모요only] 내맘대로 (200분+1GB)</t>
        </is>
      </c>
      <c r="C1493" s="47" t="inlineStr">
        <is>
          <t>200분</t>
        </is>
      </c>
      <c r="D1493" s="47" t="inlineStr">
        <is>
          <t>50건</t>
        </is>
      </c>
      <c r="E1493" s="47" t="inlineStr">
        <is>
          <t>월 1GB</t>
        </is>
      </c>
      <c r="F1493" s="47" t="inlineStr">
        <is>
          <t>LG U+</t>
        </is>
      </c>
      <c r="G1493" s="47" t="inlineStr">
        <is>
          <t>LTE</t>
        </is>
      </c>
      <c r="H1493" s="48" t="n">
        <v>6050</v>
      </c>
      <c r="I1493" s="48" t="n"/>
      <c r="J1493" s="48" t="n"/>
      <c r="K1493" s="47">
        <f t="array" ref="K1493">_xlfn.XLOOKUP(1,(참조!$B$2:$B$15=E1493)*(참조!$D$2:$D$15=C1493)*(참조!$E$2:$E$15=D1493),참조!$C$2:$C$15,"")</f>
        <v/>
      </c>
    </row>
    <row r="1494" hidden="1" s="27">
      <c r="A1494" s="47" t="inlineStr">
        <is>
          <t>KG모바일</t>
        </is>
      </c>
      <c r="B1494" s="47" t="inlineStr">
        <is>
          <t>[KG모바일 스페셜] 통화, 데이터 마음대로 7GB+</t>
        </is>
      </c>
      <c r="C1494" s="47" t="inlineStr">
        <is>
          <t>무제한</t>
        </is>
      </c>
      <c r="D1494" s="47" t="inlineStr">
        <is>
          <t>무제한</t>
        </is>
      </c>
      <c r="E1494" s="47" t="inlineStr">
        <is>
          <t>월 7GB + 1Mbps</t>
        </is>
      </c>
      <c r="F1494" s="47" t="inlineStr">
        <is>
          <t>LG U+</t>
        </is>
      </c>
      <c r="G1494" s="47" t="inlineStr">
        <is>
          <t>LTE</t>
        </is>
      </c>
      <c r="H1494" s="48" t="n">
        <v>7000</v>
      </c>
      <c r="I1494" s="48" t="n">
        <v>7</v>
      </c>
      <c r="J1494" s="48" t="n">
        <v>24200</v>
      </c>
      <c r="K1494" s="47">
        <f t="array" ref="K1494">_xlfn.XLOOKUP(1,(참조!$B$2:$B$15=E1494)*(참조!$D$2:$D$15=C1494)*(참조!$E$2:$E$15=D1494),참조!$C$2:$C$15,"")</f>
        <v/>
      </c>
    </row>
    <row r="1495" hidden="1" s="27">
      <c r="A1495" s="47" t="inlineStr">
        <is>
          <t>아이즈모바일</t>
        </is>
      </c>
      <c r="B1495" s="47" t="inlineStr">
        <is>
          <t>[L]벤티(200분/10GB)</t>
        </is>
      </c>
      <c r="C1495" s="47" t="inlineStr">
        <is>
          <t>200분</t>
        </is>
      </c>
      <c r="D1495" s="47" t="inlineStr">
        <is>
          <t>100건</t>
        </is>
      </c>
      <c r="E1495" s="47" t="inlineStr">
        <is>
          <t>월 10GB</t>
        </is>
      </c>
      <c r="F1495" s="47" t="inlineStr">
        <is>
          <t>LG U+</t>
        </is>
      </c>
      <c r="G1495" s="47" t="inlineStr">
        <is>
          <t>LTE</t>
        </is>
      </c>
      <c r="H1495" s="48" t="n">
        <v>990</v>
      </c>
      <c r="I1495" s="48" t="n">
        <v>7</v>
      </c>
      <c r="J1495" s="48" t="n">
        <v>23200</v>
      </c>
      <c r="K1495" s="47">
        <f t="array" ref="K1495">_xlfn.XLOOKUP(1,(참조!$B$2:$B$15=E1495)*(참조!$D$2:$D$15=C1495)*(참조!$E$2:$E$15=D1495),참조!$C$2:$C$15,"")</f>
        <v/>
      </c>
    </row>
    <row r="1496" hidden="1" s="27">
      <c r="A1496" s="47" t="inlineStr">
        <is>
          <t>이지모바일</t>
        </is>
      </c>
      <c r="B1496" s="47" t="inlineStr">
        <is>
          <t>EG 5G프리미엄 200G+</t>
        </is>
      </c>
      <c r="C1496" s="47" t="inlineStr">
        <is>
          <t>무제한</t>
        </is>
      </c>
      <c r="D1496" s="47" t="inlineStr">
        <is>
          <t>무제한</t>
        </is>
      </c>
      <c r="E1496" s="47" t="inlineStr">
        <is>
          <t>월 200GB + 10Mbps</t>
        </is>
      </c>
      <c r="F1496" s="47" t="inlineStr">
        <is>
          <t>KT</t>
        </is>
      </c>
      <c r="G1496" s="47" t="inlineStr">
        <is>
          <t>5G</t>
        </is>
      </c>
      <c r="H1496" s="48" t="n">
        <v>29150</v>
      </c>
      <c r="I1496" s="48" t="n">
        <v>7</v>
      </c>
      <c r="J1496" s="48" t="n">
        <v>58300</v>
      </c>
      <c r="K1496" s="47">
        <f t="array" ref="K1496">_xlfn.XLOOKUP(1,(참조!$B$2:$B$15=E1496)*(참조!$D$2:$D$15=C1496)*(참조!$E$2:$E$15=D1496),참조!$C$2:$C$15,"")</f>
        <v/>
      </c>
    </row>
    <row r="1497" hidden="1" s="27">
      <c r="A1497" s="47" t="inlineStr">
        <is>
          <t>모빙</t>
        </is>
      </c>
      <c r="B1497" s="47" t="inlineStr">
        <is>
          <t>[S] 300분1GB</t>
        </is>
      </c>
      <c r="C1497" s="47" t="inlineStr">
        <is>
          <t>300분</t>
        </is>
      </c>
      <c r="D1497" s="47" t="inlineStr">
        <is>
          <t>300건</t>
        </is>
      </c>
      <c r="E1497" s="47" t="inlineStr">
        <is>
          <t>월 1GB</t>
        </is>
      </c>
      <c r="F1497" s="47" t="inlineStr">
        <is>
          <t>SKT</t>
        </is>
      </c>
      <c r="G1497" s="47" t="inlineStr">
        <is>
          <t>LTE</t>
        </is>
      </c>
      <c r="H1497" s="48" t="n">
        <v>3000</v>
      </c>
      <c r="I1497" s="48" t="n"/>
      <c r="J1497" s="48" t="n"/>
      <c r="K1497" s="47">
        <f t="array" ref="K1497">_xlfn.XLOOKUP(1,(참조!$B$2:$B$15=E1497)*(참조!$D$2:$D$15=C1497)*(참조!$E$2:$E$15=D1497),참조!$C$2:$C$15,"")</f>
        <v/>
      </c>
    </row>
    <row r="1498" hidden="1" s="27">
      <c r="A1498" s="47" t="inlineStr">
        <is>
          <t>에이모바일</t>
        </is>
      </c>
      <c r="B1498" s="47" t="inlineStr">
        <is>
          <t>A 넥스트 15GB+/300분(네이버페이 1만x7개월)</t>
        </is>
      </c>
      <c r="C1498" s="47" t="inlineStr">
        <is>
          <t>300분</t>
        </is>
      </c>
      <c r="D1498" s="47" t="inlineStr">
        <is>
          <t>300건</t>
        </is>
      </c>
      <c r="E1498" s="47" t="inlineStr">
        <is>
          <t>월 15GB + 3Mbps</t>
        </is>
      </c>
      <c r="F1498" s="47" t="inlineStr">
        <is>
          <t>SKT</t>
        </is>
      </c>
      <c r="G1498" s="47" t="inlineStr">
        <is>
          <t>LTE</t>
        </is>
      </c>
      <c r="H1498" s="48" t="n">
        <v>14000</v>
      </c>
      <c r="I1498" s="48" t="n">
        <v>7</v>
      </c>
      <c r="J1498" s="48" t="n">
        <v>29900</v>
      </c>
      <c r="K1498" s="47">
        <f t="array" ref="K1498">_xlfn.XLOOKUP(1,(참조!$B$2:$B$15=E1498)*(참조!$D$2:$D$15=C1498)*(참조!$E$2:$E$15=D1498),참조!$C$2:$C$15,"")</f>
        <v/>
      </c>
    </row>
    <row r="1499" hidden="1" s="27">
      <c r="A1499" s="47" t="inlineStr">
        <is>
          <t>티플러스</t>
        </is>
      </c>
      <c r="B1499" s="47" t="inlineStr">
        <is>
          <t>티플 올리브영 10GB+(매월 5000P)</t>
        </is>
      </c>
      <c r="C1499" s="47" t="inlineStr">
        <is>
          <t>무제한</t>
        </is>
      </c>
      <c r="D1499" s="47" t="inlineStr">
        <is>
          <t>무제한</t>
        </is>
      </c>
      <c r="E1499" s="47" t="inlineStr">
        <is>
          <t>월 10GB + 1Mbps</t>
        </is>
      </c>
      <c r="F1499" s="47" t="inlineStr">
        <is>
          <t>SKT</t>
        </is>
      </c>
      <c r="G1499" s="47" t="inlineStr">
        <is>
          <t>LTE</t>
        </is>
      </c>
      <c r="H1499" s="48" t="n">
        <v>6900</v>
      </c>
      <c r="I1499" s="48" t="n">
        <v>7</v>
      </c>
      <c r="J1499" s="48" t="n">
        <v>30800</v>
      </c>
      <c r="K1499" s="47">
        <f t="array" ref="K1499">_xlfn.XLOOKUP(1,(참조!$B$2:$B$15=E1499)*(참조!$D$2:$D$15=C1499)*(참조!$E$2:$E$15=D1499),참조!$C$2:$C$15,"")</f>
        <v/>
      </c>
    </row>
    <row r="1500" hidden="1" s="27">
      <c r="A1500" s="47" t="inlineStr">
        <is>
          <t>이야기모바일</t>
        </is>
      </c>
      <c r="B1500" s="47" t="inlineStr">
        <is>
          <t>이야기 무한 10GB+</t>
        </is>
      </c>
      <c r="C1500" s="47" t="inlineStr">
        <is>
          <t>무제한</t>
        </is>
      </c>
      <c r="D1500" s="47" t="inlineStr">
        <is>
          <t>무제한</t>
        </is>
      </c>
      <c r="E1500" s="47" t="inlineStr">
        <is>
          <t>월 10GB + 1Mbps</t>
        </is>
      </c>
      <c r="F1500" s="47" t="inlineStr">
        <is>
          <t>SKT</t>
        </is>
      </c>
      <c r="G1500" s="47" t="inlineStr">
        <is>
          <t>LTE</t>
        </is>
      </c>
      <c r="H1500" s="48" t="n">
        <v>14000</v>
      </c>
      <c r="I1500" s="48" t="n">
        <v>7</v>
      </c>
      <c r="J1500" s="48" t="n">
        <v>37400</v>
      </c>
      <c r="K1500" s="47">
        <f t="array" ref="K1500">_xlfn.XLOOKUP(1,(참조!$B$2:$B$15=E1500)*(참조!$D$2:$D$15=C1500)*(참조!$E$2:$E$15=D1500),참조!$C$2:$C$15,"")</f>
        <v/>
      </c>
    </row>
    <row r="1501" hidden="1" s="27">
      <c r="A1501" s="47" t="inlineStr">
        <is>
          <t>모빙</t>
        </is>
      </c>
      <c r="B1501" s="47" t="inlineStr">
        <is>
          <t>실속 100분3GB</t>
        </is>
      </c>
      <c r="C1501" s="47" t="inlineStr">
        <is>
          <t>100분</t>
        </is>
      </c>
      <c r="D1501" s="47" t="inlineStr">
        <is>
          <t>100건</t>
        </is>
      </c>
      <c r="E1501" s="47" t="inlineStr">
        <is>
          <t>월 3GB</t>
        </is>
      </c>
      <c r="F1501" s="47" t="inlineStr">
        <is>
          <t>LG U+</t>
        </is>
      </c>
      <c r="G1501" s="47" t="inlineStr">
        <is>
          <t>LTE</t>
        </is>
      </c>
      <c r="H1501" s="48" t="n">
        <v>2800</v>
      </c>
      <c r="I1501" s="48" t="n"/>
      <c r="J1501" s="48" t="n"/>
      <c r="K1501" s="47">
        <f t="array" ref="K1501">_xlfn.XLOOKUP(1,(참조!$B$2:$B$15=E1501)*(참조!$D$2:$D$15=C1501)*(참조!$E$2:$E$15=D1501),참조!$C$2:$C$15,"")</f>
        <v/>
      </c>
    </row>
    <row r="1502" hidden="1" s="27">
      <c r="A1502" s="47" t="inlineStr">
        <is>
          <t>스마텔</t>
        </is>
      </c>
      <c r="B1502" s="47" t="inlineStr">
        <is>
          <t>후후 스마일 (200분/5GB+)</t>
        </is>
      </c>
      <c r="C1502" s="47" t="inlineStr">
        <is>
          <t>200분</t>
        </is>
      </c>
      <c r="D1502" s="47" t="inlineStr">
        <is>
          <t>100건</t>
        </is>
      </c>
      <c r="E1502" s="47" t="inlineStr">
        <is>
          <t>월 5GB + 1Mbps</t>
        </is>
      </c>
      <c r="F1502" s="47" t="inlineStr">
        <is>
          <t>SKT</t>
        </is>
      </c>
      <c r="G1502" s="47" t="inlineStr">
        <is>
          <t>LTE</t>
        </is>
      </c>
      <c r="H1502" s="48" t="n">
        <v>15400</v>
      </c>
      <c r="I1502" s="48" t="n"/>
      <c r="J1502" s="48" t="n"/>
      <c r="K1502" s="47">
        <f t="array" ref="K1502">_xlfn.XLOOKUP(1,(참조!$B$2:$B$15=E1502)*(참조!$D$2:$D$15=C1502)*(참조!$E$2:$E$15=D1502),참조!$C$2:$C$15,"")</f>
        <v/>
      </c>
    </row>
    <row r="1503" hidden="1" s="27">
      <c r="A1503" s="47" t="inlineStr">
        <is>
          <t>에이모바일</t>
        </is>
      </c>
      <c r="B1503" s="47" t="inlineStr">
        <is>
          <t>A 올라잇 7GB+ 밀리의서재</t>
        </is>
      </c>
      <c r="C1503" s="47" t="inlineStr">
        <is>
          <t>무제한</t>
        </is>
      </c>
      <c r="D1503" s="47" t="inlineStr">
        <is>
          <t>무제한</t>
        </is>
      </c>
      <c r="E1503" s="47" t="inlineStr">
        <is>
          <t>월 7GB + 1Mbps</t>
        </is>
      </c>
      <c r="F1503" s="47" t="inlineStr">
        <is>
          <t>KT</t>
        </is>
      </c>
      <c r="G1503" s="47" t="inlineStr">
        <is>
          <t>LTE</t>
        </is>
      </c>
      <c r="H1503" s="48" t="n">
        <v>1900</v>
      </c>
      <c r="I1503" s="48" t="n">
        <v>7</v>
      </c>
      <c r="J1503" s="48" t="n">
        <v>19800</v>
      </c>
      <c r="K1503" s="47">
        <f t="array" ref="K1503">_xlfn.XLOOKUP(1,(참조!$B$2:$B$15=E1503)*(참조!$D$2:$D$15=C1503)*(참조!$E$2:$E$15=D1503),참조!$C$2:$C$15,"")</f>
        <v/>
      </c>
    </row>
    <row r="1504" hidden="1" s="27">
      <c r="A1504" s="47" t="inlineStr">
        <is>
          <t>아이즈모바일</t>
        </is>
      </c>
      <c r="B1504" s="47" t="inlineStr">
        <is>
          <t>[S]벤티(200분/10GB)</t>
        </is>
      </c>
      <c r="C1504" s="47" t="inlineStr">
        <is>
          <t>200분</t>
        </is>
      </c>
      <c r="D1504" s="47" t="inlineStr">
        <is>
          <t>100건</t>
        </is>
      </c>
      <c r="E1504" s="47" t="inlineStr">
        <is>
          <t>월 10GB</t>
        </is>
      </c>
      <c r="F1504" s="47" t="inlineStr">
        <is>
          <t>SKT</t>
        </is>
      </c>
      <c r="G1504" s="47" t="inlineStr">
        <is>
          <t>LTE</t>
        </is>
      </c>
      <c r="H1504" s="48" t="n">
        <v>9900</v>
      </c>
      <c r="I1504" s="48" t="n"/>
      <c r="J1504" s="48" t="n"/>
      <c r="K1504" s="47">
        <f t="array" ref="K1504">_xlfn.XLOOKUP(1,(참조!$B$2:$B$15=E1504)*(참조!$D$2:$D$15=C1504)*(참조!$E$2:$E$15=D1504),참조!$C$2:$C$15,"")</f>
        <v/>
      </c>
    </row>
    <row r="1505" hidden="1" s="27">
      <c r="A1505" s="47" t="inlineStr">
        <is>
          <t>이지모바일</t>
        </is>
      </c>
      <c r="B1505" s="47" t="inlineStr">
        <is>
          <t>이지 무한 10G+1</t>
        </is>
      </c>
      <c r="C1505" s="47" t="inlineStr">
        <is>
          <t>무제한</t>
        </is>
      </c>
      <c r="D1505" s="47" t="inlineStr">
        <is>
          <t>무제한</t>
        </is>
      </c>
      <c r="E1505" s="47" t="inlineStr">
        <is>
          <t>월 10GB + 1Mbps</t>
        </is>
      </c>
      <c r="F1505" s="47" t="inlineStr">
        <is>
          <t>LG U+</t>
        </is>
      </c>
      <c r="G1505" s="47" t="inlineStr">
        <is>
          <t>LTE</t>
        </is>
      </c>
      <c r="H1505" s="48" t="n">
        <v>12700</v>
      </c>
      <c r="I1505" s="48" t="n">
        <v>7</v>
      </c>
      <c r="J1505" s="48" t="n">
        <v>24200</v>
      </c>
      <c r="K1505" s="47">
        <f t="array" ref="K1505">_xlfn.XLOOKUP(1,(참조!$B$2:$B$15=E1505)*(참조!$D$2:$D$15=C1505)*(참조!$E$2:$E$15=D1505),참조!$C$2:$C$15,"")</f>
        <v/>
      </c>
    </row>
    <row r="1506" hidden="1" s="27">
      <c r="A1506" s="47" t="inlineStr">
        <is>
          <t>고고모바일</t>
        </is>
      </c>
      <c r="B1506" s="47" t="inlineStr">
        <is>
          <t>[모요only] 무제한 10GB+1M(올리브영 5000원)</t>
        </is>
      </c>
      <c r="C1506" s="47" t="inlineStr">
        <is>
          <t>무제한</t>
        </is>
      </c>
      <c r="D1506" s="47" t="inlineStr">
        <is>
          <t>무제한</t>
        </is>
      </c>
      <c r="E1506" s="47" t="inlineStr">
        <is>
          <t>월 10GB + 1Mbps</t>
        </is>
      </c>
      <c r="F1506" s="47" t="inlineStr">
        <is>
          <t>KT</t>
        </is>
      </c>
      <c r="G1506" s="47" t="inlineStr">
        <is>
          <t>LTE</t>
        </is>
      </c>
      <c r="H1506" s="48" t="n">
        <v>9000</v>
      </c>
      <c r="I1506" s="48" t="n">
        <v>7</v>
      </c>
      <c r="J1506" s="48" t="n">
        <v>27500</v>
      </c>
      <c r="K1506" s="47">
        <f t="array" ref="K1506">_xlfn.XLOOKUP(1,(참조!$B$2:$B$15=E1506)*(참조!$D$2:$D$15=C1506)*(참조!$E$2:$E$15=D1506),참조!$C$2:$C$15,"")</f>
        <v/>
      </c>
    </row>
    <row r="1507" hidden="1" s="27">
      <c r="A1507" s="47" t="inlineStr">
        <is>
          <t>스마텔</t>
        </is>
      </c>
      <c r="B1507" s="47" t="inlineStr">
        <is>
          <t>스위트 100GB+(왓챠 프리미엄)</t>
        </is>
      </c>
      <c r="C1507" s="47" t="inlineStr">
        <is>
          <t>무제한</t>
        </is>
      </c>
      <c r="D1507" s="47" t="inlineStr">
        <is>
          <t>무제한</t>
        </is>
      </c>
      <c r="E1507" s="47" t="inlineStr">
        <is>
          <t>월 100GB + 5Mbps</t>
        </is>
      </c>
      <c r="F1507" s="47" t="inlineStr">
        <is>
          <t>KT</t>
        </is>
      </c>
      <c r="G1507" s="47" t="inlineStr">
        <is>
          <t>LTE</t>
        </is>
      </c>
      <c r="H1507" s="48" t="n">
        <v>48400</v>
      </c>
      <c r="I1507" s="48" t="n">
        <v>36</v>
      </c>
      <c r="J1507" s="48" t="n">
        <v>53900</v>
      </c>
      <c r="K1507" s="47">
        <f t="array" ref="K1507">_xlfn.XLOOKUP(1,(참조!$B$2:$B$15=E1507)*(참조!$D$2:$D$15=C1507)*(참조!$E$2:$E$15=D1507),참조!$C$2:$C$15,"")</f>
        <v/>
      </c>
    </row>
    <row r="1508" hidden="1" s="27">
      <c r="A1508" s="47" t="inlineStr">
        <is>
          <t>모빙</t>
        </is>
      </c>
      <c r="B1508" s="47" t="inlineStr">
        <is>
          <t>[L] 100분15GB+</t>
        </is>
      </c>
      <c r="C1508" s="47" t="inlineStr">
        <is>
          <t>100분</t>
        </is>
      </c>
      <c r="D1508" s="47" t="inlineStr">
        <is>
          <t>100건</t>
        </is>
      </c>
      <c r="E1508" s="47" t="inlineStr">
        <is>
          <t>월 15GB + 3Mbps</t>
        </is>
      </c>
      <c r="F1508" s="47" t="inlineStr">
        <is>
          <t>LG U+</t>
        </is>
      </c>
      <c r="G1508" s="47" t="inlineStr">
        <is>
          <t>LTE</t>
        </is>
      </c>
      <c r="H1508" s="48" t="n">
        <v>14000</v>
      </c>
      <c r="I1508" s="48" t="n">
        <v>7</v>
      </c>
      <c r="J1508" s="48" t="n">
        <v>36300</v>
      </c>
      <c r="K1508" s="47">
        <f t="array" ref="K1508">_xlfn.XLOOKUP(1,(참조!$B$2:$B$15=E1508)*(참조!$D$2:$D$15=C1508)*(참조!$E$2:$E$15=D1508),참조!$C$2:$C$15,"")</f>
        <v/>
      </c>
    </row>
    <row r="1509" hidden="1" s="27">
      <c r="A1509" s="47" t="inlineStr">
        <is>
          <t>모빙</t>
        </is>
      </c>
      <c r="B1509" s="47" t="inlineStr">
        <is>
          <t>[K] 페이포인트 100GB+</t>
        </is>
      </c>
      <c r="C1509" s="47" t="inlineStr">
        <is>
          <t>무제한</t>
        </is>
      </c>
      <c r="D1509" s="47" t="inlineStr">
        <is>
          <t>무제한</t>
        </is>
      </c>
      <c r="E1509" s="47" t="inlineStr">
        <is>
          <t>월 100GB + 5Mbps</t>
        </is>
      </c>
      <c r="F1509" s="47" t="inlineStr">
        <is>
          <t>KT</t>
        </is>
      </c>
      <c r="G1509" s="47" t="inlineStr">
        <is>
          <t>LTE</t>
        </is>
      </c>
      <c r="H1509" s="48" t="n">
        <v>31460</v>
      </c>
      <c r="I1509" s="48" t="n">
        <v>24</v>
      </c>
      <c r="J1509" s="48" t="n">
        <v>57200</v>
      </c>
      <c r="K1509" s="47">
        <f t="array" ref="K1509">_xlfn.XLOOKUP(1,(참조!$B$2:$B$15=E1509)*(참조!$D$2:$D$15=C1509)*(참조!$E$2:$E$15=D1509),참조!$C$2:$C$15,"")</f>
        <v/>
      </c>
    </row>
    <row r="1510" hidden="1" s="27">
      <c r="A1510" s="47" t="inlineStr">
        <is>
          <t>이야기모바일</t>
        </is>
      </c>
      <c r="B1510" s="47" t="inlineStr">
        <is>
          <t>5G 함께이야기해S (200분+3GB)</t>
        </is>
      </c>
      <c r="C1510" s="47" t="inlineStr">
        <is>
          <t>200분</t>
        </is>
      </c>
      <c r="D1510" s="47" t="inlineStr">
        <is>
          <t>100건</t>
        </is>
      </c>
      <c r="E1510" s="47" t="inlineStr">
        <is>
          <t>월 3GB</t>
        </is>
      </c>
      <c r="F1510" s="47" t="inlineStr">
        <is>
          <t>SKT</t>
        </is>
      </c>
      <c r="G1510" s="47" t="inlineStr">
        <is>
          <t>5G</t>
        </is>
      </c>
      <c r="H1510" s="48" t="n">
        <v>6600</v>
      </c>
      <c r="I1510" s="48" t="n"/>
      <c r="J1510" s="48" t="n"/>
      <c r="K1510" s="47">
        <f t="array" ref="K1510">_xlfn.XLOOKUP(1,(참조!$B$2:$B$15=E1510)*(참조!$D$2:$D$15=C1510)*(참조!$E$2:$E$15=D1510),참조!$C$2:$C$15,"")</f>
        <v/>
      </c>
    </row>
    <row r="1511" hidden="1" s="27">
      <c r="A1511" s="47" t="inlineStr">
        <is>
          <t>고고모바일</t>
        </is>
      </c>
      <c r="B1511" s="47" t="inlineStr">
        <is>
          <t>고고200분/2GB-데이터소진후 자동차단</t>
        </is>
      </c>
      <c r="C1511" s="47" t="inlineStr">
        <is>
          <t>200분</t>
        </is>
      </c>
      <c r="D1511" s="47" t="inlineStr">
        <is>
          <t>200건</t>
        </is>
      </c>
      <c r="E1511" s="47" t="inlineStr">
        <is>
          <t>월 2GB</t>
        </is>
      </c>
      <c r="F1511" s="47" t="inlineStr">
        <is>
          <t>KT</t>
        </is>
      </c>
      <c r="G1511" s="47" t="inlineStr">
        <is>
          <t>LTE</t>
        </is>
      </c>
      <c r="H1511" s="48" t="n">
        <v>8800</v>
      </c>
      <c r="I1511" s="48" t="n"/>
      <c r="J1511" s="48" t="n"/>
      <c r="K1511" s="47">
        <f t="array" ref="K1511">_xlfn.XLOOKUP(1,(참조!$B$2:$B$15=E1511)*(참조!$D$2:$D$15=C1511)*(참조!$E$2:$E$15=D1511),참조!$C$2:$C$15,"")</f>
        <v/>
      </c>
    </row>
    <row r="1512" hidden="1" s="27">
      <c r="A1512" s="47" t="inlineStr">
        <is>
          <t>모빙</t>
        </is>
      </c>
      <c r="B1512" s="47" t="inlineStr">
        <is>
          <t>[K] 다이소 100GB+</t>
        </is>
      </c>
      <c r="C1512" s="47" t="inlineStr">
        <is>
          <t>무제한</t>
        </is>
      </c>
      <c r="D1512" s="47" t="inlineStr">
        <is>
          <t>무제한</t>
        </is>
      </c>
      <c r="E1512" s="47" t="inlineStr">
        <is>
          <t>월 100GB + 5Mbps</t>
        </is>
      </c>
      <c r="F1512" s="47" t="inlineStr">
        <is>
          <t>KT</t>
        </is>
      </c>
      <c r="G1512" s="47" t="inlineStr">
        <is>
          <t>LTE</t>
        </is>
      </c>
      <c r="H1512" s="48" t="n">
        <v>31460</v>
      </c>
      <c r="I1512" s="48" t="n">
        <v>24</v>
      </c>
      <c r="J1512" s="48" t="n">
        <v>60500</v>
      </c>
      <c r="K1512" s="47">
        <f t="array" ref="K1512">_xlfn.XLOOKUP(1,(참조!$B$2:$B$15=E1512)*(참조!$D$2:$D$15=C1512)*(참조!$E$2:$E$15=D1512),참조!$C$2:$C$15,"")</f>
        <v/>
      </c>
    </row>
    <row r="1513" hidden="1" s="27">
      <c r="A1513" s="47" t="inlineStr">
        <is>
          <t>모빙</t>
        </is>
      </c>
      <c r="B1513" s="47" t="inlineStr">
        <is>
          <t>[K] 모아진 11GB+</t>
        </is>
      </c>
      <c r="C1513" s="47" t="inlineStr">
        <is>
          <t>무제한</t>
        </is>
      </c>
      <c r="D1513" s="47" t="inlineStr">
        <is>
          <t>무제한</t>
        </is>
      </c>
      <c r="E1513" s="47" t="inlineStr">
        <is>
          <t>월 11GB + 매일 2GB + 3Mbps</t>
        </is>
      </c>
      <c r="F1513" s="47" t="inlineStr">
        <is>
          <t>KT</t>
        </is>
      </c>
      <c r="G1513" s="47" t="inlineStr">
        <is>
          <t>LTE</t>
        </is>
      </c>
      <c r="H1513" s="48" t="n">
        <v>15950</v>
      </c>
      <c r="I1513" s="48" t="n">
        <v>7</v>
      </c>
      <c r="J1513" s="48" t="n">
        <v>52800</v>
      </c>
      <c r="K1513" s="47">
        <f t="array" ref="K1513">_xlfn.XLOOKUP(1,(참조!$B$2:$B$15=E1513)*(참조!$D$2:$D$15=C1513)*(참조!$E$2:$E$15=D1513),참조!$C$2:$C$15,"")</f>
        <v/>
      </c>
    </row>
    <row r="1514" hidden="1" s="27">
      <c r="A1514" s="47" t="inlineStr">
        <is>
          <t>이야기모바일</t>
        </is>
      </c>
      <c r="B1514" s="47" t="inlineStr">
        <is>
          <t>이야기 베이직 2.5GB+</t>
        </is>
      </c>
      <c r="C1514" s="47" t="inlineStr">
        <is>
          <t>무제한</t>
        </is>
      </c>
      <c r="D1514" s="47" t="inlineStr">
        <is>
          <t>무제한</t>
        </is>
      </c>
      <c r="E1514" s="47" t="inlineStr">
        <is>
          <t>월 2.5GB + 400Kbps</t>
        </is>
      </c>
      <c r="F1514" s="47" t="inlineStr">
        <is>
          <t>LG U+</t>
        </is>
      </c>
      <c r="G1514" s="47" t="inlineStr">
        <is>
          <t>LTE</t>
        </is>
      </c>
      <c r="H1514" s="48" t="n">
        <v>26400</v>
      </c>
      <c r="I1514" s="48" t="n"/>
      <c r="J1514" s="48" t="n"/>
      <c r="K1514" s="47">
        <f t="array" ref="K1514">_xlfn.XLOOKUP(1,(참조!$B$2:$B$15=E1514)*(참조!$D$2:$D$15=C1514)*(참조!$E$2:$E$15=D1514),참조!$C$2:$C$15,"")</f>
        <v/>
      </c>
    </row>
    <row r="1515" hidden="1" s="27">
      <c r="A1515" s="47" t="inlineStr">
        <is>
          <t>모빙</t>
        </is>
      </c>
      <c r="B1515" s="47" t="inlineStr">
        <is>
          <t>쏙쏙 500분10GB</t>
        </is>
      </c>
      <c r="C1515" s="47" t="inlineStr">
        <is>
          <t>500분</t>
        </is>
      </c>
      <c r="D1515" s="47" t="inlineStr">
        <is>
          <t>500건</t>
        </is>
      </c>
      <c r="E1515" s="47" t="inlineStr">
        <is>
          <t>월 10GB</t>
        </is>
      </c>
      <c r="F1515" s="47" t="inlineStr">
        <is>
          <t>KT</t>
        </is>
      </c>
      <c r="G1515" s="47" t="inlineStr">
        <is>
          <t>LTE</t>
        </is>
      </c>
      <c r="H1515" s="48" t="n">
        <v>110</v>
      </c>
      <c r="I1515" s="48" t="n">
        <v>7</v>
      </c>
      <c r="J1515" s="48" t="n">
        <v>27500</v>
      </c>
      <c r="K1515" s="47">
        <f t="array" ref="K1515">_xlfn.XLOOKUP(1,(참조!$B$2:$B$15=E1515)*(참조!$D$2:$D$15=C1515)*(참조!$E$2:$E$15=D1515),참조!$C$2:$C$15,"")</f>
        <v/>
      </c>
    </row>
    <row r="1516" hidden="1" s="27">
      <c r="A1516" s="47" t="inlineStr">
        <is>
          <t>모빙</t>
        </is>
      </c>
      <c r="B1516" s="47" t="inlineStr">
        <is>
          <t>실속 250분10GB</t>
        </is>
      </c>
      <c r="C1516" s="47" t="inlineStr">
        <is>
          <t>250분</t>
        </is>
      </c>
      <c r="D1516" s="47" t="inlineStr">
        <is>
          <t>100건</t>
        </is>
      </c>
      <c r="E1516" s="47" t="inlineStr">
        <is>
          <t>월 10GB</t>
        </is>
      </c>
      <c r="F1516" s="47" t="inlineStr">
        <is>
          <t>LG U+</t>
        </is>
      </c>
      <c r="G1516" s="47" t="inlineStr">
        <is>
          <t>LTE</t>
        </is>
      </c>
      <c r="H1516" s="48" t="n">
        <v>6600</v>
      </c>
      <c r="I1516" s="48" t="n"/>
      <c r="J1516" s="48" t="n"/>
      <c r="K1516" s="47">
        <f t="array" ref="K1516">_xlfn.XLOOKUP(1,(참조!$B$2:$B$15=E1516)*(참조!$D$2:$D$15=C1516)*(참조!$E$2:$E$15=D1516),참조!$C$2:$C$15,"")</f>
        <v/>
      </c>
    </row>
    <row r="1517" hidden="1" s="27">
      <c r="A1517" s="47" t="inlineStr">
        <is>
          <t>모빙</t>
        </is>
      </c>
      <c r="B1517" s="47" t="inlineStr">
        <is>
          <t>[L] 300분9GB</t>
        </is>
      </c>
      <c r="C1517" s="47" t="inlineStr">
        <is>
          <t>300분</t>
        </is>
      </c>
      <c r="D1517" s="47" t="inlineStr">
        <is>
          <t>100건</t>
        </is>
      </c>
      <c r="E1517" s="47" t="inlineStr">
        <is>
          <t>월 9GB</t>
        </is>
      </c>
      <c r="F1517" s="47" t="inlineStr">
        <is>
          <t>LG U+</t>
        </is>
      </c>
      <c r="G1517" s="47" t="inlineStr">
        <is>
          <t>LTE</t>
        </is>
      </c>
      <c r="H1517" s="48" t="n">
        <v>6300</v>
      </c>
      <c r="I1517" s="48" t="n"/>
      <c r="J1517" s="48" t="n"/>
      <c r="K1517" s="47">
        <f t="array" ref="K1517">_xlfn.XLOOKUP(1,(참조!$B$2:$B$15=E1517)*(참조!$D$2:$D$15=C1517)*(참조!$E$2:$E$15=D1517),참조!$C$2:$C$15,"")</f>
        <v/>
      </c>
    </row>
    <row r="1518" hidden="1" s="27">
      <c r="A1518" s="47" t="inlineStr">
        <is>
          <t>이야기모바일</t>
        </is>
      </c>
      <c r="B1518" s="47" t="inlineStr">
        <is>
          <t>[모요only] 내맘대로 (300분+1GB)</t>
        </is>
      </c>
      <c r="C1518" s="47" t="inlineStr">
        <is>
          <t>300분</t>
        </is>
      </c>
      <c r="D1518" s="47" t="inlineStr">
        <is>
          <t>50건</t>
        </is>
      </c>
      <c r="E1518" s="47" t="inlineStr">
        <is>
          <t>월 1GB</t>
        </is>
      </c>
      <c r="F1518" s="47" t="inlineStr">
        <is>
          <t>LG U+</t>
        </is>
      </c>
      <c r="G1518" s="47" t="inlineStr">
        <is>
          <t>LTE</t>
        </is>
      </c>
      <c r="H1518" s="48" t="n">
        <v>6600</v>
      </c>
      <c r="I1518" s="48" t="n"/>
      <c r="J1518" s="48" t="n"/>
      <c r="K1518" s="47">
        <f t="array" ref="K1518">_xlfn.XLOOKUP(1,(참조!$B$2:$B$15=E1518)*(참조!$D$2:$D$15=C1518)*(참조!$E$2:$E$15=D1518),참조!$C$2:$C$15,"")</f>
        <v/>
      </c>
    </row>
    <row r="1519" hidden="1" s="27">
      <c r="A1519" s="47" t="inlineStr">
        <is>
          <t>찬스모바일</t>
        </is>
      </c>
      <c r="B1519" s="47" t="inlineStr">
        <is>
          <t>5G 음성기본 50GB+</t>
        </is>
      </c>
      <c r="C1519" s="47" t="inlineStr">
        <is>
          <t>무제한</t>
        </is>
      </c>
      <c r="D1519" s="47" t="inlineStr">
        <is>
          <t>무제한</t>
        </is>
      </c>
      <c r="E1519" s="47" t="inlineStr">
        <is>
          <t>월 50GB + 1Mbps</t>
        </is>
      </c>
      <c r="F1519" s="47" t="inlineStr">
        <is>
          <t>LG U+</t>
        </is>
      </c>
      <c r="G1519" s="47" t="inlineStr">
        <is>
          <t>5G</t>
        </is>
      </c>
      <c r="H1519" s="48" t="n">
        <v>23500</v>
      </c>
      <c r="I1519" s="48" t="n">
        <v>7</v>
      </c>
      <c r="J1519" s="48" t="n">
        <v>47300</v>
      </c>
      <c r="K1519" s="47">
        <f t="array" ref="K1519">_xlfn.XLOOKUP(1,(참조!$B$2:$B$15=E1519)*(참조!$D$2:$D$15=C1519)*(참조!$E$2:$E$15=D1519),참조!$C$2:$C$15,"")</f>
        <v/>
      </c>
    </row>
    <row r="1520" hidden="1" s="27">
      <c r="A1520" s="47" t="inlineStr">
        <is>
          <t>마블링</t>
        </is>
      </c>
      <c r="B1520" s="47" t="inlineStr">
        <is>
          <t>마블링 프라임(5G) 95GB+3Mbps</t>
        </is>
      </c>
      <c r="C1520" s="47" t="inlineStr">
        <is>
          <t>무제한</t>
        </is>
      </c>
      <c r="D1520" s="47" t="inlineStr">
        <is>
          <t>무제한</t>
        </is>
      </c>
      <c r="E1520" s="47" t="inlineStr">
        <is>
          <t>월 95GB + 3Mbps</t>
        </is>
      </c>
      <c r="F1520" s="47" t="inlineStr">
        <is>
          <t>LG U+</t>
        </is>
      </c>
      <c r="G1520" s="47" t="inlineStr">
        <is>
          <t>5G</t>
        </is>
      </c>
      <c r="H1520" s="48" t="n">
        <v>26900</v>
      </c>
      <c r="I1520" s="48" t="n">
        <v>7</v>
      </c>
      <c r="J1520" s="48" t="n">
        <v>44900</v>
      </c>
      <c r="K1520" s="47">
        <f t="array" ref="K1520">_xlfn.XLOOKUP(1,(참조!$B$2:$B$15=E1520)*(참조!$D$2:$D$15=C1520)*(참조!$E$2:$E$15=D1520),참조!$C$2:$C$15,"")</f>
        <v/>
      </c>
    </row>
    <row r="1521" hidden="1" s="27">
      <c r="A1521" s="47" t="inlineStr">
        <is>
          <t>스마텔</t>
        </is>
      </c>
      <c r="B1521" s="47" t="inlineStr">
        <is>
          <t>데이터충분히(10G+300분)</t>
        </is>
      </c>
      <c r="C1521" s="47" t="inlineStr">
        <is>
          <t>300분</t>
        </is>
      </c>
      <c r="D1521" s="47" t="inlineStr">
        <is>
          <t>100건</t>
        </is>
      </c>
      <c r="E1521" s="47" t="inlineStr">
        <is>
          <t>월 10GB</t>
        </is>
      </c>
      <c r="F1521" s="47" t="inlineStr">
        <is>
          <t>LG U+</t>
        </is>
      </c>
      <c r="G1521" s="47" t="inlineStr">
        <is>
          <t>LTE</t>
        </is>
      </c>
      <c r="H1521" s="48" t="n">
        <v>500</v>
      </c>
      <c r="I1521" s="48" t="n">
        <v>8</v>
      </c>
      <c r="J1521" s="48" t="n">
        <v>17600</v>
      </c>
      <c r="K1521" s="47">
        <f t="array" ref="K1521">_xlfn.XLOOKUP(1,(참조!$B$2:$B$15=E1521)*(참조!$D$2:$D$15=C1521)*(참조!$E$2:$E$15=D1521),참조!$C$2:$C$15,"")</f>
        <v/>
      </c>
    </row>
    <row r="1522" hidden="1" s="27">
      <c r="A1522" s="47" t="inlineStr">
        <is>
          <t>모빙</t>
        </is>
      </c>
      <c r="B1522" s="47" t="inlineStr">
        <is>
          <t>[K] 5G 200분20GB</t>
        </is>
      </c>
      <c r="C1522" s="47" t="inlineStr">
        <is>
          <t>200분</t>
        </is>
      </c>
      <c r="D1522" s="47" t="inlineStr">
        <is>
          <t>100건</t>
        </is>
      </c>
      <c r="E1522" s="47" t="inlineStr">
        <is>
          <t>월 20GB</t>
        </is>
      </c>
      <c r="F1522" s="47" t="inlineStr">
        <is>
          <t>KT</t>
        </is>
      </c>
      <c r="G1522" s="47" t="inlineStr">
        <is>
          <t>5G</t>
        </is>
      </c>
      <c r="H1522" s="48" t="n">
        <v>8800</v>
      </c>
      <c r="I1522" s="48" t="n">
        <v>7</v>
      </c>
      <c r="J1522" s="48" t="n">
        <v>41800</v>
      </c>
      <c r="K1522" s="47">
        <f t="array" ref="K1522">_xlfn.XLOOKUP(1,(참조!$B$2:$B$15=E1522)*(참조!$D$2:$D$15=C1522)*(참조!$E$2:$E$15=D1522),참조!$C$2:$C$15,"")</f>
        <v/>
      </c>
    </row>
    <row r="1523" hidden="1" s="27">
      <c r="A1523" s="47" t="inlineStr">
        <is>
          <t>아이즈모바일</t>
        </is>
      </c>
      <c r="B1523" s="47" t="inlineStr">
        <is>
          <t>[S]이디야 화이트 7GB+</t>
        </is>
      </c>
      <c r="C1523" s="47" t="inlineStr">
        <is>
          <t>무제한</t>
        </is>
      </c>
      <c r="D1523" s="47" t="inlineStr">
        <is>
          <t>무제한</t>
        </is>
      </c>
      <c r="E1523" s="47" t="inlineStr">
        <is>
          <t>월 7GB + 1Mbps</t>
        </is>
      </c>
      <c r="F1523" s="47" t="inlineStr">
        <is>
          <t>SKT</t>
        </is>
      </c>
      <c r="G1523" s="47" t="inlineStr">
        <is>
          <t>LTE</t>
        </is>
      </c>
      <c r="H1523" s="48" t="n">
        <v>3000</v>
      </c>
      <c r="I1523" s="48" t="n">
        <v>7</v>
      </c>
      <c r="J1523" s="48" t="n">
        <v>28600</v>
      </c>
      <c r="K1523" s="47">
        <f t="array" ref="K1523">_xlfn.XLOOKUP(1,(참조!$B$2:$B$15=E1523)*(참조!$D$2:$D$15=C1523)*(참조!$E$2:$E$15=D1523),참조!$C$2:$C$15,"")</f>
        <v/>
      </c>
    </row>
    <row r="1524" hidden="1" s="27">
      <c r="A1524" s="47" t="inlineStr">
        <is>
          <t>티플러스</t>
        </is>
      </c>
      <c r="B1524" s="47" t="inlineStr">
        <is>
          <t>KT 7GB+ (밀리의서재+올리브영 매월 5천원 상품권!)</t>
        </is>
      </c>
      <c r="C1524" s="47" t="inlineStr">
        <is>
          <t>무제한</t>
        </is>
      </c>
      <c r="D1524" s="47" t="inlineStr">
        <is>
          <t>무제한</t>
        </is>
      </c>
      <c r="E1524" s="47" t="inlineStr">
        <is>
          <t>월 7GB + 1Mbps</t>
        </is>
      </c>
      <c r="F1524" s="47" t="inlineStr">
        <is>
          <t>KT</t>
        </is>
      </c>
      <c r="G1524" s="47" t="inlineStr">
        <is>
          <t>LTE</t>
        </is>
      </c>
      <c r="H1524" s="48" t="n">
        <v>7900</v>
      </c>
      <c r="I1524" s="48" t="n">
        <v>7</v>
      </c>
      <c r="J1524" s="48" t="n">
        <v>30800</v>
      </c>
      <c r="K1524" s="47">
        <f t="array" ref="K1524">_xlfn.XLOOKUP(1,(참조!$B$2:$B$15=E1524)*(참조!$D$2:$D$15=C1524)*(참조!$E$2:$E$15=D1524),참조!$C$2:$C$15,"")</f>
        <v/>
      </c>
    </row>
    <row r="1525" hidden="1" s="27">
      <c r="A1525" s="47" t="inlineStr">
        <is>
          <t>이야기모바일</t>
        </is>
      </c>
      <c r="B1525" s="47" t="inlineStr">
        <is>
          <t>이야기 라이트S 100분 7GB+</t>
        </is>
      </c>
      <c r="C1525" s="47" t="inlineStr">
        <is>
          <t>100분</t>
        </is>
      </c>
      <c r="D1525" s="47" t="inlineStr">
        <is>
          <t>100건</t>
        </is>
      </c>
      <c r="E1525" s="47" t="inlineStr">
        <is>
          <t>월 7GB + 1Mbps</t>
        </is>
      </c>
      <c r="F1525" s="47" t="inlineStr">
        <is>
          <t>SKT</t>
        </is>
      </c>
      <c r="G1525" s="47" t="inlineStr">
        <is>
          <t>LTE</t>
        </is>
      </c>
      <c r="H1525" s="48" t="n">
        <v>19800</v>
      </c>
      <c r="I1525" s="48" t="n"/>
      <c r="J1525" s="48" t="n"/>
      <c r="K1525" s="47">
        <f t="array" ref="K1525">_xlfn.XLOOKUP(1,(참조!$B$2:$B$15=E1525)*(참조!$D$2:$D$15=C1525)*(참조!$E$2:$E$15=D1525),참조!$C$2:$C$15,"")</f>
        <v/>
      </c>
    </row>
    <row r="1526" hidden="1" s="27">
      <c r="A1526" s="47" t="inlineStr">
        <is>
          <t>시월모바일</t>
        </is>
      </c>
      <c r="B1526" s="47" t="inlineStr">
        <is>
          <t>시월 무제한 10GB+1Mbps</t>
        </is>
      </c>
      <c r="C1526" s="47" t="inlineStr">
        <is>
          <t>무제한</t>
        </is>
      </c>
      <c r="D1526" s="47" t="inlineStr">
        <is>
          <t>무제한</t>
        </is>
      </c>
      <c r="E1526" s="47" t="inlineStr">
        <is>
          <t>월 10GB + 1Mbps</t>
        </is>
      </c>
      <c r="F1526" s="47" t="inlineStr">
        <is>
          <t>LG U+</t>
        </is>
      </c>
      <c r="G1526" s="47" t="inlineStr">
        <is>
          <t>LTE</t>
        </is>
      </c>
      <c r="H1526" s="48" t="n">
        <v>7840</v>
      </c>
      <c r="I1526" s="48" t="n">
        <v>7</v>
      </c>
      <c r="J1526" s="48" t="n">
        <v>22140</v>
      </c>
      <c r="K1526" s="47">
        <f t="array" ref="K1526">_xlfn.XLOOKUP(1,(참조!$B$2:$B$15=E1526)*(참조!$D$2:$D$15=C1526)*(참조!$E$2:$E$15=D1526),참조!$C$2:$C$15,"")</f>
        <v/>
      </c>
    </row>
    <row r="1527" hidden="1" s="27">
      <c r="A1527" s="47" t="inlineStr">
        <is>
          <t>에이모바일</t>
        </is>
      </c>
      <c r="B1527" s="47" t="inlineStr">
        <is>
          <t>A 넥스트 10GB+</t>
        </is>
      </c>
      <c r="C1527" s="47" t="inlineStr">
        <is>
          <t>무제한</t>
        </is>
      </c>
      <c r="D1527" s="47" t="inlineStr">
        <is>
          <t>무제한</t>
        </is>
      </c>
      <c r="E1527" s="47" t="inlineStr">
        <is>
          <t>월 10GB + 1Mbps</t>
        </is>
      </c>
      <c r="F1527" s="47" t="inlineStr">
        <is>
          <t>SKT</t>
        </is>
      </c>
      <c r="G1527" s="47" t="inlineStr">
        <is>
          <t>LTE</t>
        </is>
      </c>
      <c r="H1527" s="48" t="n">
        <v>3000</v>
      </c>
      <c r="I1527" s="48" t="n">
        <v>7</v>
      </c>
      <c r="J1527" s="48" t="n">
        <v>20900</v>
      </c>
      <c r="K1527" s="47">
        <f t="array" ref="K1527">_xlfn.XLOOKUP(1,(참조!$B$2:$B$15=E1527)*(참조!$D$2:$D$15=C1527)*(참조!$E$2:$E$15=D1527),참조!$C$2:$C$15,"")</f>
        <v/>
      </c>
    </row>
    <row r="1528" hidden="1" s="27">
      <c r="A1528" s="47" t="inlineStr">
        <is>
          <t>스마텔</t>
        </is>
      </c>
      <c r="B1528" s="47" t="inlineStr">
        <is>
          <t>USIM스마트 심플(200분 + 1GB)</t>
        </is>
      </c>
      <c r="C1528" s="47" t="inlineStr">
        <is>
          <t>200분</t>
        </is>
      </c>
      <c r="D1528" s="47" t="inlineStr">
        <is>
          <t>100건</t>
        </is>
      </c>
      <c r="E1528" s="47" t="inlineStr">
        <is>
          <t>월 1GB</t>
        </is>
      </c>
      <c r="F1528" s="47" t="inlineStr">
        <is>
          <t>LG U+</t>
        </is>
      </c>
      <c r="G1528" s="47" t="inlineStr">
        <is>
          <t>LTE</t>
        </is>
      </c>
      <c r="H1528" s="48" t="n">
        <v>1900</v>
      </c>
      <c r="I1528" s="48" t="n">
        <v>6</v>
      </c>
      <c r="J1528" s="48" t="n">
        <v>5500</v>
      </c>
      <c r="K1528" s="47">
        <f t="array" ref="K1528">_xlfn.XLOOKUP(1,(참조!$B$2:$B$15=E1528)*(참조!$D$2:$D$15=C1528)*(참조!$E$2:$E$15=D1528),참조!$C$2:$C$15,"")</f>
        <v/>
      </c>
    </row>
    <row r="1529" hidden="1" s="27">
      <c r="A1529" s="47" t="inlineStr">
        <is>
          <t>스마텔</t>
        </is>
      </c>
      <c r="B1529" s="47" t="inlineStr">
        <is>
          <t>5G 스마트 150GB</t>
        </is>
      </c>
      <c r="C1529" s="47" t="inlineStr">
        <is>
          <t>무제한</t>
        </is>
      </c>
      <c r="D1529" s="47" t="inlineStr">
        <is>
          <t>무제한</t>
        </is>
      </c>
      <c r="E1529" s="47" t="inlineStr">
        <is>
          <t>월 150GB + 5Mbps</t>
        </is>
      </c>
      <c r="F1529" s="47" t="inlineStr">
        <is>
          <t>LG U+</t>
        </is>
      </c>
      <c r="G1529" s="47" t="inlineStr">
        <is>
          <t>5G</t>
        </is>
      </c>
      <c r="H1529" s="48" t="n">
        <v>49000</v>
      </c>
      <c r="I1529" s="48" t="n"/>
      <c r="J1529" s="48" t="n"/>
      <c r="K1529" s="47">
        <f t="array" ref="K1529">_xlfn.XLOOKUP(1,(참조!$B$2:$B$15=E1529)*(참조!$D$2:$D$15=C1529)*(참조!$E$2:$E$15=D1529),참조!$C$2:$C$15,"")</f>
        <v/>
      </c>
    </row>
    <row r="1530" hidden="1" s="27">
      <c r="A1530" s="47" t="inlineStr">
        <is>
          <t>시월모바일</t>
        </is>
      </c>
      <c r="B1530" s="47" t="inlineStr">
        <is>
          <t>시월5G 무제한 180GB+10Mbps</t>
        </is>
      </c>
      <c r="C1530" s="47" t="inlineStr">
        <is>
          <t>무제한</t>
        </is>
      </c>
      <c r="D1530" s="47" t="inlineStr">
        <is>
          <t>무제한</t>
        </is>
      </c>
      <c r="E1530" s="47" t="inlineStr">
        <is>
          <t>월 180GB + 10Mbps</t>
        </is>
      </c>
      <c r="F1530" s="47" t="inlineStr">
        <is>
          <t>LG U+</t>
        </is>
      </c>
      <c r="G1530" s="47" t="inlineStr">
        <is>
          <t>5G</t>
        </is>
      </c>
      <c r="H1530" s="48" t="n">
        <v>33790</v>
      </c>
      <c r="I1530" s="48" t="n">
        <v>7</v>
      </c>
      <c r="J1530" s="48" t="n">
        <v>79990</v>
      </c>
      <c r="K1530" s="47">
        <f t="array" ref="K1530">_xlfn.XLOOKUP(1,(참조!$B$2:$B$15=E1530)*(참조!$D$2:$D$15=C1530)*(참조!$E$2:$E$15=D1530),참조!$C$2:$C$15,"")</f>
        <v/>
      </c>
    </row>
    <row r="1531" hidden="1" s="27">
      <c r="A1531" s="47" t="inlineStr">
        <is>
          <t>스마텔</t>
        </is>
      </c>
      <c r="B1531" s="47" t="inlineStr">
        <is>
          <t>5G 심플(300분+5GB)</t>
        </is>
      </c>
      <c r="C1531" s="47" t="inlineStr">
        <is>
          <t>300분</t>
        </is>
      </c>
      <c r="D1531" s="47" t="inlineStr">
        <is>
          <t>100건</t>
        </is>
      </c>
      <c r="E1531" s="47" t="inlineStr">
        <is>
          <t>월 5GB</t>
        </is>
      </c>
      <c r="F1531" s="47" t="inlineStr">
        <is>
          <t>LG U+</t>
        </is>
      </c>
      <c r="G1531" s="47" t="inlineStr">
        <is>
          <t>5G</t>
        </is>
      </c>
      <c r="H1531" s="48" t="n">
        <v>2600</v>
      </c>
      <c r="I1531" s="48" t="n">
        <v>7</v>
      </c>
      <c r="J1531" s="48" t="n">
        <v>15400</v>
      </c>
      <c r="K1531" s="47">
        <f t="array" ref="K1531">_xlfn.XLOOKUP(1,(참조!$B$2:$B$15=E1531)*(참조!$D$2:$D$15=C1531)*(참조!$E$2:$E$15=D1531),참조!$C$2:$C$15,"")</f>
        <v/>
      </c>
    </row>
    <row r="1532" hidden="1" s="27">
      <c r="A1532" s="47" t="inlineStr">
        <is>
          <t>모빙</t>
        </is>
      </c>
      <c r="B1532" s="47" t="inlineStr">
        <is>
          <t>[L] 100분1GB+</t>
        </is>
      </c>
      <c r="C1532" s="47" t="inlineStr">
        <is>
          <t>100분</t>
        </is>
      </c>
      <c r="D1532" s="47" t="inlineStr">
        <is>
          <t>100건</t>
        </is>
      </c>
      <c r="E1532" s="47" t="inlineStr">
        <is>
          <t>월 1GB + 1Mbps</t>
        </is>
      </c>
      <c r="F1532" s="47" t="inlineStr">
        <is>
          <t>LG U+</t>
        </is>
      </c>
      <c r="G1532" s="47" t="inlineStr">
        <is>
          <t>LTE</t>
        </is>
      </c>
      <c r="H1532" s="48" t="n">
        <v>4400</v>
      </c>
      <c r="I1532" s="48" t="n"/>
      <c r="J1532" s="48" t="n"/>
      <c r="K1532" s="47">
        <f t="array" ref="K1532">_xlfn.XLOOKUP(1,(참조!$B$2:$B$15=E1532)*(참조!$D$2:$D$15=C1532)*(참조!$E$2:$E$15=D1532),참조!$C$2:$C$15,"")</f>
        <v/>
      </c>
    </row>
    <row r="1533">
      <c r="A1533" s="47" t="inlineStr">
        <is>
          <t>아이즈모바일</t>
        </is>
      </c>
      <c r="B1533" s="47" t="inlineStr">
        <is>
          <t>[S]이디야 블루 15GB+/300분</t>
        </is>
      </c>
      <c r="C1533" s="47" t="inlineStr">
        <is>
          <t>300분</t>
        </is>
      </c>
      <c r="D1533" s="47" t="inlineStr">
        <is>
          <t>300건</t>
        </is>
      </c>
      <c r="E1533" s="47" t="inlineStr">
        <is>
          <t>월 15GB + 3Mbps</t>
        </is>
      </c>
      <c r="F1533" s="47" t="inlineStr">
        <is>
          <t>SKT</t>
        </is>
      </c>
      <c r="G1533" s="47" t="inlineStr">
        <is>
          <t>LTE</t>
        </is>
      </c>
      <c r="H1533" s="48" t="n">
        <v>8900</v>
      </c>
      <c r="I1533" s="48" t="n">
        <v>7</v>
      </c>
      <c r="J1533" s="48" t="n">
        <v>41800</v>
      </c>
      <c r="K1533" s="47">
        <f t="array" ref="K1533">_xlfn.XLOOKUP(1,(참조!$B$2:$B$15=E1533)*(참조!$D$2:$D$15=C1533)*(참조!$E$2:$E$15=D1533),참조!$C$2:$C$15,"")</f>
        <v/>
      </c>
    </row>
    <row r="1534" hidden="1" s="27">
      <c r="A1534" s="47" t="inlineStr">
        <is>
          <t>에이모바일</t>
        </is>
      </c>
      <c r="B1534" s="47" t="inlineStr">
        <is>
          <t>A 스페셜 15GB+/100분</t>
        </is>
      </c>
      <c r="C1534" s="47" t="inlineStr">
        <is>
          <t>100분</t>
        </is>
      </c>
      <c r="D1534" s="47" t="inlineStr">
        <is>
          <t>100건</t>
        </is>
      </c>
      <c r="E1534" s="47" t="inlineStr">
        <is>
          <t>월 15GB + 3Mbps</t>
        </is>
      </c>
      <c r="F1534" s="47" t="inlineStr">
        <is>
          <t>LG U+</t>
        </is>
      </c>
      <c r="G1534" s="47" t="inlineStr">
        <is>
          <t>LTE</t>
        </is>
      </c>
      <c r="H1534" s="48" t="n">
        <v>9500</v>
      </c>
      <c r="I1534" s="48" t="n">
        <v>7</v>
      </c>
      <c r="J1534" s="48" t="n">
        <v>28600</v>
      </c>
      <c r="K1534" s="47">
        <f t="array" ref="K1534">_xlfn.XLOOKUP(1,(참조!$B$2:$B$15=E1534)*(참조!$D$2:$D$15=C1534)*(참조!$E$2:$E$15=D1534),참조!$C$2:$C$15,"")</f>
        <v/>
      </c>
    </row>
    <row r="1535" hidden="1" s="27">
      <c r="A1535" s="47" t="inlineStr">
        <is>
          <t>인스모바일</t>
        </is>
      </c>
      <c r="B1535" s="47" t="inlineStr">
        <is>
          <t>실속 150분+2GB(USIM)</t>
        </is>
      </c>
      <c r="C1535" s="47" t="inlineStr">
        <is>
          <t>150분</t>
        </is>
      </c>
      <c r="D1535" s="47" t="inlineStr">
        <is>
          <t>50건</t>
        </is>
      </c>
      <c r="E1535" s="47" t="inlineStr">
        <is>
          <t>월 2GB</t>
        </is>
      </c>
      <c r="F1535" s="47" t="inlineStr">
        <is>
          <t>LG U+</t>
        </is>
      </c>
      <c r="G1535" s="47" t="inlineStr">
        <is>
          <t>LTE</t>
        </is>
      </c>
      <c r="H1535" s="48" t="n">
        <v>1650</v>
      </c>
      <c r="I1535" s="48" t="n">
        <v>6</v>
      </c>
      <c r="J1535" s="48" t="n">
        <v>11000</v>
      </c>
      <c r="K1535" s="47">
        <f t="array" ref="K1535">_xlfn.XLOOKUP(1,(참조!$B$2:$B$15=E1535)*(참조!$D$2:$D$15=C1535)*(참조!$E$2:$E$15=D1535),참조!$C$2:$C$15,"")</f>
        <v/>
      </c>
    </row>
    <row r="1536" hidden="1" s="27">
      <c r="A1536" s="47" t="inlineStr">
        <is>
          <t>아이즈모바일</t>
        </is>
      </c>
      <c r="B1536" s="47" t="inlineStr">
        <is>
          <t>[K]CU&amp;롯시 15GB+</t>
        </is>
      </c>
      <c r="C1536" s="47" t="inlineStr">
        <is>
          <t>무제한</t>
        </is>
      </c>
      <c r="D1536" s="47" t="inlineStr">
        <is>
          <t>무제한</t>
        </is>
      </c>
      <c r="E1536" s="47" t="inlineStr">
        <is>
          <t>월 15GB + 1Mbps</t>
        </is>
      </c>
      <c r="F1536" s="47" t="inlineStr">
        <is>
          <t>KT</t>
        </is>
      </c>
      <c r="G1536" s="47" t="inlineStr">
        <is>
          <t>LTE</t>
        </is>
      </c>
      <c r="H1536" s="48" t="n">
        <v>8900</v>
      </c>
      <c r="I1536" s="48" t="n">
        <v>7</v>
      </c>
      <c r="J1536" s="48" t="n">
        <v>35200</v>
      </c>
      <c r="K1536" s="47">
        <f t="array" ref="K1536">_xlfn.XLOOKUP(1,(참조!$B$2:$B$15=E1536)*(참조!$D$2:$D$15=C1536)*(참조!$E$2:$E$15=D1536),참조!$C$2:$C$15,"")</f>
        <v/>
      </c>
    </row>
    <row r="1537" hidden="1" s="27">
      <c r="A1537" s="47" t="inlineStr">
        <is>
          <t>더원모바일</t>
        </is>
      </c>
      <c r="B1537" s="47" t="inlineStr">
        <is>
          <t>TOP 5G 200GB 기본 (웨이브 광고형)</t>
        </is>
      </c>
      <c r="C1537" s="47" t="inlineStr">
        <is>
          <t>무제한</t>
        </is>
      </c>
      <c r="D1537" s="47" t="inlineStr">
        <is>
          <t>무제한</t>
        </is>
      </c>
      <c r="E1537" s="47" t="inlineStr">
        <is>
          <t>월 200GB + 10Mbps</t>
        </is>
      </c>
      <c r="F1537" s="47" t="inlineStr">
        <is>
          <t>KT</t>
        </is>
      </c>
      <c r="G1537" s="47" t="inlineStr">
        <is>
          <t>5G</t>
        </is>
      </c>
      <c r="H1537" s="48" t="n">
        <v>24200</v>
      </c>
      <c r="I1537" s="48" t="n">
        <v>7</v>
      </c>
      <c r="J1537" s="48" t="n">
        <v>55000</v>
      </c>
      <c r="K1537" s="47">
        <f t="array" ref="K1537">_xlfn.XLOOKUP(1,(참조!$B$2:$B$15=E1537)*(참조!$D$2:$D$15=C1537)*(참조!$E$2:$E$15=D1537),참조!$C$2:$C$15,"")</f>
        <v/>
      </c>
    </row>
    <row r="1538" hidden="1" s="27">
      <c r="A1538" s="47" t="inlineStr">
        <is>
          <t>스마텔</t>
        </is>
      </c>
      <c r="B1538" s="47" t="inlineStr">
        <is>
          <t>USIM 심플 (100분 + 3GB)</t>
        </is>
      </c>
      <c r="C1538" s="47" t="inlineStr">
        <is>
          <t>100분</t>
        </is>
      </c>
      <c r="D1538" s="47" t="inlineStr">
        <is>
          <t>100건</t>
        </is>
      </c>
      <c r="E1538" s="47" t="inlineStr">
        <is>
          <t>월 3GB</t>
        </is>
      </c>
      <c r="F1538" s="47" t="inlineStr">
        <is>
          <t>LG U+</t>
        </is>
      </c>
      <c r="G1538" s="47" t="inlineStr">
        <is>
          <t>LTE</t>
        </is>
      </c>
      <c r="H1538" s="48" t="n">
        <v>1900</v>
      </c>
      <c r="I1538" s="48" t="n">
        <v>6</v>
      </c>
      <c r="J1538" s="48" t="n">
        <v>5500</v>
      </c>
      <c r="K1538" s="47">
        <f t="array" ref="K1538">_xlfn.XLOOKUP(1,(참조!$B$2:$B$15=E1538)*(참조!$D$2:$D$15=C1538)*(참조!$E$2:$E$15=D1538),참조!$C$2:$C$15,"")</f>
        <v/>
      </c>
    </row>
    <row r="1539" hidden="1" s="27">
      <c r="A1539" s="47" t="inlineStr">
        <is>
          <t>스마텔</t>
        </is>
      </c>
      <c r="B1539" s="47" t="inlineStr">
        <is>
          <t>USIM 심플 (100분+2.2GB)</t>
        </is>
      </c>
      <c r="C1539" s="47" t="inlineStr">
        <is>
          <t>100분</t>
        </is>
      </c>
      <c r="D1539" s="47" t="inlineStr">
        <is>
          <t>100건</t>
        </is>
      </c>
      <c r="E1539" s="47" t="inlineStr">
        <is>
          <t>월 2.2GB</t>
        </is>
      </c>
      <c r="F1539" s="47" t="inlineStr">
        <is>
          <t>LG U+</t>
        </is>
      </c>
      <c r="G1539" s="47" t="inlineStr">
        <is>
          <t>LTE</t>
        </is>
      </c>
      <c r="H1539" s="48" t="n">
        <v>1900</v>
      </c>
      <c r="I1539" s="48" t="n">
        <v>6</v>
      </c>
      <c r="J1539" s="48" t="n">
        <v>4400</v>
      </c>
      <c r="K1539" s="47">
        <f t="array" ref="K1539">_xlfn.XLOOKUP(1,(참조!$B$2:$B$15=E1539)*(참조!$D$2:$D$15=C1539)*(참조!$E$2:$E$15=D1539),참조!$C$2:$C$15,"")</f>
        <v/>
      </c>
    </row>
    <row r="1540" hidden="1" s="27">
      <c r="A1540" s="47" t="inlineStr">
        <is>
          <t>스마텔</t>
        </is>
      </c>
      <c r="B1540" s="47" t="inlineStr">
        <is>
          <t>USIM 심플 (500분 + 2GB)</t>
        </is>
      </c>
      <c r="C1540" s="47" t="inlineStr">
        <is>
          <t>500분</t>
        </is>
      </c>
      <c r="D1540" s="47" t="inlineStr">
        <is>
          <t>100건</t>
        </is>
      </c>
      <c r="E1540" s="47" t="inlineStr">
        <is>
          <t>월 2GB</t>
        </is>
      </c>
      <c r="F1540" s="47" t="inlineStr">
        <is>
          <t>LG U+</t>
        </is>
      </c>
      <c r="G1540" s="47" t="inlineStr">
        <is>
          <t>LTE</t>
        </is>
      </c>
      <c r="H1540" s="48" t="n">
        <v>1900</v>
      </c>
      <c r="I1540" s="48" t="n">
        <v>6</v>
      </c>
      <c r="J1540" s="48" t="n">
        <v>7700</v>
      </c>
      <c r="K1540" s="47">
        <f t="array" ref="K1540">_xlfn.XLOOKUP(1,(참조!$B$2:$B$15=E1540)*(참조!$D$2:$D$15=C1540)*(참조!$E$2:$E$15=D1540),참조!$C$2:$C$15,"")</f>
        <v/>
      </c>
    </row>
    <row r="1541" hidden="1" s="27">
      <c r="A1541" s="47" t="inlineStr">
        <is>
          <t>스마텔</t>
        </is>
      </c>
      <c r="B1541" s="47" t="inlineStr">
        <is>
          <t>USIM 심플 (50분 + 1.8GB)</t>
        </is>
      </c>
      <c r="C1541" s="47" t="inlineStr">
        <is>
          <t>50분</t>
        </is>
      </c>
      <c r="D1541" s="47" t="inlineStr">
        <is>
          <t>50건</t>
        </is>
      </c>
      <c r="E1541" s="47" t="inlineStr">
        <is>
          <t>월 1.8GB</t>
        </is>
      </c>
      <c r="F1541" s="47" t="inlineStr">
        <is>
          <t>LG U+</t>
        </is>
      </c>
      <c r="G1541" s="47" t="inlineStr">
        <is>
          <t>LTE</t>
        </is>
      </c>
      <c r="H1541" s="48" t="n">
        <v>1900</v>
      </c>
      <c r="I1541" s="48" t="n">
        <v>6</v>
      </c>
      <c r="J1541" s="48" t="n">
        <v>3300</v>
      </c>
      <c r="K1541" s="47">
        <f t="array" ref="K1541">_xlfn.XLOOKUP(1,(참조!$B$2:$B$15=E1541)*(참조!$D$2:$D$15=C1541)*(참조!$E$2:$E$15=D1541),참조!$C$2:$C$15,"")</f>
        <v/>
      </c>
    </row>
    <row r="1542" hidden="1" s="27">
      <c r="A1542" s="47" t="inlineStr">
        <is>
          <t>스마텔</t>
        </is>
      </c>
      <c r="B1542" s="47" t="inlineStr">
        <is>
          <t>USIM 심플 (200분 + 1.5GB)</t>
        </is>
      </c>
      <c r="C1542" s="47" t="inlineStr">
        <is>
          <t>200분</t>
        </is>
      </c>
      <c r="D1542" s="47" t="inlineStr">
        <is>
          <t>100건</t>
        </is>
      </c>
      <c r="E1542" s="47" t="inlineStr">
        <is>
          <t>월 1.5GB</t>
        </is>
      </c>
      <c r="F1542" s="47" t="inlineStr">
        <is>
          <t>LG U+</t>
        </is>
      </c>
      <c r="G1542" s="47" t="inlineStr">
        <is>
          <t>LTE</t>
        </is>
      </c>
      <c r="H1542" s="48" t="n">
        <v>1900</v>
      </c>
      <c r="I1542" s="48" t="n">
        <v>6</v>
      </c>
      <c r="J1542" s="48" t="n">
        <v>4400</v>
      </c>
      <c r="K1542" s="47">
        <f t="array" ref="K1542">_xlfn.XLOOKUP(1,(참조!$B$2:$B$15=E1542)*(참조!$D$2:$D$15=C1542)*(참조!$E$2:$E$15=D1542),참조!$C$2:$C$15,"")</f>
        <v/>
      </c>
    </row>
    <row r="1543" hidden="1" s="27">
      <c r="A1543" s="47" t="inlineStr">
        <is>
          <t>스마텔</t>
        </is>
      </c>
      <c r="B1543" s="47" t="inlineStr">
        <is>
          <t>USIM스마트 심플(100분+1.5GB)</t>
        </is>
      </c>
      <c r="C1543" s="47" t="inlineStr">
        <is>
          <t>100분</t>
        </is>
      </c>
      <c r="D1543" s="47" t="inlineStr">
        <is>
          <t>100건</t>
        </is>
      </c>
      <c r="E1543" s="47" t="inlineStr">
        <is>
          <t>월 1.5GB</t>
        </is>
      </c>
      <c r="F1543" s="47" t="inlineStr">
        <is>
          <t>LG U+</t>
        </is>
      </c>
      <c r="G1543" s="47" t="inlineStr">
        <is>
          <t>LTE</t>
        </is>
      </c>
      <c r="H1543" s="48" t="n">
        <v>1900</v>
      </c>
      <c r="I1543" s="48" t="n">
        <v>6</v>
      </c>
      <c r="J1543" s="48" t="n">
        <v>5500</v>
      </c>
      <c r="K1543" s="47">
        <f t="array" ref="K1543">_xlfn.XLOOKUP(1,(참조!$B$2:$B$15=E1543)*(참조!$D$2:$D$15=C1543)*(참조!$E$2:$E$15=D1543),참조!$C$2:$C$15,"")</f>
        <v/>
      </c>
    </row>
    <row r="1544" hidden="1" s="27">
      <c r="A1544" s="47" t="inlineStr">
        <is>
          <t>리브모바일</t>
        </is>
      </c>
      <c r="B1544" s="47" t="inlineStr">
        <is>
          <t>LTE 무제한 7GB+</t>
        </is>
      </c>
      <c r="C1544" s="47" t="inlineStr">
        <is>
          <t>무제한</t>
        </is>
      </c>
      <c r="D1544" s="47" t="inlineStr">
        <is>
          <t>무제한</t>
        </is>
      </c>
      <c r="E1544" s="47" t="inlineStr">
        <is>
          <t>월 7GB + 1Mbps</t>
        </is>
      </c>
      <c r="F1544" s="47" t="inlineStr">
        <is>
          <t>KT</t>
        </is>
      </c>
      <c r="G1544" s="47" t="inlineStr">
        <is>
          <t>LTE</t>
        </is>
      </c>
      <c r="H1544" s="48" t="n">
        <v>15100</v>
      </c>
      <c r="I1544" s="48" t="n">
        <v>12</v>
      </c>
      <c r="J1544" s="48" t="n">
        <v>19500</v>
      </c>
      <c r="K1544" s="47">
        <f t="array" ref="K1544">_xlfn.XLOOKUP(1,(참조!$B$2:$B$15=E1544)*(참조!$D$2:$D$15=C1544)*(참조!$E$2:$E$15=D1544),참조!$C$2:$C$15,"")</f>
        <v/>
      </c>
    </row>
    <row r="1545" hidden="1" s="27">
      <c r="A1545" s="47" t="inlineStr">
        <is>
          <t>스마텔</t>
        </is>
      </c>
      <c r="B1545" s="47" t="inlineStr">
        <is>
          <t>5G 음성무제한 5GB</t>
        </is>
      </c>
      <c r="C1545" s="47" t="inlineStr">
        <is>
          <t>무제한</t>
        </is>
      </c>
      <c r="D1545" s="47" t="inlineStr">
        <is>
          <t>200건</t>
        </is>
      </c>
      <c r="E1545" s="47" t="inlineStr">
        <is>
          <t>월 5GB</t>
        </is>
      </c>
      <c r="F1545" s="47" t="inlineStr">
        <is>
          <t>SKT</t>
        </is>
      </c>
      <c r="G1545" s="47" t="inlineStr">
        <is>
          <t>5G</t>
        </is>
      </c>
      <c r="H1545" s="48" t="n">
        <v>5800</v>
      </c>
      <c r="I1545" s="48" t="n"/>
      <c r="J1545" s="48" t="n"/>
      <c r="K1545" s="47">
        <f t="array" ref="K1545">_xlfn.XLOOKUP(1,(참조!$B$2:$B$15=E1545)*(참조!$D$2:$D$15=C1545)*(참조!$E$2:$E$15=D1545),참조!$C$2:$C$15,"")</f>
        <v/>
      </c>
    </row>
    <row r="1546" hidden="1" s="27">
      <c r="A1546" s="47" t="inlineStr">
        <is>
          <t>이야기모바일</t>
        </is>
      </c>
      <c r="B1546" s="47" t="inlineStr">
        <is>
          <t>이야기 쇼핑케어 1GB+</t>
        </is>
      </c>
      <c r="C1546" s="47" t="inlineStr">
        <is>
          <t>무제한</t>
        </is>
      </c>
      <c r="D1546" s="47" t="inlineStr">
        <is>
          <t>무제한</t>
        </is>
      </c>
      <c r="E1546" s="47" t="inlineStr">
        <is>
          <t>월 1GB + 1Mbps</t>
        </is>
      </c>
      <c r="F1546" s="47" t="inlineStr">
        <is>
          <t>LG U+</t>
        </is>
      </c>
      <c r="G1546" s="47" t="inlineStr">
        <is>
          <t>LTE</t>
        </is>
      </c>
      <c r="H1546" s="48" t="n">
        <v>11000</v>
      </c>
      <c r="I1546" s="48" t="n">
        <v>6</v>
      </c>
      <c r="J1546" s="48" t="n">
        <v>14300</v>
      </c>
      <c r="K1546" s="47">
        <f t="array" ref="K1546">_xlfn.XLOOKUP(1,(참조!$B$2:$B$15=E1546)*(참조!$D$2:$D$15=C1546)*(참조!$E$2:$E$15=D1546),참조!$C$2:$C$15,"")</f>
        <v/>
      </c>
    </row>
    <row r="1547" hidden="1" s="27">
      <c r="A1547" s="47" t="inlineStr">
        <is>
          <t>리브모바일</t>
        </is>
      </c>
      <c r="B1547" s="47" t="inlineStr">
        <is>
          <t>보이스피싱예방LTE15GB+(300분/300건)</t>
        </is>
      </c>
      <c r="C1547" s="47" t="inlineStr">
        <is>
          <t>300분</t>
        </is>
      </c>
      <c r="D1547" s="47" t="inlineStr">
        <is>
          <t>300건</t>
        </is>
      </c>
      <c r="E1547" s="47" t="inlineStr">
        <is>
          <t>월 15GB + 3Mbps</t>
        </is>
      </c>
      <c r="F1547" s="47" t="inlineStr">
        <is>
          <t>LG U+</t>
        </is>
      </c>
      <c r="G1547" s="47" t="inlineStr">
        <is>
          <t>LTE</t>
        </is>
      </c>
      <c r="H1547" s="48" t="n">
        <v>22200</v>
      </c>
      <c r="I1547" s="48" t="n">
        <v>12</v>
      </c>
      <c r="J1547" s="48" t="n">
        <v>28900</v>
      </c>
      <c r="K1547" s="47">
        <f t="array" ref="K1547">_xlfn.XLOOKUP(1,(참조!$B$2:$B$15=E1547)*(참조!$D$2:$D$15=C1547)*(참조!$E$2:$E$15=D1547),참조!$C$2:$C$15,"")</f>
        <v/>
      </c>
    </row>
    <row r="1548" hidden="1" s="27">
      <c r="A1548" s="47" t="inlineStr">
        <is>
          <t>더원모바일</t>
        </is>
      </c>
      <c r="B1548" s="47" t="inlineStr">
        <is>
          <t>ONE 5G 30GB 기본</t>
        </is>
      </c>
      <c r="C1548" s="47" t="inlineStr">
        <is>
          <t>무제한</t>
        </is>
      </c>
      <c r="D1548" s="47" t="inlineStr">
        <is>
          <t>무제한</t>
        </is>
      </c>
      <c r="E1548" s="47" t="inlineStr">
        <is>
          <t>월 30GB</t>
        </is>
      </c>
      <c r="F1548" s="47" t="inlineStr">
        <is>
          <t>KT</t>
        </is>
      </c>
      <c r="G1548" s="47" t="inlineStr">
        <is>
          <t>5G</t>
        </is>
      </c>
      <c r="H1548" s="48" t="n">
        <v>1100</v>
      </c>
      <c r="I1548" s="48" t="n">
        <v>8</v>
      </c>
      <c r="J1548" s="48" t="n">
        <v>39600</v>
      </c>
      <c r="K1548" s="47">
        <f t="array" ref="K1548">_xlfn.XLOOKUP(1,(참조!$B$2:$B$15=E1548)*(참조!$D$2:$D$15=C1548)*(참조!$E$2:$E$15=D1548),참조!$C$2:$C$15,"")</f>
        <v/>
      </c>
    </row>
    <row r="1549" hidden="1" s="27">
      <c r="A1549" s="47" t="inlineStr">
        <is>
          <t>이야기모바일</t>
        </is>
      </c>
      <c r="B1549" s="47" t="inlineStr">
        <is>
          <t>이야기 라이프케어 1GB+</t>
        </is>
      </c>
      <c r="C1549" s="47" t="inlineStr">
        <is>
          <t>무제한</t>
        </is>
      </c>
      <c r="D1549" s="47" t="inlineStr">
        <is>
          <t>무제한</t>
        </is>
      </c>
      <c r="E1549" s="47" t="inlineStr">
        <is>
          <t>월 1GB + 1Mbps</t>
        </is>
      </c>
      <c r="F1549" s="47" t="inlineStr">
        <is>
          <t>LG U+</t>
        </is>
      </c>
      <c r="G1549" s="47" t="inlineStr">
        <is>
          <t>LTE</t>
        </is>
      </c>
      <c r="H1549" s="48" t="n">
        <v>11000</v>
      </c>
      <c r="I1549" s="48" t="n">
        <v>6</v>
      </c>
      <c r="J1549" s="48" t="n">
        <v>14300</v>
      </c>
      <c r="K1549" s="47">
        <f t="array" ref="K1549">_xlfn.XLOOKUP(1,(참조!$B$2:$B$15=E1549)*(참조!$D$2:$D$15=C1549)*(참조!$E$2:$E$15=D1549),참조!$C$2:$C$15,"")</f>
        <v/>
      </c>
    </row>
    <row r="1550" hidden="1" s="27">
      <c r="A1550" s="47" t="inlineStr">
        <is>
          <t>에이모바일</t>
        </is>
      </c>
      <c r="B1550" s="47" t="inlineStr">
        <is>
          <t>A 갓성비 유독 5GB+ 7</t>
        </is>
      </c>
      <c r="C1550" s="47" t="inlineStr">
        <is>
          <t>100분</t>
        </is>
      </c>
      <c r="D1550" s="47" t="inlineStr">
        <is>
          <t>100건</t>
        </is>
      </c>
      <c r="E1550" s="47" t="inlineStr">
        <is>
          <t>월 5GB + 1Mbps</t>
        </is>
      </c>
      <c r="F1550" s="47" t="inlineStr">
        <is>
          <t>LG U+</t>
        </is>
      </c>
      <c r="G1550" s="47" t="inlineStr">
        <is>
          <t>LTE</t>
        </is>
      </c>
      <c r="H1550" s="48" t="n">
        <v>330</v>
      </c>
      <c r="I1550" s="48" t="n">
        <v>7</v>
      </c>
      <c r="J1550" s="48" t="n">
        <v>11000</v>
      </c>
      <c r="K1550" s="47">
        <f t="array" ref="K1550">_xlfn.XLOOKUP(1,(참조!$B$2:$B$15=E1550)*(참조!$D$2:$D$15=C1550)*(참조!$E$2:$E$15=D1550),참조!$C$2:$C$15,"")</f>
        <v/>
      </c>
    </row>
    <row r="1551" hidden="1" s="27">
      <c r="A1551" s="47" t="inlineStr">
        <is>
          <t>모빙</t>
        </is>
      </c>
      <c r="B1551" s="47" t="inlineStr">
        <is>
          <t>실속 100분5GB+</t>
        </is>
      </c>
      <c r="C1551" s="47" t="inlineStr">
        <is>
          <t>100분</t>
        </is>
      </c>
      <c r="D1551" s="47" t="inlineStr">
        <is>
          <t>100건</t>
        </is>
      </c>
      <c r="E1551" s="47" t="inlineStr">
        <is>
          <t>월 5GB + 1Mbps</t>
        </is>
      </c>
      <c r="F1551" s="47" t="inlineStr">
        <is>
          <t>LG U+</t>
        </is>
      </c>
      <c r="G1551" s="47" t="inlineStr">
        <is>
          <t>LTE</t>
        </is>
      </c>
      <c r="H1551" s="48" t="n">
        <v>4400</v>
      </c>
      <c r="I1551" s="48" t="n">
        <v>24</v>
      </c>
      <c r="J1551" s="48" t="n">
        <v>14000</v>
      </c>
      <c r="K1551" s="47">
        <f t="array" ref="K1551">_xlfn.XLOOKUP(1,(참조!$B$2:$B$15=E1551)*(참조!$D$2:$D$15=C1551)*(참조!$E$2:$E$15=D1551),참조!$C$2:$C$15,"")</f>
        <v/>
      </c>
    </row>
    <row r="1552" hidden="1" s="27">
      <c r="A1552" s="47" t="inlineStr">
        <is>
          <t>아이즈모바일</t>
        </is>
      </c>
      <c r="B1552" s="47" t="inlineStr">
        <is>
          <t>[L]아이즈팩 7GB+</t>
        </is>
      </c>
      <c r="C1552" s="47" t="inlineStr">
        <is>
          <t>무제한</t>
        </is>
      </c>
      <c r="D1552" s="47" t="inlineStr">
        <is>
          <t>무제한</t>
        </is>
      </c>
      <c r="E1552" s="47" t="inlineStr">
        <is>
          <t>월 7GB + 1Mbps</t>
        </is>
      </c>
      <c r="F1552" s="47" t="inlineStr">
        <is>
          <t>LG U+</t>
        </is>
      </c>
      <c r="G1552" s="47" t="inlineStr">
        <is>
          <t>LTE</t>
        </is>
      </c>
      <c r="H1552" s="48" t="n">
        <v>9900</v>
      </c>
      <c r="I1552" s="48" t="n">
        <v>24</v>
      </c>
      <c r="J1552" s="48" t="n">
        <v>24200</v>
      </c>
      <c r="K1552" s="47">
        <f t="array" ref="K1552">_xlfn.XLOOKUP(1,(참조!$B$2:$B$15=E1552)*(참조!$D$2:$D$15=C1552)*(참조!$E$2:$E$15=D1552),참조!$C$2:$C$15,"")</f>
        <v/>
      </c>
    </row>
    <row r="1553" hidden="1" s="27">
      <c r="A1553" s="47" t="inlineStr">
        <is>
          <t>티플러스</t>
        </is>
      </c>
      <c r="B1553" s="47" t="inlineStr">
        <is>
          <t>티플포유(3G/500분)</t>
        </is>
      </c>
      <c r="C1553" s="47" t="inlineStr">
        <is>
          <t>500분</t>
        </is>
      </c>
      <c r="D1553" s="47" t="inlineStr">
        <is>
          <t>100건</t>
        </is>
      </c>
      <c r="E1553" s="47" t="inlineStr">
        <is>
          <t>월 3GB</t>
        </is>
      </c>
      <c r="F1553" s="47" t="inlineStr">
        <is>
          <t>LG U+</t>
        </is>
      </c>
      <c r="G1553" s="47" t="inlineStr">
        <is>
          <t>LTE</t>
        </is>
      </c>
      <c r="H1553" s="48" t="n">
        <v>1900</v>
      </c>
      <c r="I1553" s="48" t="n">
        <v>6</v>
      </c>
      <c r="J1553" s="48" t="n">
        <v>7700</v>
      </c>
      <c r="K1553" s="47">
        <f t="array" ref="K1553">_xlfn.XLOOKUP(1,(참조!$B$2:$B$15=E1553)*(참조!$D$2:$D$15=C1553)*(참조!$E$2:$E$15=D1553),참조!$C$2:$C$15,"")</f>
        <v/>
      </c>
    </row>
    <row r="1554" hidden="1" s="27">
      <c r="A1554" s="47" t="inlineStr">
        <is>
          <t>스마텔</t>
        </is>
      </c>
      <c r="B1554" s="47" t="inlineStr">
        <is>
          <t>스위트 11GB+(왓챠 프리미엄)</t>
        </is>
      </c>
      <c r="C1554" s="47" t="inlineStr">
        <is>
          <t>무제한</t>
        </is>
      </c>
      <c r="D1554" s="47" t="inlineStr">
        <is>
          <t>무제한</t>
        </is>
      </c>
      <c r="E1554" s="47" t="inlineStr">
        <is>
          <t>월 11GB + 매일 2GB + 3Mbps</t>
        </is>
      </c>
      <c r="F1554" s="47" t="inlineStr">
        <is>
          <t>KT</t>
        </is>
      </c>
      <c r="G1554" s="47" t="inlineStr">
        <is>
          <t>LTE</t>
        </is>
      </c>
      <c r="H1554" s="48" t="n">
        <v>42900</v>
      </c>
      <c r="I1554" s="48" t="n">
        <v>36</v>
      </c>
      <c r="J1554" s="48" t="n">
        <v>48400</v>
      </c>
      <c r="K1554" s="47">
        <f t="array" ref="K1554">_xlfn.XLOOKUP(1,(참조!$B$2:$B$15=E1554)*(참조!$D$2:$D$15=C1554)*(참조!$E$2:$E$15=D1554),참조!$C$2:$C$15,"")</f>
        <v/>
      </c>
    </row>
    <row r="1555" hidden="1" s="27">
      <c r="A1555" s="47" t="inlineStr">
        <is>
          <t>티플러스</t>
        </is>
      </c>
      <c r="B1555" s="47" t="inlineStr">
        <is>
          <t>티플온 10G＋</t>
        </is>
      </c>
      <c r="C1555" s="47" t="inlineStr">
        <is>
          <t>9,996분</t>
        </is>
      </c>
      <c r="D1555" s="47" t="inlineStr">
        <is>
          <t>무제한</t>
        </is>
      </c>
      <c r="E1555" s="47" t="inlineStr">
        <is>
          <t>월 10GB + 1Mbps</t>
        </is>
      </c>
      <c r="F1555" s="47" t="inlineStr">
        <is>
          <t>LG U+</t>
        </is>
      </c>
      <c r="G1555" s="47" t="inlineStr">
        <is>
          <t>LTE</t>
        </is>
      </c>
      <c r="H1555" s="48" t="n">
        <v>5900</v>
      </c>
      <c r="I1555" s="48" t="n">
        <v>7</v>
      </c>
      <c r="J1555" s="48" t="n">
        <v>33000</v>
      </c>
      <c r="K1555" s="47">
        <f t="array" ref="K1555">_xlfn.XLOOKUP(1,(참조!$B$2:$B$15=E1555)*(참조!$D$2:$D$15=C1555)*(참조!$E$2:$E$15=D1555),참조!$C$2:$C$15,"")</f>
        <v/>
      </c>
    </row>
    <row r="1556" hidden="1" s="27">
      <c r="A1556" s="47" t="inlineStr">
        <is>
          <t>에이모바일</t>
        </is>
      </c>
      <c r="B1556" s="47" t="inlineStr">
        <is>
          <t>A 갓성비 1GB/100분</t>
        </is>
      </c>
      <c r="C1556" s="47" t="inlineStr">
        <is>
          <t>100분</t>
        </is>
      </c>
      <c r="D1556" s="47" t="inlineStr">
        <is>
          <t>50건</t>
        </is>
      </c>
      <c r="E1556" s="47" t="inlineStr">
        <is>
          <t>월 1GB</t>
        </is>
      </c>
      <c r="F1556" s="47" t="inlineStr">
        <is>
          <t>LG U+</t>
        </is>
      </c>
      <c r="G1556" s="47" t="inlineStr">
        <is>
          <t>LTE</t>
        </is>
      </c>
      <c r="H1556" s="48" t="n">
        <v>550</v>
      </c>
      <c r="I1556" s="48" t="n">
        <v>6</v>
      </c>
      <c r="J1556" s="48" t="n">
        <v>3960</v>
      </c>
      <c r="K1556" s="47">
        <f t="array" ref="K1556">_xlfn.XLOOKUP(1,(참조!$B$2:$B$15=E1556)*(참조!$D$2:$D$15=C1556)*(참조!$E$2:$E$15=D1556),참조!$C$2:$C$15,"")</f>
        <v/>
      </c>
    </row>
    <row r="1557" hidden="1" s="27">
      <c r="A1557" s="47" t="inlineStr">
        <is>
          <t>아이즈모바일</t>
        </is>
      </c>
      <c r="B1557" s="47" t="inlineStr">
        <is>
          <t>[L]벤티(100분/10GB)</t>
        </is>
      </c>
      <c r="C1557" s="47" t="inlineStr">
        <is>
          <t>100분</t>
        </is>
      </c>
      <c r="D1557" s="47" t="inlineStr">
        <is>
          <t>100건</t>
        </is>
      </c>
      <c r="E1557" s="47" t="inlineStr">
        <is>
          <t>월 10GB</t>
        </is>
      </c>
      <c r="F1557" s="47" t="inlineStr">
        <is>
          <t>LG U+</t>
        </is>
      </c>
      <c r="G1557" s="47" t="inlineStr">
        <is>
          <t>LTE</t>
        </is>
      </c>
      <c r="H1557" s="48" t="n">
        <v>880</v>
      </c>
      <c r="I1557" s="48" t="n">
        <v>7</v>
      </c>
      <c r="J1557" s="48" t="n">
        <v>18200</v>
      </c>
      <c r="K1557" s="47">
        <f t="array" ref="K1557">_xlfn.XLOOKUP(1,(참조!$B$2:$B$15=E1557)*(참조!$D$2:$D$15=C1557)*(참조!$E$2:$E$15=D1557),참조!$C$2:$C$15,"")</f>
        <v/>
      </c>
    </row>
    <row r="1558" hidden="1" s="27">
      <c r="A1558" s="47" t="inlineStr">
        <is>
          <t>스마텔</t>
        </is>
      </c>
      <c r="B1558" s="47" t="inlineStr">
        <is>
          <t>스위트 100GB+(올영 3000)</t>
        </is>
      </c>
      <c r="C1558" s="47" t="inlineStr">
        <is>
          <t>무제한</t>
        </is>
      </c>
      <c r="D1558" s="47" t="inlineStr">
        <is>
          <t>무제한</t>
        </is>
      </c>
      <c r="E1558" s="47" t="inlineStr">
        <is>
          <t>월 100GB + 5Mbps</t>
        </is>
      </c>
      <c r="F1558" s="47" t="inlineStr">
        <is>
          <t>KT</t>
        </is>
      </c>
      <c r="G1558" s="47" t="inlineStr">
        <is>
          <t>LTE</t>
        </is>
      </c>
      <c r="H1558" s="48" t="n">
        <v>24500</v>
      </c>
      <c r="I1558" s="48" t="n">
        <v>7</v>
      </c>
      <c r="J1558" s="48" t="n">
        <v>47630</v>
      </c>
      <c r="K1558" s="47">
        <f t="array" ref="K1558">_xlfn.XLOOKUP(1,(참조!$B$2:$B$15=E1558)*(참조!$D$2:$D$15=C1558)*(참조!$E$2:$E$15=D1558),참조!$C$2:$C$15,"")</f>
        <v/>
      </c>
    </row>
    <row r="1559" hidden="1" s="27">
      <c r="A1559" s="47" t="inlineStr">
        <is>
          <t>아이즈모바일</t>
        </is>
      </c>
      <c r="B1559" s="47" t="inlineStr">
        <is>
          <t>[K]무한100분/15GB+ Npay</t>
        </is>
      </c>
      <c r="C1559" s="47" t="inlineStr">
        <is>
          <t>100분</t>
        </is>
      </c>
      <c r="D1559" s="47" t="inlineStr">
        <is>
          <t>100건</t>
        </is>
      </c>
      <c r="E1559" s="47" t="inlineStr">
        <is>
          <t>월 15GB + 3Mbps</t>
        </is>
      </c>
      <c r="F1559" s="47" t="inlineStr">
        <is>
          <t>KT</t>
        </is>
      </c>
      <c r="G1559" s="47" t="inlineStr">
        <is>
          <t>LTE</t>
        </is>
      </c>
      <c r="H1559" s="48" t="n">
        <v>8900</v>
      </c>
      <c r="I1559" s="48" t="n">
        <v>7</v>
      </c>
      <c r="J1559" s="48" t="n">
        <v>38500</v>
      </c>
      <c r="K1559" s="47">
        <f t="array" ref="K1559">_xlfn.XLOOKUP(1,(참조!$B$2:$B$15=E1559)*(참조!$D$2:$D$15=C1559)*(참조!$E$2:$E$15=D1559),참조!$C$2:$C$15,"")</f>
        <v/>
      </c>
    </row>
    <row r="1560" hidden="1" s="27">
      <c r="A1560" s="47" t="inlineStr">
        <is>
          <t>아이즈모바일</t>
        </is>
      </c>
      <c r="B1560" s="47" t="inlineStr">
        <is>
          <t>[L]스페셜300분/15GB+</t>
        </is>
      </c>
      <c r="C1560" s="47" t="inlineStr">
        <is>
          <t>300분</t>
        </is>
      </c>
      <c r="D1560" s="47" t="inlineStr">
        <is>
          <t>300건</t>
        </is>
      </c>
      <c r="E1560" s="47" t="inlineStr">
        <is>
          <t>월 15GB + 3Mbps</t>
        </is>
      </c>
      <c r="F1560" s="47" t="inlineStr">
        <is>
          <t>LG U+</t>
        </is>
      </c>
      <c r="G1560" s="47" t="inlineStr">
        <is>
          <t>LTE</t>
        </is>
      </c>
      <c r="H1560" s="48" t="n">
        <v>12900</v>
      </c>
      <c r="I1560" s="48" t="n">
        <v>7</v>
      </c>
      <c r="J1560" s="48" t="n">
        <v>34100</v>
      </c>
      <c r="K1560" s="47">
        <f t="array" ref="K1560">_xlfn.XLOOKUP(1,(참조!$B$2:$B$15=E1560)*(참조!$D$2:$D$15=C1560)*(참조!$E$2:$E$15=D1560),참조!$C$2:$C$15,"")</f>
        <v/>
      </c>
    </row>
    <row r="1561" hidden="1" s="27">
      <c r="A1561" s="47" t="inlineStr">
        <is>
          <t>아이즈모바일</t>
        </is>
      </c>
      <c r="B1561" s="47" t="inlineStr">
        <is>
          <t>[S]아이즈팩 100분/15GB+</t>
        </is>
      </c>
      <c r="C1561" s="47" t="inlineStr">
        <is>
          <t>100분</t>
        </is>
      </c>
      <c r="D1561" s="47" t="inlineStr">
        <is>
          <t>100건</t>
        </is>
      </c>
      <c r="E1561" s="47" t="inlineStr">
        <is>
          <t>월 15GB + 3Mbps</t>
        </is>
      </c>
      <c r="F1561" s="47" t="inlineStr">
        <is>
          <t>SKT</t>
        </is>
      </c>
      <c r="G1561" s="47" t="inlineStr">
        <is>
          <t>LTE</t>
        </is>
      </c>
      <c r="H1561" s="48" t="n">
        <v>7700</v>
      </c>
      <c r="I1561" s="48" t="n">
        <v>7</v>
      </c>
      <c r="J1561" s="48" t="n">
        <v>35200</v>
      </c>
      <c r="K1561" s="47">
        <f t="array" ref="K1561">_xlfn.XLOOKUP(1,(참조!$B$2:$B$15=E1561)*(참조!$D$2:$D$15=C1561)*(참조!$E$2:$E$15=D1561),참조!$C$2:$C$15,"")</f>
        <v/>
      </c>
    </row>
    <row r="1562" hidden="1" s="27">
      <c r="A1562" s="47" t="inlineStr">
        <is>
          <t>아이즈모바일</t>
        </is>
      </c>
      <c r="B1562" s="47" t="inlineStr">
        <is>
          <t>[S]무한100분/15GB+</t>
        </is>
      </c>
      <c r="C1562" s="47" t="inlineStr">
        <is>
          <t>100분</t>
        </is>
      </c>
      <c r="D1562" s="47" t="inlineStr">
        <is>
          <t>100건</t>
        </is>
      </c>
      <c r="E1562" s="47" t="inlineStr">
        <is>
          <t>월 15GB + 3Mbps</t>
        </is>
      </c>
      <c r="F1562" s="47" t="inlineStr">
        <is>
          <t>SKT</t>
        </is>
      </c>
      <c r="G1562" s="47" t="inlineStr">
        <is>
          <t>LTE</t>
        </is>
      </c>
      <c r="H1562" s="48" t="n">
        <v>23000</v>
      </c>
      <c r="I1562" s="48" t="n">
        <v>36</v>
      </c>
      <c r="J1562" s="48" t="n">
        <v>33900</v>
      </c>
      <c r="K1562" s="47">
        <f t="array" ref="K1562">_xlfn.XLOOKUP(1,(참조!$B$2:$B$15=E1562)*(참조!$D$2:$D$15=C1562)*(참조!$E$2:$E$15=D1562),참조!$C$2:$C$15,"")</f>
        <v/>
      </c>
    </row>
    <row r="1563" hidden="1" s="27">
      <c r="A1563" s="47" t="inlineStr">
        <is>
          <t>아이즈모바일</t>
        </is>
      </c>
      <c r="B1563" s="47" t="inlineStr">
        <is>
          <t>[L]벤티(300분/9GB)</t>
        </is>
      </c>
      <c r="C1563" s="47" t="inlineStr">
        <is>
          <t>300분</t>
        </is>
      </c>
      <c r="D1563" s="47" t="inlineStr">
        <is>
          <t>100건</t>
        </is>
      </c>
      <c r="E1563" s="47" t="inlineStr">
        <is>
          <t>월 9GB</t>
        </is>
      </c>
      <c r="F1563" s="47" t="inlineStr">
        <is>
          <t>LG U+</t>
        </is>
      </c>
      <c r="G1563" s="47" t="inlineStr">
        <is>
          <t>LTE</t>
        </is>
      </c>
      <c r="H1563" s="48" t="n">
        <v>990</v>
      </c>
      <c r="I1563" s="48" t="n">
        <v>6</v>
      </c>
      <c r="J1563" s="48" t="n">
        <v>22200</v>
      </c>
      <c r="K1563" s="47">
        <f t="array" ref="K1563">_xlfn.XLOOKUP(1,(참조!$B$2:$B$15=E1563)*(참조!$D$2:$D$15=C1563)*(참조!$E$2:$E$15=D1563),참조!$C$2:$C$15,"")</f>
        <v/>
      </c>
    </row>
    <row r="1564" hidden="1" s="27">
      <c r="A1564" s="47" t="inlineStr">
        <is>
          <t>아이즈모바일</t>
        </is>
      </c>
      <c r="B1564" s="47" t="inlineStr">
        <is>
          <t>[S]무한100GB+</t>
        </is>
      </c>
      <c r="C1564" s="47" t="inlineStr">
        <is>
          <t>무제한</t>
        </is>
      </c>
      <c r="D1564" s="47" t="inlineStr">
        <is>
          <t>무제한</t>
        </is>
      </c>
      <c r="E1564" s="47" t="inlineStr">
        <is>
          <t>월 100GB + 5Mbps</t>
        </is>
      </c>
      <c r="F1564" s="47" t="inlineStr">
        <is>
          <t>SKT</t>
        </is>
      </c>
      <c r="G1564" s="47" t="inlineStr">
        <is>
          <t>LTE</t>
        </is>
      </c>
      <c r="H1564" s="48" t="n">
        <v>34000</v>
      </c>
      <c r="I1564" s="48" t="n">
        <v>36</v>
      </c>
      <c r="J1564" s="48" t="n">
        <v>53000</v>
      </c>
      <c r="K1564" s="47">
        <f t="array" ref="K1564">_xlfn.XLOOKUP(1,(참조!$B$2:$B$15=E1564)*(참조!$D$2:$D$15=C1564)*(참조!$E$2:$E$15=D1564),참조!$C$2:$C$15,"")</f>
        <v/>
      </c>
    </row>
    <row r="1565" hidden="1" s="27">
      <c r="A1565" s="47" t="inlineStr">
        <is>
          <t>모빙</t>
        </is>
      </c>
      <c r="B1565" s="47" t="inlineStr">
        <is>
          <t>[K] 밀리의 서재 100GB+</t>
        </is>
      </c>
      <c r="C1565" s="47" t="inlineStr">
        <is>
          <t>무제한</t>
        </is>
      </c>
      <c r="D1565" s="47" t="inlineStr">
        <is>
          <t>무제한</t>
        </is>
      </c>
      <c r="E1565" s="47" t="inlineStr">
        <is>
          <t>월 100GB + 5Mbps</t>
        </is>
      </c>
      <c r="F1565" s="47" t="inlineStr">
        <is>
          <t>KT</t>
        </is>
      </c>
      <c r="G1565" s="47" t="inlineStr">
        <is>
          <t>LTE</t>
        </is>
      </c>
      <c r="H1565" s="48" t="n">
        <v>17930</v>
      </c>
      <c r="I1565" s="48" t="n">
        <v>7</v>
      </c>
      <c r="J1565" s="48" t="n">
        <v>50600</v>
      </c>
      <c r="K1565" s="47">
        <f t="array" ref="K1565">_xlfn.XLOOKUP(1,(참조!$B$2:$B$15=E1565)*(참조!$D$2:$D$15=C1565)*(참조!$E$2:$E$15=D1565),참조!$C$2:$C$15,"")</f>
        <v/>
      </c>
    </row>
    <row r="1566" hidden="1" s="27">
      <c r="A1566" s="47" t="inlineStr">
        <is>
          <t>더원모바일</t>
        </is>
      </c>
      <c r="B1566" s="47" t="inlineStr">
        <is>
          <t>ONE 5G 5GB 100분</t>
        </is>
      </c>
      <c r="C1566" s="47" t="inlineStr">
        <is>
          <t>100분</t>
        </is>
      </c>
      <c r="D1566" s="47" t="inlineStr">
        <is>
          <t>100건</t>
        </is>
      </c>
      <c r="E1566" s="47" t="inlineStr">
        <is>
          <t>월 5GB</t>
        </is>
      </c>
      <c r="F1566" s="47" t="inlineStr">
        <is>
          <t>KT</t>
        </is>
      </c>
      <c r="G1566" s="47" t="inlineStr">
        <is>
          <t>5G</t>
        </is>
      </c>
      <c r="H1566" s="48" t="n">
        <v>2200</v>
      </c>
      <c r="I1566" s="48" t="n">
        <v>6</v>
      </c>
      <c r="J1566" s="48" t="n">
        <v>7700</v>
      </c>
      <c r="K1566" s="47">
        <f t="array" ref="K1566">_xlfn.XLOOKUP(1,(참조!$B$2:$B$15=E1566)*(참조!$D$2:$D$15=C1566)*(참조!$E$2:$E$15=D1566),참조!$C$2:$C$15,"")</f>
        <v/>
      </c>
    </row>
    <row r="1567" hidden="1" s="27">
      <c r="A1567" s="47" t="inlineStr">
        <is>
          <t>모빙</t>
        </is>
      </c>
      <c r="B1567" s="47" t="inlineStr">
        <is>
          <t>[S] 컬쳐랜드 100분15GB+</t>
        </is>
      </c>
      <c r="C1567" s="47" t="inlineStr">
        <is>
          <t>100분</t>
        </is>
      </c>
      <c r="D1567" s="47" t="inlineStr">
        <is>
          <t>100건</t>
        </is>
      </c>
      <c r="E1567" s="47" t="inlineStr">
        <is>
          <t>월 15GB + 3Mbps</t>
        </is>
      </c>
      <c r="F1567" s="47" t="inlineStr">
        <is>
          <t>SKT</t>
        </is>
      </c>
      <c r="G1567" s="47" t="inlineStr">
        <is>
          <t>LTE</t>
        </is>
      </c>
      <c r="H1567" s="48" t="n">
        <v>13500</v>
      </c>
      <c r="I1567" s="48" t="n">
        <v>7</v>
      </c>
      <c r="J1567" s="48" t="n">
        <v>41800</v>
      </c>
      <c r="K1567" s="47">
        <f t="array" ref="K1567">_xlfn.XLOOKUP(1,(참조!$B$2:$B$15=E1567)*(참조!$D$2:$D$15=C1567)*(참조!$E$2:$E$15=D1567),참조!$C$2:$C$15,"")</f>
        <v/>
      </c>
    </row>
    <row r="1568" hidden="1" s="27">
      <c r="A1568" s="47" t="inlineStr">
        <is>
          <t>스마텔</t>
        </is>
      </c>
      <c r="B1568" s="47" t="inlineStr">
        <is>
          <t>5G 스위트 70GB+</t>
        </is>
      </c>
      <c r="C1568" s="47" t="inlineStr">
        <is>
          <t>무제한</t>
        </is>
      </c>
      <c r="D1568" s="47" t="inlineStr">
        <is>
          <t>무제한</t>
        </is>
      </c>
      <c r="E1568" s="47" t="inlineStr">
        <is>
          <t>월 70GB + 1Mbps</t>
        </is>
      </c>
      <c r="F1568" s="47" t="inlineStr">
        <is>
          <t>KT</t>
        </is>
      </c>
      <c r="G1568" s="47" t="inlineStr">
        <is>
          <t>5G</t>
        </is>
      </c>
      <c r="H1568" s="48" t="n">
        <v>42900</v>
      </c>
      <c r="I1568" s="48" t="n">
        <v>36</v>
      </c>
      <c r="J1568" s="48" t="n">
        <v>48400</v>
      </c>
      <c r="K1568" s="47">
        <f t="array" ref="K1568">_xlfn.XLOOKUP(1,(참조!$B$2:$B$15=E1568)*(참조!$D$2:$D$15=C1568)*(참조!$E$2:$E$15=D1568),참조!$C$2:$C$15,"")</f>
        <v/>
      </c>
    </row>
    <row r="1569" hidden="1" s="27">
      <c r="A1569" s="47" t="inlineStr">
        <is>
          <t>스마텔</t>
        </is>
      </c>
      <c r="B1569" s="47" t="inlineStr">
        <is>
          <t>[모요only] [모요핫딜]CU 스위트 무제한 10GB+</t>
        </is>
      </c>
      <c r="C1569" s="47" t="inlineStr">
        <is>
          <t>무제한</t>
        </is>
      </c>
      <c r="D1569" s="47" t="inlineStr">
        <is>
          <t>무제한</t>
        </is>
      </c>
      <c r="E1569" s="47" t="inlineStr">
        <is>
          <t>월 10GB + 1Mbps</t>
        </is>
      </c>
      <c r="F1569" s="47" t="inlineStr">
        <is>
          <t>KT</t>
        </is>
      </c>
      <c r="G1569" s="47" t="inlineStr">
        <is>
          <t>LTE</t>
        </is>
      </c>
      <c r="H1569" s="48" t="n">
        <v>16000</v>
      </c>
      <c r="I1569" s="48" t="n">
        <v>7</v>
      </c>
      <c r="J1569" s="48" t="n">
        <v>28600</v>
      </c>
      <c r="K1569" s="47">
        <f t="array" ref="K1569">_xlfn.XLOOKUP(1,(참조!$B$2:$B$15=E1569)*(참조!$D$2:$D$15=C1569)*(참조!$E$2:$E$15=D1569),참조!$C$2:$C$15,"")</f>
        <v/>
      </c>
    </row>
    <row r="1570" hidden="1" s="27">
      <c r="A1570" s="47" t="inlineStr">
        <is>
          <t>모빙</t>
        </is>
      </c>
      <c r="B1570" s="47" t="inlineStr">
        <is>
          <t>[S] CU편의점 100분15GB+</t>
        </is>
      </c>
      <c r="C1570" s="47" t="inlineStr">
        <is>
          <t>100분</t>
        </is>
      </c>
      <c r="D1570" s="47" t="inlineStr">
        <is>
          <t>100건</t>
        </is>
      </c>
      <c r="E1570" s="47" t="inlineStr">
        <is>
          <t>월 15GB + 3Mbps</t>
        </is>
      </c>
      <c r="F1570" s="47" t="inlineStr">
        <is>
          <t>SKT</t>
        </is>
      </c>
      <c r="G1570" s="47" t="inlineStr">
        <is>
          <t>LTE</t>
        </is>
      </c>
      <c r="H1570" s="48" t="n">
        <v>13500</v>
      </c>
      <c r="I1570" s="48" t="n">
        <v>7</v>
      </c>
      <c r="J1570" s="48" t="n">
        <v>41800</v>
      </c>
      <c r="K1570" s="47">
        <f t="array" ref="K1570">_xlfn.XLOOKUP(1,(참조!$B$2:$B$15=E1570)*(참조!$D$2:$D$15=C1570)*(참조!$E$2:$E$15=D1570),참조!$C$2:$C$15,"")</f>
        <v/>
      </c>
    </row>
    <row r="1571" hidden="1" s="27">
      <c r="A1571" s="47" t="inlineStr">
        <is>
          <t>이지모바일</t>
        </is>
      </c>
      <c r="B1571" s="47" t="inlineStr">
        <is>
          <t>EG 무제한 10GB+1(밀리의 서재)</t>
        </is>
      </c>
      <c r="C1571" s="47" t="inlineStr">
        <is>
          <t>무제한</t>
        </is>
      </c>
      <c r="D1571" s="47" t="inlineStr">
        <is>
          <t>무제한</t>
        </is>
      </c>
      <c r="E1571" s="47" t="inlineStr">
        <is>
          <t>월 10GB + 1Mbps</t>
        </is>
      </c>
      <c r="F1571" s="47" t="inlineStr">
        <is>
          <t>KT</t>
        </is>
      </c>
      <c r="G1571" s="47" t="inlineStr">
        <is>
          <t>LTE</t>
        </is>
      </c>
      <c r="H1571" s="48" t="n">
        <v>14080</v>
      </c>
      <c r="I1571" s="48" t="n">
        <v>7</v>
      </c>
      <c r="J1571" s="48" t="n">
        <v>24200</v>
      </c>
      <c r="K1571" s="47">
        <f t="array" ref="K1571">_xlfn.XLOOKUP(1,(참조!$B$2:$B$15=E1571)*(참조!$D$2:$D$15=C1571)*(참조!$E$2:$E$15=D1571),참조!$C$2:$C$15,"")</f>
        <v/>
      </c>
    </row>
    <row r="1572" hidden="1" s="27">
      <c r="A1572" s="47" t="inlineStr">
        <is>
          <t>티플러스</t>
        </is>
      </c>
      <c r="B1572" s="47" t="inlineStr">
        <is>
          <t>The 데이터마음껏 5GB＋(200분)</t>
        </is>
      </c>
      <c r="C1572" s="47" t="inlineStr">
        <is>
          <t>200분</t>
        </is>
      </c>
      <c r="D1572" s="47" t="inlineStr">
        <is>
          <t>100건</t>
        </is>
      </c>
      <c r="E1572" s="47" t="inlineStr">
        <is>
          <t>월 5GB + 1Mbps</t>
        </is>
      </c>
      <c r="F1572" s="47" t="inlineStr">
        <is>
          <t>SKT</t>
        </is>
      </c>
      <c r="G1572" s="47" t="inlineStr">
        <is>
          <t>LTE</t>
        </is>
      </c>
      <c r="H1572" s="48" t="n">
        <v>19800</v>
      </c>
      <c r="I1572" s="48" t="n"/>
      <c r="J1572" s="48" t="n"/>
      <c r="K1572" s="47">
        <f t="array" ref="K1572">_xlfn.XLOOKUP(1,(참조!$B$2:$B$15=E1572)*(참조!$D$2:$D$15=C1572)*(참조!$E$2:$E$15=D1572),참조!$C$2:$C$15,"")</f>
        <v/>
      </c>
    </row>
    <row r="1573" hidden="1" s="27">
      <c r="A1573" s="47" t="inlineStr">
        <is>
          <t>티플러스</t>
        </is>
      </c>
      <c r="B1573" s="47" t="inlineStr">
        <is>
          <t>티플 CGV 7GB＋</t>
        </is>
      </c>
      <c r="C1573" s="47" t="inlineStr">
        <is>
          <t>무제한</t>
        </is>
      </c>
      <c r="D1573" s="47" t="inlineStr">
        <is>
          <t>무제한</t>
        </is>
      </c>
      <c r="E1573" s="47" t="inlineStr">
        <is>
          <t>월 7GB + 1Mbps</t>
        </is>
      </c>
      <c r="F1573" s="47" t="inlineStr">
        <is>
          <t>SKT</t>
        </is>
      </c>
      <c r="G1573" s="47" t="inlineStr">
        <is>
          <t>LTE</t>
        </is>
      </c>
      <c r="H1573" s="48" t="n">
        <v>7900</v>
      </c>
      <c r="I1573" s="48" t="n">
        <v>7</v>
      </c>
      <c r="J1573" s="48" t="n">
        <v>35200</v>
      </c>
      <c r="K1573" s="47">
        <f t="array" ref="K1573">_xlfn.XLOOKUP(1,(참조!$B$2:$B$15=E1573)*(참조!$D$2:$D$15=C1573)*(참조!$E$2:$E$15=D1573),참조!$C$2:$C$15,"")</f>
        <v/>
      </c>
    </row>
    <row r="1574" hidden="1" s="27">
      <c r="A1574" s="47" t="inlineStr">
        <is>
          <t>스마텔</t>
        </is>
      </c>
      <c r="B1574" s="47" t="inlineStr">
        <is>
          <t>스위트 7GB+ (+10GB 24개월간 추가 제공)</t>
        </is>
      </c>
      <c r="C1574" s="47" t="inlineStr">
        <is>
          <t>무제한</t>
        </is>
      </c>
      <c r="D1574" s="47" t="inlineStr">
        <is>
          <t>무제한</t>
        </is>
      </c>
      <c r="E1574" s="47" t="inlineStr">
        <is>
          <t>월 7GB + 1Mbps</t>
        </is>
      </c>
      <c r="F1574" s="47" t="inlineStr">
        <is>
          <t>KT</t>
        </is>
      </c>
      <c r="G1574" s="47" t="inlineStr">
        <is>
          <t>LTE</t>
        </is>
      </c>
      <c r="H1574" s="48" t="n">
        <v>18700</v>
      </c>
      <c r="I1574" s="48" t="n">
        <v>36</v>
      </c>
      <c r="J1574" s="48" t="n">
        <v>24200</v>
      </c>
      <c r="K1574" s="47">
        <f t="array" ref="K1574">_xlfn.XLOOKUP(1,(참조!$B$2:$B$15=E1574)*(참조!$D$2:$D$15=C1574)*(참조!$E$2:$E$15=D1574),참조!$C$2:$C$15,"")</f>
        <v/>
      </c>
    </row>
    <row r="1575" hidden="1" s="27">
      <c r="A1575" s="47" t="inlineStr">
        <is>
          <t>에이모바일</t>
        </is>
      </c>
      <c r="B1575" s="47" t="inlineStr">
        <is>
          <t>A 스페셜 15GB+</t>
        </is>
      </c>
      <c r="C1575" s="47" t="inlineStr">
        <is>
          <t>무제한</t>
        </is>
      </c>
      <c r="D1575" s="47" t="inlineStr">
        <is>
          <t>무제한</t>
        </is>
      </c>
      <c r="E1575" s="47" t="inlineStr">
        <is>
          <t>월 15GB + 1Mbps</t>
        </is>
      </c>
      <c r="F1575" s="47" t="inlineStr">
        <is>
          <t>LG U+</t>
        </is>
      </c>
      <c r="G1575" s="47" t="inlineStr">
        <is>
          <t>LTE</t>
        </is>
      </c>
      <c r="H1575" s="48" t="n">
        <v>7500</v>
      </c>
      <c r="I1575" s="48" t="n">
        <v>7</v>
      </c>
      <c r="J1575" s="48" t="n">
        <v>28600</v>
      </c>
      <c r="K1575" s="47">
        <f t="array" ref="K1575">_xlfn.XLOOKUP(1,(참조!$B$2:$B$15=E1575)*(참조!$D$2:$D$15=C1575)*(참조!$E$2:$E$15=D1575),참조!$C$2:$C$15,"")</f>
        <v/>
      </c>
    </row>
    <row r="1576" hidden="1" s="27">
      <c r="A1576" s="47" t="inlineStr">
        <is>
          <t>모빙</t>
        </is>
      </c>
      <c r="B1576" s="47" t="inlineStr">
        <is>
          <t>5G 실속 200분3GB</t>
        </is>
      </c>
      <c r="C1576" s="47" t="inlineStr">
        <is>
          <t>200분</t>
        </is>
      </c>
      <c r="D1576" s="47" t="inlineStr">
        <is>
          <t>200건</t>
        </is>
      </c>
      <c r="E1576" s="47" t="inlineStr">
        <is>
          <t>월 3GB</t>
        </is>
      </c>
      <c r="F1576" s="47" t="inlineStr">
        <is>
          <t>LG U+</t>
        </is>
      </c>
      <c r="G1576" s="47" t="inlineStr">
        <is>
          <t>5G</t>
        </is>
      </c>
      <c r="H1576" s="48" t="n">
        <v>2900</v>
      </c>
      <c r="I1576" s="48" t="n"/>
      <c r="J1576" s="48" t="n"/>
      <c r="K1576" s="47">
        <f t="array" ref="K1576">_xlfn.XLOOKUP(1,(참조!$B$2:$B$15=E1576)*(참조!$D$2:$D$15=C1576)*(참조!$E$2:$E$15=D1576),참조!$C$2:$C$15,"")</f>
        <v/>
      </c>
    </row>
    <row r="1577" hidden="1" s="27">
      <c r="A1577" s="47" t="inlineStr">
        <is>
          <t>이야기모바일</t>
        </is>
      </c>
      <c r="B1577" s="47" t="inlineStr">
        <is>
          <t>이야기 라이트S 100분 20GB+</t>
        </is>
      </c>
      <c r="C1577" s="47" t="inlineStr">
        <is>
          <t>100분</t>
        </is>
      </c>
      <c r="D1577" s="47" t="inlineStr">
        <is>
          <t>100건</t>
        </is>
      </c>
      <c r="E1577" s="47" t="inlineStr">
        <is>
          <t>월 20GB + 1Mbps</t>
        </is>
      </c>
      <c r="F1577" s="47" t="inlineStr">
        <is>
          <t>SKT</t>
        </is>
      </c>
      <c r="G1577" s="47" t="inlineStr">
        <is>
          <t>LTE</t>
        </is>
      </c>
      <c r="H1577" s="48" t="n">
        <v>30800</v>
      </c>
      <c r="I1577" s="48" t="n"/>
      <c r="J1577" s="48" t="n"/>
      <c r="K1577" s="47">
        <f t="array" ref="K1577">_xlfn.XLOOKUP(1,(참조!$B$2:$B$15=E1577)*(참조!$D$2:$D$15=C1577)*(참조!$E$2:$E$15=D1577),참조!$C$2:$C$15,"")</f>
        <v/>
      </c>
    </row>
    <row r="1578" hidden="1" s="27">
      <c r="A1578" s="47" t="inlineStr">
        <is>
          <t>에이모바일</t>
        </is>
      </c>
      <c r="B1578" s="47" t="inlineStr">
        <is>
          <t>A 올라잇 100GB+ 밀리의서재(+추가 네이버페이 1만x7개월)</t>
        </is>
      </c>
      <c r="C1578" s="47" t="inlineStr">
        <is>
          <t>무제한</t>
        </is>
      </c>
      <c r="D1578" s="47" t="inlineStr">
        <is>
          <t>무제한</t>
        </is>
      </c>
      <c r="E1578" s="47" t="inlineStr">
        <is>
          <t>월 11GB + 매일 2GB + 3Mbps</t>
        </is>
      </c>
      <c r="F1578" s="47" t="inlineStr">
        <is>
          <t>KT</t>
        </is>
      </c>
      <c r="G1578" s="47" t="inlineStr">
        <is>
          <t>LTE</t>
        </is>
      </c>
      <c r="H1578" s="48" t="n">
        <v>16900</v>
      </c>
      <c r="I1578" s="48" t="n">
        <v>7</v>
      </c>
      <c r="J1578" s="48" t="n">
        <v>46200</v>
      </c>
      <c r="K1578" s="47">
        <f t="array" ref="K1578">_xlfn.XLOOKUP(1,(참조!$B$2:$B$15=E1578)*(참조!$D$2:$D$15=C1578)*(참조!$E$2:$E$15=D1578),참조!$C$2:$C$15,"")</f>
        <v/>
      </c>
    </row>
    <row r="1579" hidden="1" s="27">
      <c r="A1579" s="47" t="inlineStr">
        <is>
          <t>이야기모바일</t>
        </is>
      </c>
      <c r="B1579" s="47" t="inlineStr">
        <is>
          <t>내맘대로 차단형 (50분+1GB)</t>
        </is>
      </c>
      <c r="C1579" s="47" t="inlineStr">
        <is>
          <t>50분</t>
        </is>
      </c>
      <c r="D1579" s="47" t="inlineStr">
        <is>
          <t>50건</t>
        </is>
      </c>
      <c r="E1579" s="47" t="inlineStr">
        <is>
          <t>월 1GB</t>
        </is>
      </c>
      <c r="F1579" s="47" t="inlineStr">
        <is>
          <t>LG U+</t>
        </is>
      </c>
      <c r="G1579" s="47" t="inlineStr">
        <is>
          <t>LTE</t>
        </is>
      </c>
      <c r="H1579" s="48" t="n">
        <v>7920</v>
      </c>
      <c r="I1579" s="48" t="n"/>
      <c r="J1579" s="48" t="n"/>
      <c r="K1579" s="47">
        <f t="array" ref="K1579">_xlfn.XLOOKUP(1,(참조!$B$2:$B$15=E1579)*(참조!$D$2:$D$15=C1579)*(참조!$E$2:$E$15=D1579),참조!$C$2:$C$15,"")</f>
        <v/>
      </c>
    </row>
    <row r="1580" hidden="1" s="27">
      <c r="A1580" s="47" t="inlineStr">
        <is>
          <t>핀다이렉트</t>
        </is>
      </c>
      <c r="B1580" s="47" t="inlineStr">
        <is>
          <t>[L] 핀다이렉트Z Speed 50GB+</t>
        </is>
      </c>
      <c r="C1580" s="47" t="inlineStr">
        <is>
          <t>무제한</t>
        </is>
      </c>
      <c r="D1580" s="47" t="inlineStr">
        <is>
          <t>무제한</t>
        </is>
      </c>
      <c r="E1580" s="47" t="inlineStr">
        <is>
          <t>월 50GB + 1Mbps</t>
        </is>
      </c>
      <c r="F1580" s="47" t="inlineStr">
        <is>
          <t>LG U+</t>
        </is>
      </c>
      <c r="G1580" s="47" t="inlineStr">
        <is>
          <t>5G</t>
        </is>
      </c>
      <c r="H1580" s="48" t="n">
        <v>26000</v>
      </c>
      <c r="I1580" s="48" t="n">
        <v>7</v>
      </c>
      <c r="J1580" s="48" t="n">
        <v>42900</v>
      </c>
      <c r="K1580" s="47">
        <f t="array" ref="K1580">_xlfn.XLOOKUP(1,(참조!$B$2:$B$15=E1580)*(참조!$D$2:$D$15=C1580)*(참조!$E$2:$E$15=D1580),참조!$C$2:$C$15,"")</f>
        <v/>
      </c>
    </row>
    <row r="1581" hidden="1" s="27">
      <c r="A1581" s="47" t="inlineStr">
        <is>
          <t>스마텔</t>
        </is>
      </c>
      <c r="B1581" s="47" t="inlineStr">
        <is>
          <t>스마일플러스(200분+1GB)</t>
        </is>
      </c>
      <c r="C1581" s="47" t="inlineStr">
        <is>
          <t>200분</t>
        </is>
      </c>
      <c r="D1581" s="47" t="inlineStr">
        <is>
          <t>100건</t>
        </is>
      </c>
      <c r="E1581" s="47" t="inlineStr">
        <is>
          <t>월 1GB</t>
        </is>
      </c>
      <c r="F1581" s="47" t="inlineStr">
        <is>
          <t>SKT</t>
        </is>
      </c>
      <c r="G1581" s="47" t="inlineStr">
        <is>
          <t>LTE</t>
        </is>
      </c>
      <c r="H1581" s="48" t="n">
        <v>1820</v>
      </c>
      <c r="I1581" s="48" t="n">
        <v>5</v>
      </c>
      <c r="J1581" s="48" t="n">
        <v>6000</v>
      </c>
      <c r="K1581" s="47">
        <f t="array" ref="K1581">_xlfn.XLOOKUP(1,(참조!$B$2:$B$15=E1581)*(참조!$D$2:$D$15=C1581)*(참조!$E$2:$E$15=D1581),참조!$C$2:$C$15,"")</f>
        <v/>
      </c>
    </row>
    <row r="1582" hidden="1" s="27">
      <c r="A1582" s="47" t="inlineStr">
        <is>
          <t>모빙</t>
        </is>
      </c>
      <c r="B1582" s="47" t="inlineStr">
        <is>
          <t>[K] 후후 안심 11GB+</t>
        </is>
      </c>
      <c r="C1582" s="47" t="inlineStr">
        <is>
          <t>무제한</t>
        </is>
      </c>
      <c r="D1582" s="47" t="inlineStr">
        <is>
          <t>무제한</t>
        </is>
      </c>
      <c r="E1582" s="47" t="inlineStr">
        <is>
          <t>월 11GB + 매일 2GB + 3Mbps</t>
        </is>
      </c>
      <c r="F1582" s="47" t="inlineStr">
        <is>
          <t>KT</t>
        </is>
      </c>
      <c r="G1582" s="47" t="inlineStr">
        <is>
          <t>LTE</t>
        </is>
      </c>
      <c r="H1582" s="48" t="n">
        <v>17270</v>
      </c>
      <c r="I1582" s="48" t="n">
        <v>7</v>
      </c>
      <c r="J1582" s="48" t="n">
        <v>48400</v>
      </c>
      <c r="K1582" s="47">
        <f t="array" ref="K1582">_xlfn.XLOOKUP(1,(참조!$B$2:$B$15=E1582)*(참조!$D$2:$D$15=C1582)*(참조!$E$2:$E$15=D1582),참조!$C$2:$C$15,"")</f>
        <v/>
      </c>
    </row>
    <row r="1583" hidden="1" s="27">
      <c r="A1583" s="47" t="inlineStr">
        <is>
          <t>에이모바일</t>
        </is>
      </c>
      <c r="B1583" s="47" t="inlineStr">
        <is>
          <t>A 넥스트 15GB+/100분(네이버페이 1만x7개월)</t>
        </is>
      </c>
      <c r="C1583" s="47" t="inlineStr">
        <is>
          <t>100분</t>
        </is>
      </c>
      <c r="D1583" s="47" t="inlineStr">
        <is>
          <t>100건</t>
        </is>
      </c>
      <c r="E1583" s="47" t="inlineStr">
        <is>
          <t>월 15GB + 3Mbps</t>
        </is>
      </c>
      <c r="F1583" s="47" t="inlineStr">
        <is>
          <t>SKT</t>
        </is>
      </c>
      <c r="G1583" s="47" t="inlineStr">
        <is>
          <t>LTE</t>
        </is>
      </c>
      <c r="H1583" s="48" t="n">
        <v>14000</v>
      </c>
      <c r="I1583" s="48" t="n">
        <v>7</v>
      </c>
      <c r="J1583" s="48" t="n">
        <v>26400</v>
      </c>
      <c r="K1583" s="47">
        <f t="array" ref="K1583">_xlfn.XLOOKUP(1,(참조!$B$2:$B$15=E1583)*(참조!$D$2:$D$15=C1583)*(참조!$E$2:$E$15=D1583),참조!$C$2:$C$15,"")</f>
        <v/>
      </c>
    </row>
    <row r="1584" hidden="1" s="27">
      <c r="A1584" s="47" t="inlineStr">
        <is>
          <t>모빙</t>
        </is>
      </c>
      <c r="B1584" s="47" t="inlineStr">
        <is>
          <t>[K] 5G 데이터 110GB+</t>
        </is>
      </c>
      <c r="C1584" s="47" t="inlineStr">
        <is>
          <t>무제한</t>
        </is>
      </c>
      <c r="D1584" s="47" t="inlineStr">
        <is>
          <t>무제한</t>
        </is>
      </c>
      <c r="E1584" s="47" t="inlineStr">
        <is>
          <t>월 110GB + 5Mbps</t>
        </is>
      </c>
      <c r="F1584" s="47" t="inlineStr">
        <is>
          <t>KT</t>
        </is>
      </c>
      <c r="G1584" s="47" t="inlineStr">
        <is>
          <t>5G</t>
        </is>
      </c>
      <c r="H1584" s="48" t="n">
        <v>34100</v>
      </c>
      <c r="I1584" s="48" t="n">
        <v>12</v>
      </c>
      <c r="J1584" s="48" t="n">
        <v>66000</v>
      </c>
      <c r="K1584" s="47">
        <f t="array" ref="K1584">_xlfn.XLOOKUP(1,(참조!$B$2:$B$15=E1584)*(참조!$D$2:$D$15=C1584)*(참조!$E$2:$E$15=D1584),참조!$C$2:$C$15,"")</f>
        <v/>
      </c>
    </row>
    <row r="1585" hidden="1" s="27">
      <c r="A1585" s="47" t="inlineStr">
        <is>
          <t>에이모바일</t>
        </is>
      </c>
      <c r="B1585" s="47" t="inlineStr">
        <is>
          <t>A 스페셜 7GB+ (24개월)</t>
        </is>
      </c>
      <c r="C1585" s="47" t="inlineStr">
        <is>
          <t>무제한</t>
        </is>
      </c>
      <c r="D1585" s="47" t="inlineStr">
        <is>
          <t>무제한</t>
        </is>
      </c>
      <c r="E1585" s="47" t="inlineStr">
        <is>
          <t>월 7GB + 1Mbps</t>
        </is>
      </c>
      <c r="F1585" s="47" t="inlineStr">
        <is>
          <t>LG U+</t>
        </is>
      </c>
      <c r="G1585" s="47" t="inlineStr">
        <is>
          <t>LTE</t>
        </is>
      </c>
      <c r="H1585" s="48" t="n">
        <v>16060</v>
      </c>
      <c r="I1585" s="48" t="n">
        <v>24</v>
      </c>
      <c r="J1585" s="48" t="n">
        <v>22000</v>
      </c>
      <c r="K1585" s="47">
        <f t="array" ref="K1585">_xlfn.XLOOKUP(1,(참조!$B$2:$B$15=E1585)*(참조!$D$2:$D$15=C1585)*(참조!$E$2:$E$15=D1585),참조!$C$2:$C$15,"")</f>
        <v/>
      </c>
    </row>
    <row r="1586" hidden="1" s="27">
      <c r="A1586" s="47" t="inlineStr">
        <is>
          <t>아이즈모바일</t>
        </is>
      </c>
      <c r="B1586" s="47" t="inlineStr">
        <is>
          <t>[K]벤티(300분/7GB)</t>
        </is>
      </c>
      <c r="C1586" s="47" t="inlineStr">
        <is>
          <t>300분</t>
        </is>
      </c>
      <c r="D1586" s="47" t="inlineStr">
        <is>
          <t>100건</t>
        </is>
      </c>
      <c r="E1586" s="47" t="inlineStr">
        <is>
          <t>월 7GB</t>
        </is>
      </c>
      <c r="F1586" s="47" t="inlineStr">
        <is>
          <t>KT</t>
        </is>
      </c>
      <c r="G1586" s="47" t="inlineStr">
        <is>
          <t>LTE</t>
        </is>
      </c>
      <c r="H1586" s="48" t="n">
        <v>18500</v>
      </c>
      <c r="I1586" s="48" t="n"/>
      <c r="J1586" s="48" t="n"/>
      <c r="K1586" s="47">
        <f t="array" ref="K1586">_xlfn.XLOOKUP(1,(참조!$B$2:$B$15=E1586)*(참조!$D$2:$D$15=C1586)*(참조!$E$2:$E$15=D1586),참조!$C$2:$C$15,"")</f>
        <v/>
      </c>
    </row>
    <row r="1587" hidden="1" s="27">
      <c r="A1587" s="47" t="inlineStr">
        <is>
          <t>아이즈모바일</t>
        </is>
      </c>
      <c r="B1587" s="47" t="inlineStr">
        <is>
          <t>[S]그란데(200분/6GB)</t>
        </is>
      </c>
      <c r="C1587" s="47" t="inlineStr">
        <is>
          <t>200분</t>
        </is>
      </c>
      <c r="D1587" s="47" t="inlineStr">
        <is>
          <t>100건</t>
        </is>
      </c>
      <c r="E1587" s="47" t="inlineStr">
        <is>
          <t>월 6GB</t>
        </is>
      </c>
      <c r="F1587" s="47" t="inlineStr">
        <is>
          <t>SKT</t>
        </is>
      </c>
      <c r="G1587" s="47" t="inlineStr">
        <is>
          <t>LTE</t>
        </is>
      </c>
      <c r="H1587" s="48" t="n">
        <v>6600</v>
      </c>
      <c r="I1587" s="48" t="n"/>
      <c r="J1587" s="48" t="n"/>
      <c r="K1587" s="47">
        <f t="array" ref="K1587">_xlfn.XLOOKUP(1,(참조!$B$2:$B$15=E1587)*(참조!$D$2:$D$15=C1587)*(참조!$E$2:$E$15=D1587),참조!$C$2:$C$15,"")</f>
        <v/>
      </c>
    </row>
    <row r="1588" hidden="1" s="27">
      <c r="A1588" s="47" t="inlineStr">
        <is>
          <t>모빙</t>
        </is>
      </c>
      <c r="B1588" s="47" t="inlineStr">
        <is>
          <t>실속 200분5GB</t>
        </is>
      </c>
      <c r="C1588" s="47" t="inlineStr">
        <is>
          <t>200분</t>
        </is>
      </c>
      <c r="D1588" s="47" t="inlineStr">
        <is>
          <t>100건</t>
        </is>
      </c>
      <c r="E1588" s="47" t="inlineStr">
        <is>
          <t>월 5GB</t>
        </is>
      </c>
      <c r="F1588" s="47" t="inlineStr">
        <is>
          <t>LG U+</t>
        </is>
      </c>
      <c r="G1588" s="47" t="inlineStr">
        <is>
          <t>LTE</t>
        </is>
      </c>
      <c r="H1588" s="48" t="n">
        <v>3800</v>
      </c>
      <c r="I1588" s="48" t="n"/>
      <c r="J1588" s="48" t="n"/>
      <c r="K1588" s="47">
        <f t="array" ref="K1588">_xlfn.XLOOKUP(1,(참조!$B$2:$B$15=E1588)*(참조!$D$2:$D$15=C1588)*(참조!$E$2:$E$15=D1588),참조!$C$2:$C$15,"")</f>
        <v/>
      </c>
    </row>
    <row r="1589" hidden="1" s="27">
      <c r="A1589" s="47" t="inlineStr">
        <is>
          <t>모빙</t>
        </is>
      </c>
      <c r="B1589" s="47" t="inlineStr">
        <is>
          <t>[L] 5G 100분5GB</t>
        </is>
      </c>
      <c r="C1589" s="47" t="inlineStr">
        <is>
          <t>100분</t>
        </is>
      </c>
      <c r="D1589" s="47" t="inlineStr">
        <is>
          <t>100건</t>
        </is>
      </c>
      <c r="E1589" s="47" t="inlineStr">
        <is>
          <t>월 5GB</t>
        </is>
      </c>
      <c r="F1589" s="47" t="inlineStr">
        <is>
          <t>LG U+</t>
        </is>
      </c>
      <c r="G1589" s="47" t="inlineStr">
        <is>
          <t>5G</t>
        </is>
      </c>
      <c r="H1589" s="48" t="n">
        <v>3800</v>
      </c>
      <c r="I1589" s="48" t="n"/>
      <c r="J1589" s="48" t="n"/>
      <c r="K1589" s="47">
        <f t="array" ref="K1589">_xlfn.XLOOKUP(1,(참조!$B$2:$B$15=E1589)*(참조!$D$2:$D$15=C1589)*(참조!$E$2:$E$15=D1589),참조!$C$2:$C$15,"")</f>
        <v/>
      </c>
    </row>
    <row r="1590" hidden="1" s="27">
      <c r="A1590" s="47" t="inlineStr">
        <is>
          <t>모빙</t>
        </is>
      </c>
      <c r="B1590" s="47" t="inlineStr">
        <is>
          <t>[L] 라운지프리 100분15GB+</t>
        </is>
      </c>
      <c r="C1590" s="47" t="inlineStr">
        <is>
          <t>100분</t>
        </is>
      </c>
      <c r="D1590" s="47" t="inlineStr">
        <is>
          <t>100건</t>
        </is>
      </c>
      <c r="E1590" s="47" t="inlineStr">
        <is>
          <t>월 15GB + 3Mbps</t>
        </is>
      </c>
      <c r="F1590" s="47" t="inlineStr">
        <is>
          <t>LG U+</t>
        </is>
      </c>
      <c r="G1590" s="47" t="inlineStr">
        <is>
          <t>LTE</t>
        </is>
      </c>
      <c r="H1590" s="48" t="n">
        <v>24000</v>
      </c>
      <c r="I1590" s="48" t="n">
        <v>24</v>
      </c>
      <c r="J1590" s="48" t="n">
        <v>39000</v>
      </c>
      <c r="K1590" s="47">
        <f t="array" ref="K1590">_xlfn.XLOOKUP(1,(참조!$B$2:$B$15=E1590)*(참조!$D$2:$D$15=C1590)*(참조!$E$2:$E$15=D1590),참조!$C$2:$C$15,"")</f>
        <v/>
      </c>
    </row>
    <row r="1591" hidden="1" s="27">
      <c r="A1591" s="47" t="inlineStr">
        <is>
          <t>아이즈모바일</t>
        </is>
      </c>
      <c r="B1591" s="47" t="inlineStr">
        <is>
          <t>[S]음성자유/7GB</t>
        </is>
      </c>
      <c r="C1591" s="47" t="inlineStr">
        <is>
          <t>무제한</t>
        </is>
      </c>
      <c r="D1591" s="47" t="inlineStr">
        <is>
          <t>100건</t>
        </is>
      </c>
      <c r="E1591" s="47" t="inlineStr">
        <is>
          <t>월 7GB</t>
        </is>
      </c>
      <c r="F1591" s="47" t="inlineStr">
        <is>
          <t>SKT</t>
        </is>
      </c>
      <c r="G1591" s="47" t="inlineStr">
        <is>
          <t>LTE</t>
        </is>
      </c>
      <c r="H1591" s="48" t="n">
        <v>1550</v>
      </c>
      <c r="I1591" s="48" t="n">
        <v>7</v>
      </c>
      <c r="J1591" s="48" t="n">
        <v>25300</v>
      </c>
      <c r="K1591" s="47">
        <f t="array" ref="K1591">_xlfn.XLOOKUP(1,(참조!$B$2:$B$15=E1591)*(참조!$D$2:$D$15=C1591)*(참조!$E$2:$E$15=D1591),참조!$C$2:$C$15,"")</f>
        <v/>
      </c>
    </row>
    <row r="1592" hidden="1" s="27">
      <c r="A1592" s="47" t="inlineStr">
        <is>
          <t>모빙</t>
        </is>
      </c>
      <c r="B1592" s="47" t="inlineStr">
        <is>
          <t>[K] 다이소 15GB+</t>
        </is>
      </c>
      <c r="C1592" s="47" t="inlineStr">
        <is>
          <t>무제한</t>
        </is>
      </c>
      <c r="D1592" s="47" t="inlineStr">
        <is>
          <t>무제한</t>
        </is>
      </c>
      <c r="E1592" s="47" t="inlineStr">
        <is>
          <t>월 15GB + 1Mbps</t>
        </is>
      </c>
      <c r="F1592" s="47" t="inlineStr">
        <is>
          <t>KT</t>
        </is>
      </c>
      <c r="G1592" s="47" t="inlineStr">
        <is>
          <t>LTE</t>
        </is>
      </c>
      <c r="H1592" s="48" t="n">
        <v>13200</v>
      </c>
      <c r="I1592" s="48" t="n">
        <v>7</v>
      </c>
      <c r="J1592" s="48" t="n">
        <v>34100</v>
      </c>
      <c r="K1592" s="47">
        <f t="array" ref="K1592">_xlfn.XLOOKUP(1,(참조!$B$2:$B$15=E1592)*(참조!$D$2:$D$15=C1592)*(참조!$E$2:$E$15=D1592),참조!$C$2:$C$15,"")</f>
        <v/>
      </c>
    </row>
    <row r="1593" hidden="1" s="27">
      <c r="A1593" s="47" t="inlineStr">
        <is>
          <t>모빙</t>
        </is>
      </c>
      <c r="B1593" s="47" t="inlineStr">
        <is>
          <t>[K] CU편의점 15GB+</t>
        </is>
      </c>
      <c r="C1593" s="47" t="inlineStr">
        <is>
          <t>무제한</t>
        </is>
      </c>
      <c r="D1593" s="47" t="inlineStr">
        <is>
          <t>무제한</t>
        </is>
      </c>
      <c r="E1593" s="47" t="inlineStr">
        <is>
          <t>월 15GB + 1Mbps</t>
        </is>
      </c>
      <c r="F1593" s="47" t="inlineStr">
        <is>
          <t>KT</t>
        </is>
      </c>
      <c r="G1593" s="47" t="inlineStr">
        <is>
          <t>LTE</t>
        </is>
      </c>
      <c r="H1593" s="48" t="n">
        <v>13200</v>
      </c>
      <c r="I1593" s="48" t="n">
        <v>7</v>
      </c>
      <c r="J1593" s="48" t="n">
        <v>36300</v>
      </c>
      <c r="K1593" s="47">
        <f t="array" ref="K1593">_xlfn.XLOOKUP(1,(참조!$B$2:$B$15=E1593)*(참조!$D$2:$D$15=C1593)*(참조!$E$2:$E$15=D1593),참조!$C$2:$C$15,"")</f>
        <v/>
      </c>
    </row>
    <row r="1594" hidden="1" s="27">
      <c r="A1594" s="47" t="inlineStr">
        <is>
          <t>모빙</t>
        </is>
      </c>
      <c r="B1594" s="47" t="inlineStr">
        <is>
          <t>[K] 밀리의서재 15GB+</t>
        </is>
      </c>
      <c r="C1594" s="47" t="inlineStr">
        <is>
          <t>무제한</t>
        </is>
      </c>
      <c r="D1594" s="47" t="inlineStr">
        <is>
          <t>무제한</t>
        </is>
      </c>
      <c r="E1594" s="47" t="inlineStr">
        <is>
          <t>월 15GB + 1Mbps</t>
        </is>
      </c>
      <c r="F1594" s="47" t="inlineStr">
        <is>
          <t>KT</t>
        </is>
      </c>
      <c r="G1594" s="47" t="inlineStr">
        <is>
          <t>LTE</t>
        </is>
      </c>
      <c r="H1594" s="48" t="n">
        <v>13200</v>
      </c>
      <c r="I1594" s="48" t="n">
        <v>7</v>
      </c>
      <c r="J1594" s="48" t="n">
        <v>31900</v>
      </c>
      <c r="K1594" s="47">
        <f t="array" ref="K1594">_xlfn.XLOOKUP(1,(참조!$B$2:$B$15=E1594)*(참조!$D$2:$D$15=C1594)*(참조!$E$2:$E$15=D1594),참조!$C$2:$C$15,"")</f>
        <v/>
      </c>
    </row>
    <row r="1595" hidden="1" s="27">
      <c r="A1595" s="47" t="inlineStr">
        <is>
          <t>에이모바일</t>
        </is>
      </c>
      <c r="B1595" s="47" t="inlineStr">
        <is>
          <t>A 올라잇 11GB+ 밀리의서재(+추가 네이버페이 1만x7개월)</t>
        </is>
      </c>
      <c r="C1595" s="47" t="inlineStr">
        <is>
          <t>무제한</t>
        </is>
      </c>
      <c r="D1595" s="47" t="inlineStr">
        <is>
          <t>무제한</t>
        </is>
      </c>
      <c r="E1595" s="47" t="inlineStr">
        <is>
          <t>월 11GB + 매일 2GB + 3Mbps</t>
        </is>
      </c>
      <c r="F1595" s="47" t="inlineStr">
        <is>
          <t>KT</t>
        </is>
      </c>
      <c r="G1595" s="47" t="inlineStr">
        <is>
          <t>LTE</t>
        </is>
      </c>
      <c r="H1595" s="48" t="n">
        <v>17900</v>
      </c>
      <c r="I1595" s="48" t="n">
        <v>7</v>
      </c>
      <c r="J1595" s="48" t="n">
        <v>39600</v>
      </c>
      <c r="K1595" s="47">
        <f t="array" ref="K1595">_xlfn.XLOOKUP(1,(참조!$B$2:$B$15=E1595)*(참조!$D$2:$D$15=C1595)*(참조!$E$2:$E$15=D1595),참조!$C$2:$C$15,"")</f>
        <v/>
      </c>
    </row>
    <row r="1596" hidden="1" s="27">
      <c r="A1596" s="47" t="inlineStr">
        <is>
          <t>스마텔</t>
        </is>
      </c>
      <c r="B1596" s="47" t="inlineStr">
        <is>
          <t>USIM 스마일 5G망 (200분/10GB)</t>
        </is>
      </c>
      <c r="C1596" s="47" t="inlineStr">
        <is>
          <t>200분</t>
        </is>
      </c>
      <c r="D1596" s="47" t="inlineStr">
        <is>
          <t>100건</t>
        </is>
      </c>
      <c r="E1596" s="47" t="inlineStr">
        <is>
          <t>월 10GB</t>
        </is>
      </c>
      <c r="F1596" s="47" t="inlineStr">
        <is>
          <t>SKT</t>
        </is>
      </c>
      <c r="G1596" s="47" t="inlineStr">
        <is>
          <t>5G</t>
        </is>
      </c>
      <c r="H1596" s="48" t="n">
        <v>8800</v>
      </c>
      <c r="I1596" s="48" t="n">
        <v>5</v>
      </c>
      <c r="J1596" s="48" t="n">
        <v>17600</v>
      </c>
      <c r="K1596" s="47">
        <f t="array" ref="K1596">_xlfn.XLOOKUP(1,(참조!$B$2:$B$15=E1596)*(참조!$D$2:$D$15=C1596)*(참조!$E$2:$E$15=D1596),참조!$C$2:$C$15,"")</f>
        <v/>
      </c>
    </row>
    <row r="1597" hidden="1" s="27">
      <c r="A1597" s="47" t="inlineStr">
        <is>
          <t>찬스모바일</t>
        </is>
      </c>
      <c r="B1597" s="47" t="inlineStr">
        <is>
          <t>5G 음성기본 스탠다드31+</t>
        </is>
      </c>
      <c r="C1597" s="47" t="inlineStr">
        <is>
          <t>무제한</t>
        </is>
      </c>
      <c r="D1597" s="47" t="inlineStr">
        <is>
          <t>무제한</t>
        </is>
      </c>
      <c r="E1597" s="47" t="inlineStr">
        <is>
          <t>월 31GB + 1Mbps</t>
        </is>
      </c>
      <c r="F1597" s="47" t="inlineStr">
        <is>
          <t>LG U+</t>
        </is>
      </c>
      <c r="G1597" s="47" t="inlineStr">
        <is>
          <t>5G</t>
        </is>
      </c>
      <c r="H1597" s="48" t="n">
        <v>22500</v>
      </c>
      <c r="I1597" s="48" t="n">
        <v>7</v>
      </c>
      <c r="J1597" s="48" t="n">
        <v>44000</v>
      </c>
      <c r="K1597" s="47">
        <f t="array" ref="K1597">_xlfn.XLOOKUP(1,(참조!$B$2:$B$15=E1597)*(참조!$D$2:$D$15=C1597)*(참조!$E$2:$E$15=D1597),참조!$C$2:$C$15,"")</f>
        <v/>
      </c>
    </row>
    <row r="1598" hidden="1" s="27">
      <c r="A1598" s="47" t="inlineStr">
        <is>
          <t>에이모바일</t>
        </is>
      </c>
      <c r="B1598" s="47" t="inlineStr">
        <is>
          <t>A 5G 갓성비 10GB/200분</t>
        </is>
      </c>
      <c r="C1598" s="47" t="inlineStr">
        <is>
          <t>200분</t>
        </is>
      </c>
      <c r="D1598" s="47" t="inlineStr">
        <is>
          <t>100건</t>
        </is>
      </c>
      <c r="E1598" s="47" t="inlineStr">
        <is>
          <t>월 10GB</t>
        </is>
      </c>
      <c r="F1598" s="47" t="inlineStr">
        <is>
          <t>LG U+</t>
        </is>
      </c>
      <c r="G1598" s="47" t="inlineStr">
        <is>
          <t>5G</t>
        </is>
      </c>
      <c r="H1598" s="48" t="n">
        <v>3300</v>
      </c>
      <c r="I1598" s="48" t="n">
        <v>6</v>
      </c>
      <c r="J1598" s="48" t="n">
        <v>12100</v>
      </c>
      <c r="K1598" s="47">
        <f t="array" ref="K1598">_xlfn.XLOOKUP(1,(참조!$B$2:$B$15=E1598)*(참조!$D$2:$D$15=C1598)*(참조!$E$2:$E$15=D1598),참조!$C$2:$C$15,"")</f>
        <v/>
      </c>
    </row>
    <row r="1599" hidden="1" s="27">
      <c r="A1599" s="47" t="inlineStr">
        <is>
          <t>아이즈모바일</t>
        </is>
      </c>
      <c r="B1599" s="47" t="inlineStr">
        <is>
          <t>[L]5G 데이터안심(200분/6GB+)</t>
        </is>
      </c>
      <c r="C1599" s="47" t="inlineStr">
        <is>
          <t>200분</t>
        </is>
      </c>
      <c r="D1599" s="47" t="inlineStr">
        <is>
          <t>100건</t>
        </is>
      </c>
      <c r="E1599" s="47" t="inlineStr">
        <is>
          <t>월 6GB + 1Mbps</t>
        </is>
      </c>
      <c r="F1599" s="47" t="inlineStr">
        <is>
          <t>LG U+</t>
        </is>
      </c>
      <c r="G1599" s="47" t="inlineStr">
        <is>
          <t>5G</t>
        </is>
      </c>
      <c r="H1599" s="48" t="n">
        <v>660</v>
      </c>
      <c r="I1599" s="48" t="n">
        <v>6</v>
      </c>
      <c r="J1599" s="48" t="n">
        <v>16500</v>
      </c>
      <c r="K1599" s="47">
        <f t="array" ref="K1599">_xlfn.XLOOKUP(1,(참조!$B$2:$B$15=E1599)*(참조!$D$2:$D$15=C1599)*(참조!$E$2:$E$15=D1599),참조!$C$2:$C$15,"")</f>
        <v/>
      </c>
    </row>
    <row r="1600" hidden="1" s="27">
      <c r="A1600" s="47" t="inlineStr">
        <is>
          <t>스마텔</t>
        </is>
      </c>
      <c r="B1600" s="47" t="inlineStr">
        <is>
          <t>후후 플러스 (200분+1GB)</t>
        </is>
      </c>
      <c r="C1600" s="47" t="inlineStr">
        <is>
          <t>200분</t>
        </is>
      </c>
      <c r="D1600" s="47" t="inlineStr">
        <is>
          <t>100건</t>
        </is>
      </c>
      <c r="E1600" s="47" t="inlineStr">
        <is>
          <t>월 1GB</t>
        </is>
      </c>
      <c r="F1600" s="47" t="inlineStr">
        <is>
          <t>SKT</t>
        </is>
      </c>
      <c r="G1600" s="47" t="inlineStr">
        <is>
          <t>LTE</t>
        </is>
      </c>
      <c r="H1600" s="48" t="n">
        <v>2150</v>
      </c>
      <c r="I1600" s="48" t="n">
        <v>5</v>
      </c>
      <c r="J1600" s="48" t="n">
        <v>6330</v>
      </c>
      <c r="K1600" s="47">
        <f t="array" ref="K1600">_xlfn.XLOOKUP(1,(참조!$B$2:$B$15=E1600)*(참조!$D$2:$D$15=C1600)*(참조!$E$2:$E$15=D1600),참조!$C$2:$C$15,"")</f>
        <v/>
      </c>
    </row>
    <row r="1601" hidden="1" s="27">
      <c r="A1601" s="47" t="inlineStr">
        <is>
          <t>아이즈모바일</t>
        </is>
      </c>
      <c r="B1601" s="47" t="inlineStr">
        <is>
          <t>세이브머니유심(100분/5GB+)</t>
        </is>
      </c>
      <c r="C1601" s="47" t="inlineStr">
        <is>
          <t>100분</t>
        </is>
      </c>
      <c r="D1601" s="47" t="inlineStr">
        <is>
          <t>100건</t>
        </is>
      </c>
      <c r="E1601" s="47" t="inlineStr">
        <is>
          <t>월 5GB + 1Mbps</t>
        </is>
      </c>
      <c r="F1601" s="47" t="inlineStr">
        <is>
          <t>LG U+</t>
        </is>
      </c>
      <c r="G1601" s="47" t="inlineStr">
        <is>
          <t>LTE</t>
        </is>
      </c>
      <c r="H1601" s="48" t="n">
        <v>4900</v>
      </c>
      <c r="I1601" s="48" t="n"/>
      <c r="J1601" s="48" t="n"/>
      <c r="K1601" s="47">
        <f t="array" ref="K1601">_xlfn.XLOOKUP(1,(참조!$B$2:$B$15=E1601)*(참조!$D$2:$D$15=C1601)*(참조!$E$2:$E$15=D1601),참조!$C$2:$C$15,"")</f>
        <v/>
      </c>
    </row>
    <row r="1602" hidden="1" s="27">
      <c r="A1602" s="47" t="inlineStr">
        <is>
          <t>티플러스</t>
        </is>
      </c>
      <c r="B1602" s="47" t="inlineStr">
        <is>
          <t>티플 드림(3GB/100분)</t>
        </is>
      </c>
      <c r="C1602" s="47" t="inlineStr">
        <is>
          <t>100분</t>
        </is>
      </c>
      <c r="D1602" s="47" t="inlineStr">
        <is>
          <t>100건</t>
        </is>
      </c>
      <c r="E1602" s="47" t="inlineStr">
        <is>
          <t>월 3GB</t>
        </is>
      </c>
      <c r="F1602" s="47" t="inlineStr">
        <is>
          <t>SKT</t>
        </is>
      </c>
      <c r="G1602" s="47" t="inlineStr">
        <is>
          <t>LTE</t>
        </is>
      </c>
      <c r="H1602" s="48" t="n">
        <v>1900</v>
      </c>
      <c r="I1602" s="48" t="n">
        <v>4</v>
      </c>
      <c r="J1602" s="48" t="n">
        <v>6600</v>
      </c>
      <c r="K1602" s="47">
        <f t="array" ref="K1602">_xlfn.XLOOKUP(1,(참조!$B$2:$B$15=E1602)*(참조!$D$2:$D$15=C1602)*(참조!$E$2:$E$15=D1602),참조!$C$2:$C$15,"")</f>
        <v/>
      </c>
    </row>
    <row r="1603" hidden="1" s="27">
      <c r="A1603" s="47" t="inlineStr">
        <is>
          <t>모빙</t>
        </is>
      </c>
      <c r="B1603" s="47" t="inlineStr">
        <is>
          <t>[K] 250분2.5GB</t>
        </is>
      </c>
      <c r="C1603" s="47" t="inlineStr">
        <is>
          <t>250분</t>
        </is>
      </c>
      <c r="D1603" s="47" t="inlineStr">
        <is>
          <t>250건</t>
        </is>
      </c>
      <c r="E1603" s="47" t="inlineStr">
        <is>
          <t>월 2.5GB</t>
        </is>
      </c>
      <c r="F1603" s="47" t="inlineStr">
        <is>
          <t>KT</t>
        </is>
      </c>
      <c r="G1603" s="47" t="inlineStr">
        <is>
          <t>LTE</t>
        </is>
      </c>
      <c r="H1603" s="48" t="n">
        <v>110</v>
      </c>
      <c r="I1603" s="48" t="n">
        <v>5</v>
      </c>
      <c r="J1603" s="48" t="n">
        <v>13200</v>
      </c>
      <c r="K1603" s="47">
        <f t="array" ref="K1603">_xlfn.XLOOKUP(1,(참조!$B$2:$B$15=E1603)*(참조!$D$2:$D$15=C1603)*(참조!$E$2:$E$15=D1603),참조!$C$2:$C$15,"")</f>
        <v/>
      </c>
    </row>
    <row r="1604" hidden="1" s="27">
      <c r="A1604" s="47" t="inlineStr">
        <is>
          <t>리브모바일</t>
        </is>
      </c>
      <c r="B1604" s="47" t="inlineStr">
        <is>
          <t>LTE 실속 15GB+(100분) / 11월에 개통하면 최대 11.9만원 혜택</t>
        </is>
      </c>
      <c r="C1604" s="47" t="inlineStr">
        <is>
          <t>100분</t>
        </is>
      </c>
      <c r="D1604" s="47" t="inlineStr">
        <is>
          <t>100건</t>
        </is>
      </c>
      <c r="E1604" s="47" t="inlineStr">
        <is>
          <t>월 15GB + 3Mbps</t>
        </is>
      </c>
      <c r="F1604" s="47" t="inlineStr">
        <is>
          <t>KT</t>
        </is>
      </c>
      <c r="G1604" s="47" t="inlineStr">
        <is>
          <t>LTE</t>
        </is>
      </c>
      <c r="H1604" s="48" t="n">
        <v>24100</v>
      </c>
      <c r="I1604" s="48" t="n">
        <v>12</v>
      </c>
      <c r="J1604" s="48" t="n">
        <v>28500</v>
      </c>
      <c r="K1604" s="47">
        <f t="array" ref="K1604">_xlfn.XLOOKUP(1,(참조!$B$2:$B$15=E1604)*(참조!$D$2:$D$15=C1604)*(참조!$E$2:$E$15=D1604),참조!$C$2:$C$15,"")</f>
        <v/>
      </c>
    </row>
    <row r="1605" hidden="1" s="27">
      <c r="A1605" s="47" t="inlineStr">
        <is>
          <t>모빙</t>
        </is>
      </c>
      <c r="B1605" s="47" t="inlineStr">
        <is>
          <t>[S] 컬쳐랜드 11GB+</t>
        </is>
      </c>
      <c r="C1605" s="47" t="inlineStr">
        <is>
          <t>무제한</t>
        </is>
      </c>
      <c r="D1605" s="47" t="inlineStr">
        <is>
          <t>무제한</t>
        </is>
      </c>
      <c r="E1605" s="47" t="inlineStr">
        <is>
          <t>월 11GB + 매일 2GB + 3Mbps</t>
        </is>
      </c>
      <c r="F1605" s="47" t="inlineStr">
        <is>
          <t>SKT</t>
        </is>
      </c>
      <c r="G1605" s="47" t="inlineStr">
        <is>
          <t>LTE</t>
        </is>
      </c>
      <c r="H1605" s="48" t="n">
        <v>18000</v>
      </c>
      <c r="I1605" s="48" t="n">
        <v>7</v>
      </c>
      <c r="J1605" s="48" t="n">
        <v>55000</v>
      </c>
      <c r="K1605" s="47">
        <f t="array" ref="K1605">_xlfn.XLOOKUP(1,(참조!$B$2:$B$15=E1605)*(참조!$D$2:$D$15=C1605)*(참조!$E$2:$E$15=D1605),참조!$C$2:$C$15,"")</f>
        <v/>
      </c>
    </row>
    <row r="1606" hidden="1" s="27">
      <c r="A1606" s="47" t="inlineStr">
        <is>
          <t>아이즈모바일</t>
        </is>
      </c>
      <c r="B1606" s="47" t="inlineStr">
        <is>
          <t>[K]5G 네이버페이 200GB+</t>
        </is>
      </c>
      <c r="C1606" s="47" t="inlineStr">
        <is>
          <t>무제한</t>
        </is>
      </c>
      <c r="D1606" s="47" t="inlineStr">
        <is>
          <t>무제한</t>
        </is>
      </c>
      <c r="E1606" s="47" t="inlineStr">
        <is>
          <t>월 200GB + 10Mbps</t>
        </is>
      </c>
      <c r="F1606" s="47" t="inlineStr">
        <is>
          <t>KT</t>
        </is>
      </c>
      <c r="G1606" s="47" t="inlineStr">
        <is>
          <t>5G</t>
        </is>
      </c>
      <c r="H1606" s="48" t="n">
        <v>18900</v>
      </c>
      <c r="I1606" s="48" t="n">
        <v>7</v>
      </c>
      <c r="J1606" s="48" t="n">
        <v>66000</v>
      </c>
      <c r="K1606" s="47">
        <f t="array" ref="K1606">_xlfn.XLOOKUP(1,(참조!$B$2:$B$15=E1606)*(참조!$D$2:$D$15=C1606)*(참조!$E$2:$E$15=D1606),참조!$C$2:$C$15,"")</f>
        <v/>
      </c>
    </row>
    <row r="1607" hidden="1" s="27">
      <c r="A1607" s="47" t="inlineStr">
        <is>
          <t>슈가모바일</t>
        </is>
      </c>
      <c r="B1607" s="47" t="inlineStr">
        <is>
          <t>Sugar 7GB+1M</t>
        </is>
      </c>
      <c r="C1607" s="47" t="inlineStr">
        <is>
          <t>무제한</t>
        </is>
      </c>
      <c r="D1607" s="47" t="inlineStr">
        <is>
          <t>무제한</t>
        </is>
      </c>
      <c r="E1607" s="47" t="inlineStr">
        <is>
          <t>월 7GB + 1Mbps</t>
        </is>
      </c>
      <c r="F1607" s="47" t="inlineStr">
        <is>
          <t>LG U+</t>
        </is>
      </c>
      <c r="G1607" s="47" t="inlineStr">
        <is>
          <t>LTE</t>
        </is>
      </c>
      <c r="H1607" s="48" t="n">
        <v>7900</v>
      </c>
      <c r="I1607" s="48" t="n">
        <v>7</v>
      </c>
      <c r="J1607" s="48" t="n">
        <v>21980</v>
      </c>
      <c r="K1607" s="47">
        <f t="array" ref="K1607">_xlfn.XLOOKUP(1,(참조!$B$2:$B$15=E1607)*(참조!$D$2:$D$15=C1607)*(참조!$E$2:$E$15=D1607),참조!$C$2:$C$15,"")</f>
        <v/>
      </c>
    </row>
    <row r="1608" hidden="1" s="27">
      <c r="A1608" s="47" t="inlineStr">
        <is>
          <t>리브모바일</t>
        </is>
      </c>
      <c r="B1608" s="47" t="inlineStr">
        <is>
          <t>LTE 150GB+</t>
        </is>
      </c>
      <c r="C1608" s="47" t="inlineStr">
        <is>
          <t>무제한</t>
        </is>
      </c>
      <c r="D1608" s="47" t="inlineStr">
        <is>
          <t>무제한</t>
        </is>
      </c>
      <c r="E1608" s="47" t="inlineStr">
        <is>
          <t>매일 5GB + 5Mbps</t>
        </is>
      </c>
      <c r="F1608" s="47" t="inlineStr">
        <is>
          <t>LG U+</t>
        </is>
      </c>
      <c r="G1608" s="47" t="inlineStr">
        <is>
          <t>LTE</t>
        </is>
      </c>
      <c r="H1608" s="48" t="n">
        <v>37000</v>
      </c>
      <c r="I1608" s="48" t="n">
        <v>12</v>
      </c>
      <c r="J1608" s="48" t="n">
        <v>41400</v>
      </c>
      <c r="K1608" s="47">
        <f t="array" ref="K1608">_xlfn.XLOOKUP(1,(참조!$B$2:$B$15=E1608)*(참조!$D$2:$D$15=C1608)*(참조!$E$2:$E$15=D1608),참조!$C$2:$C$15,"")</f>
        <v/>
      </c>
    </row>
    <row r="1609" hidden="1" s="27">
      <c r="A1609" s="47" t="inlineStr">
        <is>
          <t>이야기모바일</t>
        </is>
      </c>
      <c r="B1609" s="47" t="inlineStr">
        <is>
          <t>이야기 라이트 100분1GB+</t>
        </is>
      </c>
      <c r="C1609" s="47" t="inlineStr">
        <is>
          <t>100분</t>
        </is>
      </c>
      <c r="D1609" s="47" t="inlineStr">
        <is>
          <t>100건</t>
        </is>
      </c>
      <c r="E1609" s="47" t="inlineStr">
        <is>
          <t>월 1GB + 1Mbps</t>
        </is>
      </c>
      <c r="F1609" s="47" t="inlineStr">
        <is>
          <t>LG U+</t>
        </is>
      </c>
      <c r="G1609" s="47" t="inlineStr">
        <is>
          <t>LTE</t>
        </is>
      </c>
      <c r="H1609" s="48" t="n">
        <v>7700</v>
      </c>
      <c r="I1609" s="48" t="n"/>
      <c r="J1609" s="48" t="n"/>
      <c r="K1609" s="47">
        <f t="array" ref="K1609">_xlfn.XLOOKUP(1,(참조!$B$2:$B$15=E1609)*(참조!$D$2:$D$15=C1609)*(참조!$E$2:$E$15=D1609),참조!$C$2:$C$15,"")</f>
        <v/>
      </c>
    </row>
    <row r="1610" hidden="1" s="27">
      <c r="A1610" s="47" t="inlineStr">
        <is>
          <t>리브모바일</t>
        </is>
      </c>
      <c r="B1610" s="47" t="inlineStr">
        <is>
          <t>보이스피싱예방LTE7GB+(안심직거래)</t>
        </is>
      </c>
      <c r="C1610" s="47" t="inlineStr">
        <is>
          <t>무제한</t>
        </is>
      </c>
      <c r="D1610" s="47" t="inlineStr">
        <is>
          <t>무제한</t>
        </is>
      </c>
      <c r="E1610" s="47" t="inlineStr">
        <is>
          <t>월 7GB + 1Mbps</t>
        </is>
      </c>
      <c r="F1610" s="47" t="inlineStr">
        <is>
          <t>KT</t>
        </is>
      </c>
      <c r="G1610" s="47" t="inlineStr">
        <is>
          <t>LTE</t>
        </is>
      </c>
      <c r="H1610" s="48" t="n">
        <v>15100</v>
      </c>
      <c r="I1610" s="48" t="n">
        <v>12</v>
      </c>
      <c r="J1610" s="48" t="n">
        <v>19500</v>
      </c>
      <c r="K1610" s="47">
        <f t="array" ref="K1610">_xlfn.XLOOKUP(1,(참조!$B$2:$B$15=E1610)*(참조!$D$2:$D$15=C1610)*(참조!$E$2:$E$15=D1610),참조!$C$2:$C$15,"")</f>
        <v/>
      </c>
    </row>
    <row r="1611" hidden="1" s="27">
      <c r="A1611" s="47" t="inlineStr">
        <is>
          <t>티플러스</t>
        </is>
      </c>
      <c r="B1611" s="47" t="inlineStr">
        <is>
          <t>The 완전마음껏 10GB＋</t>
        </is>
      </c>
      <c r="C1611" s="47" t="inlineStr">
        <is>
          <t>무제한</t>
        </is>
      </c>
      <c r="D1611" s="47" t="inlineStr">
        <is>
          <t>무제한</t>
        </is>
      </c>
      <c r="E1611" s="47" t="inlineStr">
        <is>
          <t>월 10GB + 1Mbps</t>
        </is>
      </c>
      <c r="F1611" s="47" t="inlineStr">
        <is>
          <t>SKT</t>
        </is>
      </c>
      <c r="G1611" s="47" t="inlineStr">
        <is>
          <t>LTE</t>
        </is>
      </c>
      <c r="H1611" s="48" t="n">
        <v>8900</v>
      </c>
      <c r="I1611" s="48" t="n">
        <v>7</v>
      </c>
      <c r="J1611" s="48" t="n">
        <v>29700</v>
      </c>
      <c r="K1611" s="47">
        <f t="array" ref="K1611">_xlfn.XLOOKUP(1,(참조!$B$2:$B$15=E1611)*(참조!$D$2:$D$15=C1611)*(참조!$E$2:$E$15=D1611),참조!$C$2:$C$15,"")</f>
        <v/>
      </c>
    </row>
    <row r="1612" hidden="1" s="27">
      <c r="A1612" s="47" t="inlineStr">
        <is>
          <t>모빙</t>
        </is>
      </c>
      <c r="B1612" s="47" t="inlineStr">
        <is>
          <t>[S] 5G 300분6GB</t>
        </is>
      </c>
      <c r="C1612" s="47" t="inlineStr">
        <is>
          <t>300분</t>
        </is>
      </c>
      <c r="D1612" s="47" t="inlineStr">
        <is>
          <t>300건</t>
        </is>
      </c>
      <c r="E1612" s="47" t="inlineStr">
        <is>
          <t>월 6GB</t>
        </is>
      </c>
      <c r="F1612" s="47" t="inlineStr">
        <is>
          <t>SKT</t>
        </is>
      </c>
      <c r="G1612" s="47" t="inlineStr">
        <is>
          <t>5G</t>
        </is>
      </c>
      <c r="H1612" s="48" t="n">
        <v>5000</v>
      </c>
      <c r="I1612" s="48" t="n"/>
      <c r="J1612" s="48" t="n"/>
      <c r="K1612" s="47">
        <f t="array" ref="K1612">_xlfn.XLOOKUP(1,(참조!$B$2:$B$15=E1612)*(참조!$D$2:$D$15=C1612)*(참조!$E$2:$E$15=D1612),참조!$C$2:$C$15,"")</f>
        <v/>
      </c>
    </row>
    <row r="1613" hidden="1" s="27">
      <c r="A1613" s="47" t="inlineStr">
        <is>
          <t>티플러스</t>
        </is>
      </c>
      <c r="B1613" s="47" t="inlineStr">
        <is>
          <t>티플 위드유 10GB+ (G car+세차클링)</t>
        </is>
      </c>
      <c r="C1613" s="47" t="inlineStr">
        <is>
          <t>무제한</t>
        </is>
      </c>
      <c r="D1613" s="47" t="inlineStr">
        <is>
          <t>무제한</t>
        </is>
      </c>
      <c r="E1613" s="47" t="inlineStr">
        <is>
          <t>월 10GB + 1Mbps</t>
        </is>
      </c>
      <c r="F1613" s="47" t="inlineStr">
        <is>
          <t>SKT</t>
        </is>
      </c>
      <c r="G1613" s="47" t="inlineStr">
        <is>
          <t>LTE</t>
        </is>
      </c>
      <c r="H1613" s="48" t="n">
        <v>8900</v>
      </c>
      <c r="I1613" s="48" t="n">
        <v>7</v>
      </c>
      <c r="J1613" s="48" t="n">
        <v>29700</v>
      </c>
      <c r="K1613" s="47">
        <f t="array" ref="K1613">_xlfn.XLOOKUP(1,(참조!$B$2:$B$15=E1613)*(참조!$D$2:$D$15=C1613)*(참조!$E$2:$E$15=D1613),참조!$C$2:$C$15,"")</f>
        <v/>
      </c>
    </row>
    <row r="1614" hidden="1" s="27">
      <c r="A1614" s="47" t="inlineStr">
        <is>
          <t>리브모바일</t>
        </is>
      </c>
      <c r="B1614" s="47" t="inlineStr">
        <is>
          <t>LTE 15GB+(300분/300건)</t>
        </is>
      </c>
      <c r="C1614" s="47" t="inlineStr">
        <is>
          <t>300분</t>
        </is>
      </c>
      <c r="D1614" s="47" t="inlineStr">
        <is>
          <t>300건</t>
        </is>
      </c>
      <c r="E1614" s="47" t="inlineStr">
        <is>
          <t>월 15GB + 3Mbps</t>
        </is>
      </c>
      <c r="F1614" s="47" t="inlineStr">
        <is>
          <t>LG U+</t>
        </is>
      </c>
      <c r="G1614" s="47" t="inlineStr">
        <is>
          <t>LTE</t>
        </is>
      </c>
      <c r="H1614" s="48" t="n">
        <v>24500</v>
      </c>
      <c r="I1614" s="48" t="n">
        <v>12</v>
      </c>
      <c r="J1614" s="48" t="n">
        <v>28900</v>
      </c>
      <c r="K1614" s="47">
        <f t="array" ref="K1614">_xlfn.XLOOKUP(1,(참조!$B$2:$B$15=E1614)*(참조!$D$2:$D$15=C1614)*(참조!$E$2:$E$15=D1614),참조!$C$2:$C$15,"")</f>
        <v/>
      </c>
    </row>
    <row r="1615" hidden="1" s="27">
      <c r="A1615" s="47" t="inlineStr">
        <is>
          <t>이지모바일</t>
        </is>
      </c>
      <c r="B1615" s="47" t="inlineStr">
        <is>
          <t>EG 5G프리미엄 지니 200G+(지니뮤직)</t>
        </is>
      </c>
      <c r="C1615" s="47" t="inlineStr">
        <is>
          <t>무제한</t>
        </is>
      </c>
      <c r="D1615" s="47" t="inlineStr">
        <is>
          <t>무제한</t>
        </is>
      </c>
      <c r="E1615" s="47" t="inlineStr">
        <is>
          <t>월 200GB + 10Mbps</t>
        </is>
      </c>
      <c r="F1615" s="47" t="inlineStr">
        <is>
          <t>KT</t>
        </is>
      </c>
      <c r="G1615" s="47" t="inlineStr">
        <is>
          <t>5G</t>
        </is>
      </c>
      <c r="H1615" s="48" t="n">
        <v>31680</v>
      </c>
      <c r="I1615" s="48" t="n">
        <v>7</v>
      </c>
      <c r="J1615" s="48" t="n">
        <v>61600</v>
      </c>
      <c r="K1615" s="47">
        <f t="array" ref="K1615">_xlfn.XLOOKUP(1,(참조!$B$2:$B$15=E1615)*(참조!$D$2:$D$15=C1615)*(참조!$E$2:$E$15=D1615),참조!$C$2:$C$15,"")</f>
        <v/>
      </c>
    </row>
    <row r="1616" hidden="1" s="27">
      <c r="A1616" s="47" t="inlineStr">
        <is>
          <t>티플러스</t>
        </is>
      </c>
      <c r="B1616" s="47" t="inlineStr">
        <is>
          <t>티플 10G＋(CU멤버십＋매월 5000P)</t>
        </is>
      </c>
      <c r="C1616" s="47" t="inlineStr">
        <is>
          <t>무제한</t>
        </is>
      </c>
      <c r="D1616" s="47" t="inlineStr">
        <is>
          <t>무제한</t>
        </is>
      </c>
      <c r="E1616" s="47" t="inlineStr">
        <is>
          <t>월 10GB + 1Mbps</t>
        </is>
      </c>
      <c r="F1616" s="47" t="inlineStr">
        <is>
          <t>SKT</t>
        </is>
      </c>
      <c r="G1616" s="47" t="inlineStr">
        <is>
          <t>LTE</t>
        </is>
      </c>
      <c r="H1616" s="48" t="n">
        <v>8900</v>
      </c>
      <c r="I1616" s="48" t="n">
        <v>7</v>
      </c>
      <c r="J1616" s="48" t="n">
        <v>33000</v>
      </c>
      <c r="K1616" s="47">
        <f t="array" ref="K1616">_xlfn.XLOOKUP(1,(참조!$B$2:$B$15=E1616)*(참조!$D$2:$D$15=C1616)*(참조!$E$2:$E$15=D1616),참조!$C$2:$C$15,"")</f>
        <v/>
      </c>
    </row>
    <row r="1617" hidden="1" s="27">
      <c r="A1617" s="47" t="inlineStr">
        <is>
          <t>핀다이렉트</t>
        </is>
      </c>
      <c r="B1617" s="47" t="inlineStr">
        <is>
          <t>[모요only] [K] 핀다이렉트Z Mini + 밀리의서재 _PIN</t>
        </is>
      </c>
      <c r="C1617" s="47" t="inlineStr">
        <is>
          <t>무제한</t>
        </is>
      </c>
      <c r="D1617" s="47" t="inlineStr">
        <is>
          <t>무제한</t>
        </is>
      </c>
      <c r="E1617" s="47" t="inlineStr">
        <is>
          <t>월 7GB + 1Mbps</t>
        </is>
      </c>
      <c r="F1617" s="47" t="inlineStr">
        <is>
          <t>KT</t>
        </is>
      </c>
      <c r="G1617" s="47" t="inlineStr">
        <is>
          <t>LTE</t>
        </is>
      </c>
      <c r="H1617" s="48" t="n">
        <v>9900</v>
      </c>
      <c r="I1617" s="48" t="n">
        <v>7</v>
      </c>
      <c r="J1617" s="48" t="n">
        <v>22000</v>
      </c>
      <c r="K1617" s="47">
        <f t="array" ref="K1617">_xlfn.XLOOKUP(1,(참조!$B$2:$B$15=E1617)*(참조!$D$2:$D$15=C1617)*(참조!$E$2:$E$15=D1617),참조!$C$2:$C$15,"")</f>
        <v/>
      </c>
    </row>
    <row r="1618" hidden="1" s="27">
      <c r="A1618" s="47" t="inlineStr">
        <is>
          <t>이야기모바일</t>
        </is>
      </c>
      <c r="B1618" s="47" t="inlineStr">
        <is>
          <t>5G 이야기 라이트 50GB+</t>
        </is>
      </c>
      <c r="C1618" s="47" t="inlineStr">
        <is>
          <t>무제한</t>
        </is>
      </c>
      <c r="D1618" s="47" t="inlineStr">
        <is>
          <t>무제한</t>
        </is>
      </c>
      <c r="E1618" s="47" t="inlineStr">
        <is>
          <t>월 50GB + 1Mbps</t>
        </is>
      </c>
      <c r="F1618" s="47" t="inlineStr">
        <is>
          <t>LG U+</t>
        </is>
      </c>
      <c r="G1618" s="47" t="inlineStr">
        <is>
          <t>5G</t>
        </is>
      </c>
      <c r="H1618" s="48" t="n">
        <v>31900</v>
      </c>
      <c r="I1618" s="48" t="n">
        <v>7</v>
      </c>
      <c r="J1618" s="48" t="n">
        <v>45100</v>
      </c>
      <c r="K1618" s="47">
        <f t="array" ref="K1618">_xlfn.XLOOKUP(1,(참조!$B$2:$B$15=E1618)*(참조!$D$2:$D$15=C1618)*(참조!$E$2:$E$15=D1618),참조!$C$2:$C$15,"")</f>
        <v/>
      </c>
    </row>
    <row r="1619" hidden="1" s="27">
      <c r="A1619" s="47" t="inlineStr">
        <is>
          <t>이야기모바일</t>
        </is>
      </c>
      <c r="B1619" s="47" t="inlineStr">
        <is>
          <t>이야기K 데이터 7GB+(밀리의서재)</t>
        </is>
      </c>
      <c r="C1619" s="47" t="inlineStr">
        <is>
          <t>무제한</t>
        </is>
      </c>
      <c r="D1619" s="47" t="inlineStr">
        <is>
          <t>무제한</t>
        </is>
      </c>
      <c r="E1619" s="47" t="inlineStr">
        <is>
          <t>월 7GB + 1Mbps</t>
        </is>
      </c>
      <c r="F1619" s="47" t="inlineStr">
        <is>
          <t>KT</t>
        </is>
      </c>
      <c r="G1619" s="47" t="inlineStr">
        <is>
          <t>LTE</t>
        </is>
      </c>
      <c r="H1619" s="48" t="n">
        <v>9900</v>
      </c>
      <c r="I1619" s="48" t="n">
        <v>7</v>
      </c>
      <c r="J1619" s="48" t="n">
        <v>24200</v>
      </c>
      <c r="K1619" s="47">
        <f t="array" ref="K1619">_xlfn.XLOOKUP(1,(참조!$B$2:$B$15=E1619)*(참조!$D$2:$D$15=C1619)*(참조!$E$2:$E$15=D1619),참조!$C$2:$C$15,"")</f>
        <v/>
      </c>
    </row>
    <row r="1620" hidden="1" s="27">
      <c r="A1620" s="47" t="inlineStr">
        <is>
          <t>스마텔</t>
        </is>
      </c>
      <c r="B1620" s="47" t="inlineStr">
        <is>
          <t>5G 스위트 50GB+</t>
        </is>
      </c>
      <c r="C1620" s="47" t="inlineStr">
        <is>
          <t>무제한</t>
        </is>
      </c>
      <c r="D1620" s="47" t="inlineStr">
        <is>
          <t>무제한</t>
        </is>
      </c>
      <c r="E1620" s="47" t="inlineStr">
        <is>
          <t>월 50GB + 1Mbps</t>
        </is>
      </c>
      <c r="F1620" s="47" t="inlineStr">
        <is>
          <t>KT</t>
        </is>
      </c>
      <c r="G1620" s="47" t="inlineStr">
        <is>
          <t>5G</t>
        </is>
      </c>
      <c r="H1620" s="48" t="n">
        <v>41800</v>
      </c>
      <c r="I1620" s="48" t="n">
        <v>36</v>
      </c>
      <c r="J1620" s="48" t="n">
        <v>47300</v>
      </c>
      <c r="K1620" s="47">
        <f t="array" ref="K1620">_xlfn.XLOOKUP(1,(참조!$B$2:$B$15=E1620)*(참조!$D$2:$D$15=C1620)*(참조!$E$2:$E$15=D1620),참조!$C$2:$C$15,"")</f>
        <v/>
      </c>
    </row>
    <row r="1621" hidden="1" s="27">
      <c r="A1621" s="47" t="inlineStr">
        <is>
          <t>티플러스</t>
        </is>
      </c>
      <c r="B1621" s="47" t="inlineStr">
        <is>
          <t>5G 통화안심 10GB</t>
        </is>
      </c>
      <c r="C1621" s="47" t="inlineStr">
        <is>
          <t>무제한</t>
        </is>
      </c>
      <c r="D1621" s="47" t="inlineStr">
        <is>
          <t>100건</t>
        </is>
      </c>
      <c r="E1621" s="47" t="inlineStr">
        <is>
          <t>월 10GB</t>
        </is>
      </c>
      <c r="F1621" s="47" t="inlineStr">
        <is>
          <t>SKT</t>
        </is>
      </c>
      <c r="G1621" s="47" t="inlineStr">
        <is>
          <t>5G</t>
        </is>
      </c>
      <c r="H1621" s="48" t="n">
        <v>7900</v>
      </c>
      <c r="I1621" s="48" t="n">
        <v>4</v>
      </c>
      <c r="J1621" s="48" t="n">
        <v>19800</v>
      </c>
      <c r="K1621" s="47">
        <f t="array" ref="K1621">_xlfn.XLOOKUP(1,(참조!$B$2:$B$15=E1621)*(참조!$D$2:$D$15=C1621)*(참조!$E$2:$E$15=D1621),참조!$C$2:$C$15,"")</f>
        <v/>
      </c>
    </row>
    <row r="1622" hidden="1" s="27">
      <c r="A1622" s="47" t="inlineStr">
        <is>
          <t>이야기모바일</t>
        </is>
      </c>
      <c r="B1622" s="47" t="inlineStr">
        <is>
          <t>내맘대로 차단형 (100분+500MB)</t>
        </is>
      </c>
      <c r="C1622" s="47" t="inlineStr">
        <is>
          <t>100분</t>
        </is>
      </c>
      <c r="D1622" s="47" t="inlineStr">
        <is>
          <t>50건</t>
        </is>
      </c>
      <c r="E1622" s="47" t="inlineStr">
        <is>
          <t>월 500MB</t>
        </is>
      </c>
      <c r="F1622" s="47" t="inlineStr">
        <is>
          <t>LG U+</t>
        </is>
      </c>
      <c r="G1622" s="47" t="inlineStr">
        <is>
          <t>LTE</t>
        </is>
      </c>
      <c r="H1622" s="48" t="n">
        <v>6930</v>
      </c>
      <c r="I1622" s="48" t="n"/>
      <c r="J1622" s="48" t="n"/>
      <c r="K1622" s="47">
        <f t="array" ref="K1622">_xlfn.XLOOKUP(1,(참조!$B$2:$B$15=E1622)*(참조!$D$2:$D$15=C1622)*(참조!$E$2:$E$15=D1622),참조!$C$2:$C$15,"")</f>
        <v/>
      </c>
    </row>
    <row r="1623" hidden="1" s="27">
      <c r="A1623" s="47" t="inlineStr">
        <is>
          <t>아이즈모바일</t>
        </is>
      </c>
      <c r="B1623" s="47" t="inlineStr">
        <is>
          <t>[S]무한7GB+</t>
        </is>
      </c>
      <c r="C1623" s="47" t="inlineStr">
        <is>
          <t>무제한</t>
        </is>
      </c>
      <c r="D1623" s="47" t="inlineStr">
        <is>
          <t>무제한</t>
        </is>
      </c>
      <c r="E1623" s="47" t="inlineStr">
        <is>
          <t>월 7GB + 1Mbps</t>
        </is>
      </c>
      <c r="F1623" s="47" t="inlineStr">
        <is>
          <t>SKT</t>
        </is>
      </c>
      <c r="G1623" s="47" t="inlineStr">
        <is>
          <t>LTE</t>
        </is>
      </c>
      <c r="H1623" s="48" t="n">
        <v>15900</v>
      </c>
      <c r="I1623" s="48" t="n">
        <v>36</v>
      </c>
      <c r="J1623" s="48" t="n">
        <v>23900</v>
      </c>
      <c r="K1623" s="47">
        <f t="array" ref="K1623">_xlfn.XLOOKUP(1,(참조!$B$2:$B$15=E1623)*(참조!$D$2:$D$15=C1623)*(참조!$E$2:$E$15=D1623),참조!$C$2:$C$15,"")</f>
        <v/>
      </c>
    </row>
    <row r="1624" hidden="1" s="27">
      <c r="A1624" s="47" t="inlineStr">
        <is>
          <t>이지모바일</t>
        </is>
      </c>
      <c r="B1624" s="47" t="inlineStr">
        <is>
          <t>이지 무한 7G+1</t>
        </is>
      </c>
      <c r="C1624" s="47" t="inlineStr">
        <is>
          <t>무제한</t>
        </is>
      </c>
      <c r="D1624" s="47" t="inlineStr">
        <is>
          <t>무제한</t>
        </is>
      </c>
      <c r="E1624" s="47" t="inlineStr">
        <is>
          <t>월 7GB + 1Mbps</t>
        </is>
      </c>
      <c r="F1624" s="47" t="inlineStr">
        <is>
          <t>LG U+</t>
        </is>
      </c>
      <c r="G1624" s="47" t="inlineStr">
        <is>
          <t>LTE</t>
        </is>
      </c>
      <c r="H1624" s="48" t="n">
        <v>9500</v>
      </c>
      <c r="I1624" s="48" t="n">
        <v>7</v>
      </c>
      <c r="J1624" s="48" t="n">
        <v>20900</v>
      </c>
      <c r="K1624" s="47">
        <f t="array" ref="K1624">_xlfn.XLOOKUP(1,(참조!$B$2:$B$15=E1624)*(참조!$D$2:$D$15=C1624)*(참조!$E$2:$E$15=D1624),참조!$C$2:$C$15,"")</f>
        <v/>
      </c>
    </row>
    <row r="1625" hidden="1" s="27">
      <c r="A1625" s="47" t="inlineStr">
        <is>
          <t>KG모바일</t>
        </is>
      </c>
      <c r="B1625" s="47" t="inlineStr">
        <is>
          <t>[모빌카드 스페셜] 통화, 데이터 마음대로 10GB+</t>
        </is>
      </c>
      <c r="C1625" s="47" t="inlineStr">
        <is>
          <t>무제한</t>
        </is>
      </c>
      <c r="D1625" s="47" t="inlineStr">
        <is>
          <t>무제한</t>
        </is>
      </c>
      <c r="E1625" s="47" t="inlineStr">
        <is>
          <t>월 10GB + 1Mbps</t>
        </is>
      </c>
      <c r="F1625" s="47" t="inlineStr">
        <is>
          <t>LG U+</t>
        </is>
      </c>
      <c r="G1625" s="47" t="inlineStr">
        <is>
          <t>LTE</t>
        </is>
      </c>
      <c r="H1625" s="48" t="n">
        <v>9500</v>
      </c>
      <c r="I1625" s="48" t="n">
        <v>7</v>
      </c>
      <c r="J1625" s="48" t="n">
        <v>26400</v>
      </c>
      <c r="K1625" s="47">
        <f t="array" ref="K1625">_xlfn.XLOOKUP(1,(참조!$B$2:$B$15=E1625)*(참조!$D$2:$D$15=C1625)*(참조!$E$2:$E$15=D1625),참조!$C$2:$C$15,"")</f>
        <v/>
      </c>
    </row>
    <row r="1626" hidden="1" s="27">
      <c r="A1626" s="47" t="inlineStr">
        <is>
          <t>KG모바일</t>
        </is>
      </c>
      <c r="B1626" s="47" t="inlineStr">
        <is>
          <t>[모빌카드 스페셜] 유심 5G 31GB+</t>
        </is>
      </c>
      <c r="C1626" s="47" t="inlineStr">
        <is>
          <t>무제한</t>
        </is>
      </c>
      <c r="D1626" s="47" t="inlineStr">
        <is>
          <t>무제한</t>
        </is>
      </c>
      <c r="E1626" s="47" t="inlineStr">
        <is>
          <t>월 31GB + 1Mbps</t>
        </is>
      </c>
      <c r="F1626" s="47" t="inlineStr">
        <is>
          <t>LG U+</t>
        </is>
      </c>
      <c r="G1626" s="47" t="inlineStr">
        <is>
          <t>5G</t>
        </is>
      </c>
      <c r="H1626" s="48" t="n">
        <v>27170</v>
      </c>
      <c r="I1626" s="48" t="n">
        <v>7</v>
      </c>
      <c r="J1626" s="48" t="n">
        <v>45650</v>
      </c>
      <c r="K1626" s="47">
        <f t="array" ref="K1626">_xlfn.XLOOKUP(1,(참조!$B$2:$B$15=E1626)*(참조!$D$2:$D$15=C1626)*(참조!$E$2:$E$15=D1626),참조!$C$2:$C$15,"")</f>
        <v/>
      </c>
    </row>
    <row r="1627" hidden="1" s="27">
      <c r="A1627" s="47" t="inlineStr">
        <is>
          <t>아이즈모바일</t>
        </is>
      </c>
      <c r="B1627" s="47" t="inlineStr">
        <is>
          <t>[L]그란데(300분/5GB)</t>
        </is>
      </c>
      <c r="C1627" s="47" t="inlineStr">
        <is>
          <t>300분</t>
        </is>
      </c>
      <c r="D1627" s="47" t="inlineStr">
        <is>
          <t>100건</t>
        </is>
      </c>
      <c r="E1627" s="47" t="inlineStr">
        <is>
          <t>월 5GB</t>
        </is>
      </c>
      <c r="F1627" s="47" t="inlineStr">
        <is>
          <t>LG U+</t>
        </is>
      </c>
      <c r="G1627" s="47" t="inlineStr">
        <is>
          <t>LTE</t>
        </is>
      </c>
      <c r="H1627" s="48" t="n">
        <v>5000</v>
      </c>
      <c r="I1627" s="48" t="n">
        <v>24</v>
      </c>
      <c r="J1627" s="48" t="n">
        <v>14900</v>
      </c>
      <c r="K1627" s="47">
        <f t="array" ref="K1627">_xlfn.XLOOKUP(1,(참조!$B$2:$B$15=E1627)*(참조!$D$2:$D$15=C1627)*(참조!$E$2:$E$15=D1627),참조!$C$2:$C$15,"")</f>
        <v/>
      </c>
    </row>
    <row r="1628" hidden="1" s="27">
      <c r="A1628" s="47" t="inlineStr">
        <is>
          <t>이야기모바일</t>
        </is>
      </c>
      <c r="B1628" s="47" t="inlineStr">
        <is>
          <t>함께이야기해S(1000분+30GB)</t>
        </is>
      </c>
      <c r="C1628" s="47" t="inlineStr">
        <is>
          <t>1,000분</t>
        </is>
      </c>
      <c r="D1628" s="47" t="inlineStr">
        <is>
          <t>300건</t>
        </is>
      </c>
      <c r="E1628" s="47" t="inlineStr">
        <is>
          <t>월 30GB</t>
        </is>
      </c>
      <c r="F1628" s="47" t="inlineStr">
        <is>
          <t>SKT</t>
        </is>
      </c>
      <c r="G1628" s="47" t="inlineStr">
        <is>
          <t>LTE</t>
        </is>
      </c>
      <c r="H1628" s="48" t="n">
        <v>33000</v>
      </c>
      <c r="I1628" s="48" t="n">
        <v>12</v>
      </c>
      <c r="J1628" s="48" t="n">
        <v>38500</v>
      </c>
      <c r="K1628" s="47">
        <f t="array" ref="K1628">_xlfn.XLOOKUP(1,(참조!$B$2:$B$15=E1628)*(참조!$D$2:$D$15=C1628)*(참조!$E$2:$E$15=D1628),참조!$C$2:$C$15,"")</f>
        <v/>
      </c>
    </row>
    <row r="1629" hidden="1" s="27">
      <c r="A1629" s="47" t="inlineStr">
        <is>
          <t>스마텔</t>
        </is>
      </c>
      <c r="B1629" s="47" t="inlineStr">
        <is>
          <t>USIM 스마일 5G망 (500분/10GB)</t>
        </is>
      </c>
      <c r="C1629" s="47" t="inlineStr">
        <is>
          <t>500분</t>
        </is>
      </c>
      <c r="D1629" s="47" t="inlineStr">
        <is>
          <t>100건</t>
        </is>
      </c>
      <c r="E1629" s="47" t="inlineStr">
        <is>
          <t>월 10GB</t>
        </is>
      </c>
      <c r="F1629" s="47" t="inlineStr">
        <is>
          <t>SKT</t>
        </is>
      </c>
      <c r="G1629" s="47" t="inlineStr">
        <is>
          <t>5G</t>
        </is>
      </c>
      <c r="H1629" s="48" t="n">
        <v>9900</v>
      </c>
      <c r="I1629" s="48" t="n">
        <v>5</v>
      </c>
      <c r="J1629" s="48" t="n">
        <v>20900</v>
      </c>
      <c r="K1629" s="47">
        <f t="array" ref="K1629">_xlfn.XLOOKUP(1,(참조!$B$2:$B$15=E1629)*(참조!$D$2:$D$15=C1629)*(참조!$E$2:$E$15=D1629),참조!$C$2:$C$15,"")</f>
        <v/>
      </c>
    </row>
    <row r="1630" hidden="1" s="27">
      <c r="A1630" s="47" t="inlineStr">
        <is>
          <t>이야기모바일</t>
        </is>
      </c>
      <c r="B1630" s="47" t="inlineStr">
        <is>
          <t>내맘대로 차단형 (200분+0MB)</t>
        </is>
      </c>
      <c r="C1630" s="47" t="inlineStr">
        <is>
          <t>200분</t>
        </is>
      </c>
      <c r="D1630" s="47" t="inlineStr">
        <is>
          <t>50건</t>
        </is>
      </c>
      <c r="E1630" s="47" t="inlineStr">
        <is>
          <t>데이터 제공안함</t>
        </is>
      </c>
      <c r="F1630" s="47" t="inlineStr">
        <is>
          <t>LG U+</t>
        </is>
      </c>
      <c r="G1630" s="47" t="inlineStr">
        <is>
          <t>LTE</t>
        </is>
      </c>
      <c r="H1630" s="48" t="n">
        <v>6950</v>
      </c>
      <c r="I1630" s="48" t="n"/>
      <c r="J1630" s="48" t="n"/>
      <c r="K1630" s="47">
        <f t="array" ref="K1630">_xlfn.XLOOKUP(1,(참조!$B$2:$B$15=E1630)*(참조!$D$2:$D$15=C1630)*(참조!$E$2:$E$15=D1630),참조!$C$2:$C$15,"")</f>
        <v/>
      </c>
    </row>
    <row r="1631" hidden="1" s="27">
      <c r="A1631" s="47" t="inlineStr">
        <is>
          <t>아이즈모바일</t>
        </is>
      </c>
      <c r="B1631" s="47" t="inlineStr">
        <is>
          <t>[S]OK캐쉬백 100분/15GB+</t>
        </is>
      </c>
      <c r="C1631" s="47" t="inlineStr">
        <is>
          <t>100분</t>
        </is>
      </c>
      <c r="D1631" s="47" t="inlineStr">
        <is>
          <t>100건</t>
        </is>
      </c>
      <c r="E1631" s="47" t="inlineStr">
        <is>
          <t>월 15GB + 3Mbps</t>
        </is>
      </c>
      <c r="F1631" s="47" t="inlineStr">
        <is>
          <t>SKT</t>
        </is>
      </c>
      <c r="G1631" s="47" t="inlineStr">
        <is>
          <t>LTE</t>
        </is>
      </c>
      <c r="H1631" s="48" t="n">
        <v>24900</v>
      </c>
      <c r="I1631" s="48" t="n">
        <v>12</v>
      </c>
      <c r="J1631" s="48" t="n">
        <v>37400</v>
      </c>
      <c r="K1631" s="47">
        <f t="array" ref="K1631">_xlfn.XLOOKUP(1,(참조!$B$2:$B$15=E1631)*(참조!$D$2:$D$15=C1631)*(참조!$E$2:$E$15=D1631),참조!$C$2:$C$15,"")</f>
        <v/>
      </c>
    </row>
    <row r="1632" hidden="1" s="27">
      <c r="A1632" s="47" t="inlineStr">
        <is>
          <t>아이즈모바일</t>
        </is>
      </c>
      <c r="B1632" s="47" t="inlineStr">
        <is>
          <t>[L]5G 데이터안심(기본제공/5GB+)</t>
        </is>
      </c>
      <c r="C1632" s="47" t="inlineStr">
        <is>
          <t>무제한</t>
        </is>
      </c>
      <c r="D1632" s="47" t="inlineStr">
        <is>
          <t>무제한</t>
        </is>
      </c>
      <c r="E1632" s="47" t="inlineStr">
        <is>
          <t>월 5GB + 1Mbps</t>
        </is>
      </c>
      <c r="F1632" s="47" t="inlineStr">
        <is>
          <t>LG U+</t>
        </is>
      </c>
      <c r="G1632" s="47" t="inlineStr">
        <is>
          <t>5G</t>
        </is>
      </c>
      <c r="H1632" s="48" t="n">
        <v>1500</v>
      </c>
      <c r="I1632" s="48" t="n">
        <v>6</v>
      </c>
      <c r="J1632" s="48" t="n">
        <v>18700</v>
      </c>
      <c r="K1632" s="47">
        <f t="array" ref="K1632">_xlfn.XLOOKUP(1,(참조!$B$2:$B$15=E1632)*(참조!$D$2:$D$15=C1632)*(참조!$E$2:$E$15=D1632),참조!$C$2:$C$15,"")</f>
        <v/>
      </c>
    </row>
    <row r="1633" hidden="1" s="27">
      <c r="A1633" s="47" t="inlineStr">
        <is>
          <t>스마텔</t>
        </is>
      </c>
      <c r="B1633" s="47" t="inlineStr">
        <is>
          <t>5G 스위트 10GB</t>
        </is>
      </c>
      <c r="C1633" s="47" t="inlineStr">
        <is>
          <t>무제한</t>
        </is>
      </c>
      <c r="D1633" s="47" t="inlineStr">
        <is>
          <t>무제한</t>
        </is>
      </c>
      <c r="E1633" s="47" t="inlineStr">
        <is>
          <t>월 10GB + 1Mbps</t>
        </is>
      </c>
      <c r="F1633" s="47" t="inlineStr">
        <is>
          <t>KT</t>
        </is>
      </c>
      <c r="G1633" s="47" t="inlineStr">
        <is>
          <t>5G</t>
        </is>
      </c>
      <c r="H1633" s="48" t="n">
        <v>36300</v>
      </c>
      <c r="I1633" s="48" t="n"/>
      <c r="J1633" s="48" t="n"/>
      <c r="K1633" s="47">
        <f t="array" ref="K1633">_xlfn.XLOOKUP(1,(참조!$B$2:$B$15=E1633)*(참조!$D$2:$D$15=C1633)*(참조!$E$2:$E$15=D1633),참조!$C$2:$C$15,"")</f>
        <v/>
      </c>
    </row>
    <row r="1634" hidden="1" s="27">
      <c r="A1634" s="47" t="inlineStr">
        <is>
          <t>아이즈모바일</t>
        </is>
      </c>
      <c r="B1634" s="47" t="inlineStr">
        <is>
          <t>[K]무한7GB+ Npay</t>
        </is>
      </c>
      <c r="C1634" s="47" t="inlineStr">
        <is>
          <t>무제한</t>
        </is>
      </c>
      <c r="D1634" s="47" t="inlineStr">
        <is>
          <t>무제한</t>
        </is>
      </c>
      <c r="E1634" s="47" t="inlineStr">
        <is>
          <t>월 7GB + 1Mbps</t>
        </is>
      </c>
      <c r="F1634" s="47" t="inlineStr">
        <is>
          <t>KT</t>
        </is>
      </c>
      <c r="G1634" s="47" t="inlineStr">
        <is>
          <t>LTE</t>
        </is>
      </c>
      <c r="H1634" s="48" t="n">
        <v>4900</v>
      </c>
      <c r="I1634" s="48" t="n">
        <v>7</v>
      </c>
      <c r="J1634" s="48" t="n">
        <v>26400</v>
      </c>
      <c r="K1634" s="47">
        <f t="array" ref="K1634">_xlfn.XLOOKUP(1,(참조!$B$2:$B$15=E1634)*(참조!$D$2:$D$15=C1634)*(참조!$E$2:$E$15=D1634),참조!$C$2:$C$15,"")</f>
        <v/>
      </c>
    </row>
    <row r="1635" hidden="1" s="27">
      <c r="A1635" s="47" t="inlineStr">
        <is>
          <t>스마텔</t>
        </is>
      </c>
      <c r="B1635" s="47" t="inlineStr">
        <is>
          <t>스마일 10GB+</t>
        </is>
      </c>
      <c r="C1635" s="47" t="inlineStr">
        <is>
          <t>무제한</t>
        </is>
      </c>
      <c r="D1635" s="47" t="inlineStr">
        <is>
          <t>무제한</t>
        </is>
      </c>
      <c r="E1635" s="47" t="inlineStr">
        <is>
          <t>월 10GB + 1Mbps</t>
        </is>
      </c>
      <c r="F1635" s="47" t="inlineStr">
        <is>
          <t>SKT</t>
        </is>
      </c>
      <c r="G1635" s="47" t="inlineStr">
        <is>
          <t>LTE</t>
        </is>
      </c>
      <c r="H1635" s="48" t="n">
        <v>9500</v>
      </c>
      <c r="I1635" s="48" t="n">
        <v>7</v>
      </c>
      <c r="J1635" s="48" t="n">
        <v>31900</v>
      </c>
      <c r="K1635" s="47">
        <f t="array" ref="K1635">_xlfn.XLOOKUP(1,(참조!$B$2:$B$15=E1635)*(참조!$D$2:$D$15=C1635)*(참조!$E$2:$E$15=D1635),참조!$C$2:$C$15,"")</f>
        <v/>
      </c>
    </row>
    <row r="1636" hidden="1" s="27">
      <c r="A1636" s="47" t="inlineStr">
        <is>
          <t>모빙</t>
        </is>
      </c>
      <c r="B1636" s="47" t="inlineStr">
        <is>
          <t>[K] 5G 지니뮤직 110GB+</t>
        </is>
      </c>
      <c r="C1636" s="47" t="inlineStr">
        <is>
          <t>무제한</t>
        </is>
      </c>
      <c r="D1636" s="47" t="inlineStr">
        <is>
          <t>무제한</t>
        </is>
      </c>
      <c r="E1636" s="47" t="inlineStr">
        <is>
          <t>월 110GB + 5Mbps</t>
        </is>
      </c>
      <c r="F1636" s="47" t="inlineStr">
        <is>
          <t>KT</t>
        </is>
      </c>
      <c r="G1636" s="47" t="inlineStr">
        <is>
          <t>5G</t>
        </is>
      </c>
      <c r="H1636" s="48" t="n">
        <v>37400</v>
      </c>
      <c r="I1636" s="48" t="n">
        <v>12</v>
      </c>
      <c r="J1636" s="48" t="n">
        <v>66000</v>
      </c>
      <c r="K1636" s="47">
        <f t="array" ref="K1636">_xlfn.XLOOKUP(1,(참조!$B$2:$B$15=E1636)*(참조!$D$2:$D$15=C1636)*(참조!$E$2:$E$15=D1636),참조!$C$2:$C$15,"")</f>
        <v/>
      </c>
    </row>
    <row r="1637" hidden="1" s="27">
      <c r="A1637" s="47" t="inlineStr">
        <is>
          <t>모빙</t>
        </is>
      </c>
      <c r="B1637" s="47" t="inlineStr">
        <is>
          <t>[L] 라운지프리 100GB+</t>
        </is>
      </c>
      <c r="C1637" s="47" t="inlineStr">
        <is>
          <t>무제한</t>
        </is>
      </c>
      <c r="D1637" s="47" t="inlineStr">
        <is>
          <t>무제한</t>
        </is>
      </c>
      <c r="E1637" s="47" t="inlineStr">
        <is>
          <t>월 100GB + 5Mbps</t>
        </is>
      </c>
      <c r="F1637" s="47" t="inlineStr">
        <is>
          <t>LG U+</t>
        </is>
      </c>
      <c r="G1637" s="47" t="inlineStr">
        <is>
          <t>LTE</t>
        </is>
      </c>
      <c r="H1637" s="48" t="n">
        <v>35000</v>
      </c>
      <c r="I1637" s="48" t="n">
        <v>24</v>
      </c>
      <c r="J1637" s="48" t="n">
        <v>54000</v>
      </c>
      <c r="K1637" s="47">
        <f t="array" ref="K1637">_xlfn.XLOOKUP(1,(참조!$B$2:$B$15=E1637)*(참조!$D$2:$D$15=C1637)*(참조!$E$2:$E$15=D1637),참조!$C$2:$C$15,"")</f>
        <v/>
      </c>
    </row>
    <row r="1638" hidden="1" s="27">
      <c r="A1638" s="47" t="inlineStr">
        <is>
          <t>이지모바일</t>
        </is>
      </c>
      <c r="B1638" s="47" t="inlineStr">
        <is>
          <t>EG-5G 24레귤러 50G+</t>
        </is>
      </c>
      <c r="C1638" s="47" t="inlineStr">
        <is>
          <t>무제한</t>
        </is>
      </c>
      <c r="D1638" s="47" t="inlineStr">
        <is>
          <t>무제한</t>
        </is>
      </c>
      <c r="E1638" s="47" t="inlineStr">
        <is>
          <t>월 50GB + 1Mbps</t>
        </is>
      </c>
      <c r="F1638" s="47" t="inlineStr">
        <is>
          <t>LG U+</t>
        </is>
      </c>
      <c r="G1638" s="47" t="inlineStr">
        <is>
          <t>5G</t>
        </is>
      </c>
      <c r="H1638" s="48" t="n">
        <v>27450</v>
      </c>
      <c r="I1638" s="48" t="n">
        <v>7</v>
      </c>
      <c r="J1638" s="48" t="n">
        <v>47250</v>
      </c>
      <c r="K1638" s="47">
        <f t="array" ref="K1638">_xlfn.XLOOKUP(1,(참조!$B$2:$B$15=E1638)*(참조!$D$2:$D$15=C1638)*(참조!$E$2:$E$15=D1638),참조!$C$2:$C$15,"")</f>
        <v/>
      </c>
    </row>
    <row r="1639" hidden="1" s="27">
      <c r="A1639" s="47" t="inlineStr">
        <is>
          <t>모빙</t>
        </is>
      </c>
      <c r="B1639" s="47" t="inlineStr">
        <is>
          <t>[L] 라운지프리 7GB+</t>
        </is>
      </c>
      <c r="C1639" s="47" t="inlineStr">
        <is>
          <t>무제한</t>
        </is>
      </c>
      <c r="D1639" s="47" t="inlineStr">
        <is>
          <t>무제한</t>
        </is>
      </c>
      <c r="E1639" s="47" t="inlineStr">
        <is>
          <t>월 7GB + 1Mbps</t>
        </is>
      </c>
      <c r="F1639" s="47" t="inlineStr">
        <is>
          <t>LG U+</t>
        </is>
      </c>
      <c r="G1639" s="47" t="inlineStr">
        <is>
          <t>LTE</t>
        </is>
      </c>
      <c r="H1639" s="48" t="n">
        <v>17000</v>
      </c>
      <c r="I1639" s="48" t="n">
        <v>24</v>
      </c>
      <c r="J1639" s="48" t="n">
        <v>28000</v>
      </c>
      <c r="K1639" s="47">
        <f t="array" ref="K1639">_xlfn.XLOOKUP(1,(참조!$B$2:$B$15=E1639)*(참조!$D$2:$D$15=C1639)*(참조!$E$2:$E$15=D1639),참조!$C$2:$C$15,"")</f>
        <v/>
      </c>
    </row>
    <row r="1640" hidden="1" s="27">
      <c r="A1640" s="47" t="inlineStr">
        <is>
          <t>모빙</t>
        </is>
      </c>
      <c r="B1640" s="47" t="inlineStr">
        <is>
          <t>[S] 300분15GB+</t>
        </is>
      </c>
      <c r="C1640" s="47" t="inlineStr">
        <is>
          <t>300분</t>
        </is>
      </c>
      <c r="D1640" s="47" t="inlineStr">
        <is>
          <t>300건</t>
        </is>
      </c>
      <c r="E1640" s="47" t="inlineStr">
        <is>
          <t>월 15GB + 3Mbps</t>
        </is>
      </c>
      <c r="F1640" s="47" t="inlineStr">
        <is>
          <t>SKT</t>
        </is>
      </c>
      <c r="G1640" s="47" t="inlineStr">
        <is>
          <t>LTE</t>
        </is>
      </c>
      <c r="H1640" s="48" t="n">
        <v>9000</v>
      </c>
      <c r="I1640" s="48" t="n">
        <v>7</v>
      </c>
      <c r="J1640" s="48" t="n">
        <v>40700</v>
      </c>
      <c r="K1640" s="47">
        <f t="array" ref="K1640">_xlfn.XLOOKUP(1,(참조!$B$2:$B$15=E1640)*(참조!$D$2:$D$15=C1640)*(참조!$E$2:$E$15=D1640),참조!$C$2:$C$15,"")</f>
        <v/>
      </c>
    </row>
    <row r="1641" hidden="1" s="27">
      <c r="A1641" s="47" t="inlineStr">
        <is>
          <t>티플러스</t>
        </is>
      </c>
      <c r="B1641" s="47" t="inlineStr">
        <is>
          <t>5G 통화안심 30GB</t>
        </is>
      </c>
      <c r="C1641" s="47" t="inlineStr">
        <is>
          <t>무제한</t>
        </is>
      </c>
      <c r="D1641" s="47" t="inlineStr">
        <is>
          <t>100건</t>
        </is>
      </c>
      <c r="E1641" s="47" t="inlineStr">
        <is>
          <t>월 30GB</t>
        </is>
      </c>
      <c r="F1641" s="47" t="inlineStr">
        <is>
          <t>SKT</t>
        </is>
      </c>
      <c r="G1641" s="47" t="inlineStr">
        <is>
          <t>5G</t>
        </is>
      </c>
      <c r="H1641" s="48" t="n">
        <v>21900</v>
      </c>
      <c r="I1641" s="48" t="n">
        <v>4</v>
      </c>
      <c r="J1641" s="48" t="n">
        <v>39600</v>
      </c>
      <c r="K1641" s="47">
        <f t="array" ref="K1641">_xlfn.XLOOKUP(1,(참조!$B$2:$B$15=E1641)*(참조!$D$2:$D$15=C1641)*(참조!$E$2:$E$15=D1641),참조!$C$2:$C$15,"")</f>
        <v/>
      </c>
    </row>
    <row r="1642" hidden="1" s="27">
      <c r="A1642" s="47" t="inlineStr">
        <is>
          <t>에이모바일</t>
        </is>
      </c>
      <c r="B1642" s="47" t="inlineStr">
        <is>
          <t>A 스페셜 7GB+</t>
        </is>
      </c>
      <c r="C1642" s="47" t="inlineStr">
        <is>
          <t>무제한</t>
        </is>
      </c>
      <c r="D1642" s="47" t="inlineStr">
        <is>
          <t>무제한</t>
        </is>
      </c>
      <c r="E1642" s="47" t="inlineStr">
        <is>
          <t>월 7GB + 1Mbps</t>
        </is>
      </c>
      <c r="F1642" s="47" t="inlineStr">
        <is>
          <t>LG U+</t>
        </is>
      </c>
      <c r="G1642" s="47" t="inlineStr">
        <is>
          <t>LTE</t>
        </is>
      </c>
      <c r="H1642" s="48" t="n">
        <v>3500</v>
      </c>
      <c r="I1642" s="48" t="n">
        <v>7</v>
      </c>
      <c r="J1642" s="48" t="n">
        <v>22000</v>
      </c>
      <c r="K1642" s="47">
        <f t="array" ref="K1642">_xlfn.XLOOKUP(1,(참조!$B$2:$B$15=E1642)*(참조!$D$2:$D$15=C1642)*(참조!$E$2:$E$15=D1642),참조!$C$2:$C$15,"")</f>
        <v/>
      </c>
    </row>
    <row r="1643" hidden="1" s="27">
      <c r="A1643" s="47" t="inlineStr">
        <is>
          <t>이야기모바일</t>
        </is>
      </c>
      <c r="B1643" s="47" t="inlineStr">
        <is>
          <t>이야기 라이트 200분6GB+</t>
        </is>
      </c>
      <c r="C1643" s="47" t="inlineStr">
        <is>
          <t>200분</t>
        </is>
      </c>
      <c r="D1643" s="47" t="inlineStr">
        <is>
          <t>100건</t>
        </is>
      </c>
      <c r="E1643" s="47" t="inlineStr">
        <is>
          <t>월 6GB + 1Mbps</t>
        </is>
      </c>
      <c r="F1643" s="47" t="inlineStr">
        <is>
          <t>LG U+</t>
        </is>
      </c>
      <c r="G1643" s="47" t="inlineStr">
        <is>
          <t>LTE</t>
        </is>
      </c>
      <c r="H1643" s="48" t="n">
        <v>9900</v>
      </c>
      <c r="I1643" s="48" t="n">
        <v>24</v>
      </c>
      <c r="J1643" s="48" t="n">
        <v>12100</v>
      </c>
      <c r="K1643" s="47">
        <f t="array" ref="K1643">_xlfn.XLOOKUP(1,(참조!$B$2:$B$15=E1643)*(참조!$D$2:$D$15=C1643)*(참조!$E$2:$E$15=D1643),참조!$C$2:$C$15,"")</f>
        <v/>
      </c>
    </row>
    <row r="1644" hidden="1" s="27">
      <c r="A1644" s="47" t="inlineStr">
        <is>
          <t>모빙</t>
        </is>
      </c>
      <c r="B1644" s="47" t="inlineStr">
        <is>
          <t>[K] 모아진 100분15GB+</t>
        </is>
      </c>
      <c r="C1644" s="47" t="inlineStr">
        <is>
          <t>100분</t>
        </is>
      </c>
      <c r="D1644" s="47" t="inlineStr">
        <is>
          <t>100건</t>
        </is>
      </c>
      <c r="E1644" s="47" t="inlineStr">
        <is>
          <t>월 15GB + 3Mbps</t>
        </is>
      </c>
      <c r="F1644" s="47" t="inlineStr">
        <is>
          <t>KT</t>
        </is>
      </c>
      <c r="G1644" s="47" t="inlineStr">
        <is>
          <t>LTE</t>
        </is>
      </c>
      <c r="H1644" s="48" t="n">
        <v>14960</v>
      </c>
      <c r="I1644" s="48" t="n">
        <v>7</v>
      </c>
      <c r="J1644" s="48" t="n">
        <v>37400</v>
      </c>
      <c r="K1644" s="47">
        <f t="array" ref="K1644">_xlfn.XLOOKUP(1,(참조!$B$2:$B$15=E1644)*(참조!$D$2:$D$15=C1644)*(참조!$E$2:$E$15=D1644),참조!$C$2:$C$15,"")</f>
        <v/>
      </c>
    </row>
    <row r="1645" hidden="1" s="27">
      <c r="A1645" s="47" t="inlineStr">
        <is>
          <t>스마텔</t>
        </is>
      </c>
      <c r="B1645" s="47" t="inlineStr">
        <is>
          <t>USIM 스위트 음성 무제한 5GB</t>
        </is>
      </c>
      <c r="C1645" s="47" t="inlineStr">
        <is>
          <t>무제한</t>
        </is>
      </c>
      <c r="D1645" s="47" t="inlineStr">
        <is>
          <t>무제한</t>
        </is>
      </c>
      <c r="E1645" s="47" t="inlineStr">
        <is>
          <t>월 5GB</t>
        </is>
      </c>
      <c r="F1645" s="47" t="inlineStr">
        <is>
          <t>KT</t>
        </is>
      </c>
      <c r="G1645" s="47" t="inlineStr">
        <is>
          <t>LTE</t>
        </is>
      </c>
      <c r="H1645" s="48" t="n">
        <v>7000</v>
      </c>
      <c r="I1645" s="48" t="n">
        <v>36</v>
      </c>
      <c r="J1645" s="48" t="n">
        <v>13200</v>
      </c>
      <c r="K1645" s="47">
        <f t="array" ref="K1645">_xlfn.XLOOKUP(1,(참조!$B$2:$B$15=E1645)*(참조!$D$2:$D$15=C1645)*(참조!$E$2:$E$15=D1645),참조!$C$2:$C$15,"")</f>
        <v/>
      </c>
    </row>
    <row r="1646" hidden="1" s="27">
      <c r="A1646" s="47" t="inlineStr">
        <is>
          <t>마블링</t>
        </is>
      </c>
      <c r="B1646" s="47" t="inlineStr">
        <is>
          <t>마블링 프라임(5G) 150GB+5Mbps</t>
        </is>
      </c>
      <c r="C1646" s="47" t="inlineStr">
        <is>
          <t>무제한</t>
        </is>
      </c>
      <c r="D1646" s="47" t="inlineStr">
        <is>
          <t>무제한</t>
        </is>
      </c>
      <c r="E1646" s="47" t="inlineStr">
        <is>
          <t>월 150GB + 5Mbps</t>
        </is>
      </c>
      <c r="F1646" s="47" t="inlineStr">
        <is>
          <t>LG U+</t>
        </is>
      </c>
      <c r="G1646" s="47" t="inlineStr">
        <is>
          <t>5G</t>
        </is>
      </c>
      <c r="H1646" s="48" t="n">
        <v>30900</v>
      </c>
      <c r="I1646" s="48" t="n">
        <v>7</v>
      </c>
      <c r="J1646" s="48" t="n">
        <v>48900</v>
      </c>
      <c r="K1646" s="47">
        <f t="array" ref="K1646">_xlfn.XLOOKUP(1,(참조!$B$2:$B$15=E1646)*(참조!$D$2:$D$15=C1646)*(참조!$E$2:$E$15=D1646),참조!$C$2:$C$15,"")</f>
        <v/>
      </c>
    </row>
    <row r="1647" hidden="1" s="27">
      <c r="A1647" s="47" t="inlineStr">
        <is>
          <t>모빙</t>
        </is>
      </c>
      <c r="B1647" s="47" t="inlineStr">
        <is>
          <t>[L] 라운지프리 300분15GB+</t>
        </is>
      </c>
      <c r="C1647" s="47" t="inlineStr">
        <is>
          <t>300분</t>
        </is>
      </c>
      <c r="D1647" s="47" t="inlineStr">
        <is>
          <t>300건</t>
        </is>
      </c>
      <c r="E1647" s="47" t="inlineStr">
        <is>
          <t>월 15GB + 3Mbps</t>
        </is>
      </c>
      <c r="F1647" s="47" t="inlineStr">
        <is>
          <t>LG U+</t>
        </is>
      </c>
      <c r="G1647" s="47" t="inlineStr">
        <is>
          <t>LTE</t>
        </is>
      </c>
      <c r="H1647" s="48" t="n">
        <v>26000</v>
      </c>
      <c r="I1647" s="48" t="n">
        <v>24</v>
      </c>
      <c r="J1647" s="48" t="n">
        <v>41000</v>
      </c>
      <c r="K1647" s="47">
        <f t="array" ref="K1647">_xlfn.XLOOKUP(1,(참조!$B$2:$B$15=E1647)*(참조!$D$2:$D$15=C1647)*(참조!$E$2:$E$15=D1647),참조!$C$2:$C$15,"")</f>
        <v/>
      </c>
    </row>
    <row r="1648" hidden="1" s="27">
      <c r="A1648" s="47" t="inlineStr">
        <is>
          <t>아이즈모바일</t>
        </is>
      </c>
      <c r="B1648" s="47" t="inlineStr">
        <is>
          <t>[K]롯시&amp;밀리 15GB+</t>
        </is>
      </c>
      <c r="C1648" s="47" t="inlineStr">
        <is>
          <t>무제한</t>
        </is>
      </c>
      <c r="D1648" s="47" t="inlineStr">
        <is>
          <t>무제한</t>
        </is>
      </c>
      <c r="E1648" s="47" t="inlineStr">
        <is>
          <t>월 15GB + 1Mbps</t>
        </is>
      </c>
      <c r="F1648" s="47" t="inlineStr">
        <is>
          <t>KT</t>
        </is>
      </c>
      <c r="G1648" s="47" t="inlineStr">
        <is>
          <t>LTE</t>
        </is>
      </c>
      <c r="H1648" s="48" t="n">
        <v>8900</v>
      </c>
      <c r="I1648" s="48" t="n">
        <v>7</v>
      </c>
      <c r="J1648" s="48" t="n">
        <v>34100</v>
      </c>
      <c r="K1648" s="47">
        <f t="array" ref="K1648">_xlfn.XLOOKUP(1,(참조!$B$2:$B$15=E1648)*(참조!$D$2:$D$15=C1648)*(참조!$E$2:$E$15=D1648),참조!$C$2:$C$15,"")</f>
        <v/>
      </c>
    </row>
    <row r="1649" hidden="1" s="27">
      <c r="A1649" s="47" t="inlineStr">
        <is>
          <t>리브모바일</t>
        </is>
      </c>
      <c r="B1649" s="47" t="inlineStr">
        <is>
          <t>LTE 무제한 11GB+ (지니뮤직)</t>
        </is>
      </c>
      <c r="C1649" s="47" t="inlineStr">
        <is>
          <t>무제한</t>
        </is>
      </c>
      <c r="D1649" s="47" t="inlineStr">
        <is>
          <t>무제한</t>
        </is>
      </c>
      <c r="E1649" s="47" t="inlineStr">
        <is>
          <t>월 11GB + 매일 2GB + 3Mbps</t>
        </is>
      </c>
      <c r="F1649" s="47" t="inlineStr">
        <is>
          <t>KT</t>
        </is>
      </c>
      <c r="G1649" s="47" t="inlineStr">
        <is>
          <t>LTE</t>
        </is>
      </c>
      <c r="H1649" s="48" t="n">
        <v>35600</v>
      </c>
      <c r="I1649" s="48" t="n">
        <v>12</v>
      </c>
      <c r="J1649" s="48" t="n">
        <v>40000</v>
      </c>
      <c r="K1649" s="47">
        <f t="array" ref="K1649">_xlfn.XLOOKUP(1,(참조!$B$2:$B$15=E1649)*(참조!$D$2:$D$15=C1649)*(참조!$E$2:$E$15=D1649),참조!$C$2:$C$15,"")</f>
        <v/>
      </c>
    </row>
    <row r="1650" hidden="1" s="27">
      <c r="A1650" s="47" t="inlineStr">
        <is>
          <t>에이모바일</t>
        </is>
      </c>
      <c r="B1650" s="47" t="inlineStr">
        <is>
          <t>A 갓성비 5GB/230분 6</t>
        </is>
      </c>
      <c r="C1650" s="47" t="inlineStr">
        <is>
          <t>230분</t>
        </is>
      </c>
      <c r="D1650" s="47" t="inlineStr">
        <is>
          <t>100건</t>
        </is>
      </c>
      <c r="E1650" s="47" t="inlineStr">
        <is>
          <t>월 5GB</t>
        </is>
      </c>
      <c r="F1650" s="47" t="inlineStr">
        <is>
          <t>LG U+</t>
        </is>
      </c>
      <c r="G1650" s="47" t="inlineStr">
        <is>
          <t>LTE</t>
        </is>
      </c>
      <c r="H1650" s="48" t="n">
        <v>110</v>
      </c>
      <c r="I1650" s="48" t="n">
        <v>6</v>
      </c>
      <c r="J1650" s="48" t="n">
        <v>9900</v>
      </c>
      <c r="K1650" s="47">
        <f t="array" ref="K1650">_xlfn.XLOOKUP(1,(참조!$B$2:$B$15=E1650)*(참조!$D$2:$D$15=C1650)*(참조!$E$2:$E$15=D1650),참조!$C$2:$C$15,"")</f>
        <v/>
      </c>
    </row>
    <row r="1651" hidden="1" s="27">
      <c r="A1651" s="47" t="inlineStr">
        <is>
          <t>티플러스</t>
        </is>
      </c>
      <c r="B1651" s="47" t="inlineStr">
        <is>
          <t>5G 티플 5GB(5GB/300분)</t>
        </is>
      </c>
      <c r="C1651" s="47" t="inlineStr">
        <is>
          <t>300분</t>
        </is>
      </c>
      <c r="D1651" s="47" t="inlineStr">
        <is>
          <t>100건</t>
        </is>
      </c>
      <c r="E1651" s="47" t="inlineStr">
        <is>
          <t>월 5GB</t>
        </is>
      </c>
      <c r="F1651" s="47" t="inlineStr">
        <is>
          <t>SKT</t>
        </is>
      </c>
      <c r="G1651" s="47" t="inlineStr">
        <is>
          <t>5G</t>
        </is>
      </c>
      <c r="H1651" s="48" t="n">
        <v>2900</v>
      </c>
      <c r="I1651" s="48" t="n">
        <v>4</v>
      </c>
      <c r="J1651" s="48" t="n">
        <v>11000</v>
      </c>
      <c r="K1651" s="47">
        <f t="array" ref="K1651">_xlfn.XLOOKUP(1,(참조!$B$2:$B$15=E1651)*(참조!$D$2:$D$15=C1651)*(참조!$E$2:$E$15=D1651),참조!$C$2:$C$15,"")</f>
        <v/>
      </c>
    </row>
    <row r="1652" hidden="1" s="27">
      <c r="A1652" s="47" t="inlineStr">
        <is>
          <t>아이즈모바일</t>
        </is>
      </c>
      <c r="B1652" s="47" t="inlineStr">
        <is>
          <t>[K]다이소 11GB+일2GB</t>
        </is>
      </c>
      <c r="C1652" s="47" t="inlineStr">
        <is>
          <t>무제한</t>
        </is>
      </c>
      <c r="D1652" s="47" t="inlineStr">
        <is>
          <t>무제한</t>
        </is>
      </c>
      <c r="E1652" s="47" t="inlineStr">
        <is>
          <t>월 11GB + 매일 2GB + 3Mbps</t>
        </is>
      </c>
      <c r="F1652" s="47" t="inlineStr">
        <is>
          <t>KT</t>
        </is>
      </c>
      <c r="G1652" s="47" t="inlineStr">
        <is>
          <t>LTE</t>
        </is>
      </c>
      <c r="H1652" s="48" t="n">
        <v>19000</v>
      </c>
      <c r="I1652" s="48" t="n">
        <v>7</v>
      </c>
      <c r="J1652" s="48" t="n">
        <v>47300</v>
      </c>
      <c r="K1652" s="47">
        <f t="array" ref="K1652">_xlfn.XLOOKUP(1,(참조!$B$2:$B$15=E1652)*(참조!$D$2:$D$15=C1652)*(참조!$E$2:$E$15=D1652),참조!$C$2:$C$15,"")</f>
        <v/>
      </c>
    </row>
    <row r="1653" hidden="1" s="27">
      <c r="A1653" s="47" t="inlineStr">
        <is>
          <t>아이즈모바일</t>
        </is>
      </c>
      <c r="B1653" s="47" t="inlineStr">
        <is>
          <t>[K]올리브영 11GB+일2GB</t>
        </is>
      </c>
      <c r="C1653" s="47" t="inlineStr">
        <is>
          <t>무제한</t>
        </is>
      </c>
      <c r="D1653" s="47" t="inlineStr">
        <is>
          <t>무제한</t>
        </is>
      </c>
      <c r="E1653" s="47" t="inlineStr">
        <is>
          <t>월 11GB + 매일 2GB + 3Mbps</t>
        </is>
      </c>
      <c r="F1653" s="47" t="inlineStr">
        <is>
          <t>KT</t>
        </is>
      </c>
      <c r="G1653" s="47" t="inlineStr">
        <is>
          <t>LTE</t>
        </is>
      </c>
      <c r="H1653" s="48" t="n">
        <v>19000</v>
      </c>
      <c r="I1653" s="48" t="n">
        <v>7</v>
      </c>
      <c r="J1653" s="48" t="n">
        <v>47300</v>
      </c>
      <c r="K1653" s="47">
        <f t="array" ref="K1653">_xlfn.XLOOKUP(1,(참조!$B$2:$B$15=E1653)*(참조!$D$2:$D$15=C1653)*(참조!$E$2:$E$15=D1653),참조!$C$2:$C$15,"")</f>
        <v/>
      </c>
    </row>
    <row r="1654" hidden="1" s="27">
      <c r="A1654" s="47" t="inlineStr">
        <is>
          <t>모빙</t>
        </is>
      </c>
      <c r="B1654" s="47" t="inlineStr">
        <is>
          <t>[K] 500분5GB</t>
        </is>
      </c>
      <c r="C1654" s="47" t="inlineStr">
        <is>
          <t>500분</t>
        </is>
      </c>
      <c r="D1654" s="47" t="inlineStr">
        <is>
          <t>500건</t>
        </is>
      </c>
      <c r="E1654" s="47" t="inlineStr">
        <is>
          <t>월 5GB</t>
        </is>
      </c>
      <c r="F1654" s="47" t="inlineStr">
        <is>
          <t>KT</t>
        </is>
      </c>
      <c r="G1654" s="47" t="inlineStr">
        <is>
          <t>LTE</t>
        </is>
      </c>
      <c r="H1654" s="48" t="n">
        <v>110</v>
      </c>
      <c r="I1654" s="48" t="n">
        <v>7</v>
      </c>
      <c r="J1654" s="48" t="n">
        <v>29700</v>
      </c>
      <c r="K1654" s="47">
        <f t="array" ref="K1654">_xlfn.XLOOKUP(1,(참조!$B$2:$B$15=E1654)*(참조!$D$2:$D$15=C1654)*(참조!$E$2:$E$15=D1654),참조!$C$2:$C$15,"")</f>
        <v/>
      </c>
    </row>
    <row r="1655" hidden="1" s="27">
      <c r="A1655" s="47" t="inlineStr">
        <is>
          <t>리브모바일</t>
        </is>
      </c>
      <c r="B1655" s="47" t="inlineStr">
        <is>
          <t>LTE 무제한 11GB+(NPay)</t>
        </is>
      </c>
      <c r="C1655" s="47" t="inlineStr">
        <is>
          <t>무제한</t>
        </is>
      </c>
      <c r="D1655" s="47" t="inlineStr">
        <is>
          <t>무제한</t>
        </is>
      </c>
      <c r="E1655" s="47" t="inlineStr">
        <is>
          <t>월 11GB + 매일 2GB + 3Mbps</t>
        </is>
      </c>
      <c r="F1655" s="47" t="inlineStr">
        <is>
          <t>KT</t>
        </is>
      </c>
      <c r="G1655" s="47" t="inlineStr">
        <is>
          <t>LTE</t>
        </is>
      </c>
      <c r="H1655" s="48" t="n">
        <v>35100</v>
      </c>
      <c r="I1655" s="48" t="n">
        <v>12</v>
      </c>
      <c r="J1655" s="48" t="n">
        <v>39500</v>
      </c>
      <c r="K1655" s="47">
        <f t="array" ref="K1655">_xlfn.XLOOKUP(1,(참조!$B$2:$B$15=E1655)*(참조!$D$2:$D$15=C1655)*(참조!$E$2:$E$15=D1655),참조!$C$2:$C$15,"")</f>
        <v/>
      </c>
    </row>
    <row r="1656" hidden="1" s="27">
      <c r="A1656" s="47" t="inlineStr">
        <is>
          <t>스마텔</t>
        </is>
      </c>
      <c r="B1656" s="47" t="inlineStr">
        <is>
          <t>후후 플러스 (100분+1.5GB)</t>
        </is>
      </c>
      <c r="C1656" s="47" t="inlineStr">
        <is>
          <t>100분</t>
        </is>
      </c>
      <c r="D1656" s="47" t="inlineStr">
        <is>
          <t>100건</t>
        </is>
      </c>
      <c r="E1656" s="47" t="inlineStr">
        <is>
          <t>월 1.5GB</t>
        </is>
      </c>
      <c r="F1656" s="47" t="inlineStr">
        <is>
          <t>SKT</t>
        </is>
      </c>
      <c r="G1656" s="47" t="inlineStr">
        <is>
          <t>LTE</t>
        </is>
      </c>
      <c r="H1656" s="48" t="n">
        <v>1930</v>
      </c>
      <c r="I1656" s="48" t="n">
        <v>5</v>
      </c>
      <c r="J1656" s="48" t="n">
        <v>6330</v>
      </c>
      <c r="K1656" s="47">
        <f t="array" ref="K1656">_xlfn.XLOOKUP(1,(참조!$B$2:$B$15=E1656)*(참조!$D$2:$D$15=C1656)*(참조!$E$2:$E$15=D1656),참조!$C$2:$C$15,"")</f>
        <v/>
      </c>
    </row>
    <row r="1657" hidden="1" s="27">
      <c r="A1657" s="47" t="inlineStr">
        <is>
          <t>아이즈모바일</t>
        </is>
      </c>
      <c r="B1657" s="47" t="inlineStr">
        <is>
          <t>[S]음성자유/3GB</t>
        </is>
      </c>
      <c r="C1657" s="47" t="inlineStr">
        <is>
          <t>무제한</t>
        </is>
      </c>
      <c r="D1657" s="47" t="inlineStr">
        <is>
          <t>100건</t>
        </is>
      </c>
      <c r="E1657" s="47" t="inlineStr">
        <is>
          <t>월 3GB</t>
        </is>
      </c>
      <c r="F1657" s="47" t="inlineStr">
        <is>
          <t>SKT</t>
        </is>
      </c>
      <c r="G1657" s="47" t="inlineStr">
        <is>
          <t>LTE</t>
        </is>
      </c>
      <c r="H1657" s="48" t="n">
        <v>3900</v>
      </c>
      <c r="I1657" s="48" t="n"/>
      <c r="J1657" s="48" t="n"/>
      <c r="K1657" s="47">
        <f t="array" ref="K1657">_xlfn.XLOOKUP(1,(참조!$B$2:$B$15=E1657)*(참조!$D$2:$D$15=C1657)*(참조!$E$2:$E$15=D1657),참조!$C$2:$C$15,"")</f>
        <v/>
      </c>
    </row>
    <row r="1658" hidden="1" s="27">
      <c r="A1658" s="47" t="inlineStr">
        <is>
          <t>모빙</t>
        </is>
      </c>
      <c r="B1658" s="47" t="inlineStr">
        <is>
          <t>[K] 100분3GB</t>
        </is>
      </c>
      <c r="C1658" s="47" t="inlineStr">
        <is>
          <t>100분</t>
        </is>
      </c>
      <c r="D1658" s="47" t="inlineStr">
        <is>
          <t>100건</t>
        </is>
      </c>
      <c r="E1658" s="47" t="inlineStr">
        <is>
          <t>월 3GB</t>
        </is>
      </c>
      <c r="F1658" s="47" t="inlineStr">
        <is>
          <t>KT</t>
        </is>
      </c>
      <c r="G1658" s="47" t="inlineStr">
        <is>
          <t>LTE</t>
        </is>
      </c>
      <c r="H1658" s="48" t="n">
        <v>110</v>
      </c>
      <c r="I1658" s="48" t="n">
        <v>5</v>
      </c>
      <c r="J1658" s="48" t="n">
        <v>16500</v>
      </c>
      <c r="K1658" s="47">
        <f t="array" ref="K1658">_xlfn.XLOOKUP(1,(참조!$B$2:$B$15=E1658)*(참조!$D$2:$D$15=C1658)*(참조!$E$2:$E$15=D1658),참조!$C$2:$C$15,"")</f>
        <v/>
      </c>
    </row>
    <row r="1659" hidden="1" s="27">
      <c r="A1659" s="47" t="inlineStr">
        <is>
          <t>KT스카이라이프</t>
        </is>
      </c>
      <c r="B1659" s="47" t="inlineStr">
        <is>
          <t>5G 모두 충분 14GB+</t>
        </is>
      </c>
      <c r="C1659" s="47" t="inlineStr">
        <is>
          <t>무제한</t>
        </is>
      </c>
      <c r="D1659" s="47" t="inlineStr">
        <is>
          <t>무제한</t>
        </is>
      </c>
      <c r="E1659" s="47" t="inlineStr">
        <is>
          <t>월 14GB + 1Mbps</t>
        </is>
      </c>
      <c r="F1659" s="47" t="inlineStr">
        <is>
          <t>KT</t>
        </is>
      </c>
      <c r="G1659" s="47" t="inlineStr">
        <is>
          <t>5G</t>
        </is>
      </c>
      <c r="H1659" s="48" t="n">
        <v>33100</v>
      </c>
      <c r="I1659" s="48" t="n"/>
      <c r="J1659" s="48" t="n"/>
      <c r="K1659" s="47">
        <f t="array" ref="K1659">_xlfn.XLOOKUP(1,(참조!$B$2:$B$15=E1659)*(참조!$D$2:$D$15=C1659)*(참조!$E$2:$E$15=D1659),참조!$C$2:$C$15,"")</f>
        <v/>
      </c>
    </row>
    <row r="1660" hidden="1" s="27">
      <c r="A1660" s="47" t="inlineStr">
        <is>
          <t>티플러스</t>
        </is>
      </c>
      <c r="B1660" s="47" t="inlineStr">
        <is>
          <t>5G 티플 12GB(12GB/300분)</t>
        </is>
      </c>
      <c r="C1660" s="47" t="inlineStr">
        <is>
          <t>300분</t>
        </is>
      </c>
      <c r="D1660" s="47" t="inlineStr">
        <is>
          <t>100건</t>
        </is>
      </c>
      <c r="E1660" s="47" t="inlineStr">
        <is>
          <t>월 12GB</t>
        </is>
      </c>
      <c r="F1660" s="47" t="inlineStr">
        <is>
          <t>SKT</t>
        </is>
      </c>
      <c r="G1660" s="47" t="inlineStr">
        <is>
          <t>5G</t>
        </is>
      </c>
      <c r="H1660" s="48" t="n">
        <v>7000</v>
      </c>
      <c r="I1660" s="48" t="n">
        <v>4</v>
      </c>
      <c r="J1660" s="48" t="n">
        <v>18700</v>
      </c>
      <c r="K1660" s="47">
        <f t="array" ref="K1660">_xlfn.XLOOKUP(1,(참조!$B$2:$B$15=E1660)*(참조!$D$2:$D$15=C1660)*(참조!$E$2:$E$15=D1660),참조!$C$2:$C$15,"")</f>
        <v/>
      </c>
    </row>
    <row r="1661" hidden="1" s="27">
      <c r="A1661" s="47" t="inlineStr">
        <is>
          <t>모빙</t>
        </is>
      </c>
      <c r="B1661" s="47" t="inlineStr">
        <is>
          <t>[S] CU편의점 11GB+</t>
        </is>
      </c>
      <c r="C1661" s="47" t="inlineStr">
        <is>
          <t>무제한</t>
        </is>
      </c>
      <c r="D1661" s="47" t="inlineStr">
        <is>
          <t>무제한</t>
        </is>
      </c>
      <c r="E1661" s="47" t="inlineStr">
        <is>
          <t>월 11GB + 매일 2GB + 3Mbps</t>
        </is>
      </c>
      <c r="F1661" s="47" t="inlineStr">
        <is>
          <t>SKT</t>
        </is>
      </c>
      <c r="G1661" s="47" t="inlineStr">
        <is>
          <t>LTE</t>
        </is>
      </c>
      <c r="H1661" s="48" t="n">
        <v>18000</v>
      </c>
      <c r="I1661" s="48" t="n">
        <v>7</v>
      </c>
      <c r="J1661" s="48" t="n">
        <v>55000</v>
      </c>
      <c r="K1661" s="47">
        <f t="array" ref="K1661">_xlfn.XLOOKUP(1,(참조!$B$2:$B$15=E1661)*(참조!$D$2:$D$15=C1661)*(참조!$E$2:$E$15=D1661),참조!$C$2:$C$15,"")</f>
        <v/>
      </c>
    </row>
    <row r="1662" hidden="1" s="27">
      <c r="A1662" s="47" t="inlineStr">
        <is>
          <t>이야기모바일</t>
        </is>
      </c>
      <c r="B1662" s="47" t="inlineStr">
        <is>
          <t>내맘대로S(300+3GB)</t>
        </is>
      </c>
      <c r="C1662" s="47" t="inlineStr">
        <is>
          <t>300분</t>
        </is>
      </c>
      <c r="D1662" s="47" t="inlineStr">
        <is>
          <t>300건</t>
        </is>
      </c>
      <c r="E1662" s="47" t="inlineStr">
        <is>
          <t>월 3GB</t>
        </is>
      </c>
      <c r="F1662" s="47" t="inlineStr">
        <is>
          <t>SKT</t>
        </is>
      </c>
      <c r="G1662" s="47" t="inlineStr">
        <is>
          <t>LTE</t>
        </is>
      </c>
      <c r="H1662" s="48" t="n">
        <v>4000</v>
      </c>
      <c r="I1662" s="48" t="n">
        <v>4</v>
      </c>
      <c r="J1662" s="48" t="n">
        <v>9900</v>
      </c>
      <c r="K1662" s="47">
        <f t="array" ref="K1662">_xlfn.XLOOKUP(1,(참조!$B$2:$B$15=E1662)*(참조!$D$2:$D$15=C1662)*(참조!$E$2:$E$15=D1662),참조!$C$2:$C$15,"")</f>
        <v/>
      </c>
    </row>
    <row r="1663" hidden="1" s="27">
      <c r="A1663" s="47" t="inlineStr">
        <is>
          <t>아이즈모바일</t>
        </is>
      </c>
      <c r="B1663" s="47" t="inlineStr">
        <is>
          <t>[L]아이즈15GB+1Mbps</t>
        </is>
      </c>
      <c r="C1663" s="47" t="inlineStr">
        <is>
          <t>무제한</t>
        </is>
      </c>
      <c r="D1663" s="47" t="inlineStr">
        <is>
          <t>무제한</t>
        </is>
      </c>
      <c r="E1663" s="47" t="inlineStr">
        <is>
          <t>월 15GB + 1Mbps</t>
        </is>
      </c>
      <c r="F1663" s="47" t="inlineStr">
        <is>
          <t>LG U+</t>
        </is>
      </c>
      <c r="G1663" s="47" t="inlineStr">
        <is>
          <t>LTE</t>
        </is>
      </c>
      <c r="H1663" s="48" t="n">
        <v>8900</v>
      </c>
      <c r="I1663" s="48" t="n">
        <v>7</v>
      </c>
      <c r="J1663" s="48" t="n">
        <v>29700</v>
      </c>
      <c r="K1663" s="47">
        <f t="array" ref="K1663">_xlfn.XLOOKUP(1,(참조!$B$2:$B$15=E1663)*(참조!$D$2:$D$15=C1663)*(참조!$E$2:$E$15=D1663),참조!$C$2:$C$15,"")</f>
        <v/>
      </c>
    </row>
    <row r="1664" hidden="1" s="27">
      <c r="A1664" s="47" t="inlineStr">
        <is>
          <t>모빙</t>
        </is>
      </c>
      <c r="B1664" s="47" t="inlineStr">
        <is>
          <t>[K] 300분3GB</t>
        </is>
      </c>
      <c r="C1664" s="47" t="inlineStr">
        <is>
          <t>300분</t>
        </is>
      </c>
      <c r="D1664" s="47" t="inlineStr">
        <is>
          <t>300건</t>
        </is>
      </c>
      <c r="E1664" s="47" t="inlineStr">
        <is>
          <t>월 3GB</t>
        </is>
      </c>
      <c r="F1664" s="47" t="inlineStr">
        <is>
          <t>KT</t>
        </is>
      </c>
      <c r="G1664" s="47" t="inlineStr">
        <is>
          <t>LTE</t>
        </is>
      </c>
      <c r="H1664" s="48" t="n">
        <v>5500</v>
      </c>
      <c r="I1664" s="48" t="n"/>
      <c r="J1664" s="48" t="n"/>
      <c r="K1664" s="47">
        <f t="array" ref="K1664">_xlfn.XLOOKUP(1,(참조!$B$2:$B$15=E1664)*(참조!$D$2:$D$15=C1664)*(참조!$E$2:$E$15=D1664),참조!$C$2:$C$15,"")</f>
        <v/>
      </c>
    </row>
    <row r="1665" hidden="1" s="27">
      <c r="A1665" s="47" t="inlineStr">
        <is>
          <t>이야기모바일</t>
        </is>
      </c>
      <c r="B1665" s="47" t="inlineStr">
        <is>
          <t>이야기 라이트 250분2.5GB+</t>
        </is>
      </c>
      <c r="C1665" s="47" t="inlineStr">
        <is>
          <t>250분</t>
        </is>
      </c>
      <c r="D1665" s="47" t="inlineStr">
        <is>
          <t>250건</t>
        </is>
      </c>
      <c r="E1665" s="47" t="inlineStr">
        <is>
          <t>월 2.5GB + 1Mbps</t>
        </is>
      </c>
      <c r="F1665" s="47" t="inlineStr">
        <is>
          <t>LG U+</t>
        </is>
      </c>
      <c r="G1665" s="47" t="inlineStr">
        <is>
          <t>LTE</t>
        </is>
      </c>
      <c r="H1665" s="48" t="n">
        <v>13200</v>
      </c>
      <c r="I1665" s="48" t="n"/>
      <c r="J1665" s="48" t="n"/>
      <c r="K1665" s="47">
        <f t="array" ref="K1665">_xlfn.XLOOKUP(1,(참조!$B$2:$B$15=E1665)*(참조!$D$2:$D$15=C1665)*(참조!$E$2:$E$15=D1665),참조!$C$2:$C$15,"")</f>
        <v/>
      </c>
    </row>
    <row r="1666" hidden="1" s="27">
      <c r="A1666" s="47" t="inlineStr">
        <is>
          <t>스마텔</t>
        </is>
      </c>
      <c r="B1666" s="47" t="inlineStr">
        <is>
          <t>후후 스마일 10GB+</t>
        </is>
      </c>
      <c r="C1666" s="47" t="inlineStr">
        <is>
          <t>무제한</t>
        </is>
      </c>
      <c r="D1666" s="47" t="inlineStr">
        <is>
          <t>무제한</t>
        </is>
      </c>
      <c r="E1666" s="47" t="inlineStr">
        <is>
          <t>월 10GB + 1Mbps</t>
        </is>
      </c>
      <c r="F1666" s="47" t="inlineStr">
        <is>
          <t>SKT</t>
        </is>
      </c>
      <c r="G1666" s="47" t="inlineStr">
        <is>
          <t>LTE</t>
        </is>
      </c>
      <c r="H1666" s="48" t="n">
        <v>9830</v>
      </c>
      <c r="I1666" s="48" t="n">
        <v>7</v>
      </c>
      <c r="J1666" s="48" t="n">
        <v>32230</v>
      </c>
      <c r="K1666" s="47">
        <f t="array" ref="K1666">_xlfn.XLOOKUP(1,(참조!$B$2:$B$15=E1666)*(참조!$D$2:$D$15=C1666)*(참조!$E$2:$E$15=D1666),참조!$C$2:$C$15,"")</f>
        <v/>
      </c>
    </row>
    <row r="1667" hidden="1" s="27">
      <c r="A1667" s="47" t="inlineStr">
        <is>
          <t>아이즈모바일</t>
        </is>
      </c>
      <c r="B1667" s="47" t="inlineStr">
        <is>
          <t>[K]다이소 100GB+</t>
        </is>
      </c>
      <c r="C1667" s="47" t="inlineStr">
        <is>
          <t>무제한</t>
        </is>
      </c>
      <c r="D1667" s="47" t="inlineStr">
        <is>
          <t>무제한</t>
        </is>
      </c>
      <c r="E1667" s="47" t="inlineStr">
        <is>
          <t>월 100GB + 5Mbps</t>
        </is>
      </c>
      <c r="F1667" s="47" t="inlineStr">
        <is>
          <t>KT</t>
        </is>
      </c>
      <c r="G1667" s="47" t="inlineStr">
        <is>
          <t>LTE</t>
        </is>
      </c>
      <c r="H1667" s="48" t="n">
        <v>20000</v>
      </c>
      <c r="I1667" s="48" t="n">
        <v>7</v>
      </c>
      <c r="J1667" s="48" t="n">
        <v>53900</v>
      </c>
      <c r="K1667" s="47">
        <f t="array" ref="K1667">_xlfn.XLOOKUP(1,(참조!$B$2:$B$15=E1667)*(참조!$D$2:$D$15=C1667)*(참조!$E$2:$E$15=D1667),참조!$C$2:$C$15,"")</f>
        <v/>
      </c>
    </row>
    <row r="1668" hidden="1" s="27">
      <c r="A1668" s="47" t="inlineStr">
        <is>
          <t>티플러스</t>
        </is>
      </c>
      <c r="B1668" s="47" t="inlineStr">
        <is>
          <t>The 통화마음껏 1.5GB</t>
        </is>
      </c>
      <c r="C1668" s="47" t="inlineStr">
        <is>
          <t>무제한</t>
        </is>
      </c>
      <c r="D1668" s="47" t="inlineStr">
        <is>
          <t>무제한</t>
        </is>
      </c>
      <c r="E1668" s="47" t="inlineStr">
        <is>
          <t>월 1.5GB</t>
        </is>
      </c>
      <c r="F1668" s="47" t="inlineStr">
        <is>
          <t>SKT</t>
        </is>
      </c>
      <c r="G1668" s="47" t="inlineStr">
        <is>
          <t>LTE</t>
        </is>
      </c>
      <c r="H1668" s="48" t="n">
        <v>20900</v>
      </c>
      <c r="I1668" s="48" t="n"/>
      <c r="J1668" s="48" t="n"/>
      <c r="K1668" s="47">
        <f t="array" ref="K1668">_xlfn.XLOOKUP(1,(참조!$B$2:$B$15=E1668)*(참조!$D$2:$D$15=C1668)*(참조!$E$2:$E$15=D1668),참조!$C$2:$C$15,"")</f>
        <v/>
      </c>
    </row>
    <row r="1669" hidden="1" s="27">
      <c r="A1669" s="47" t="inlineStr">
        <is>
          <t>아이즈모바일</t>
        </is>
      </c>
      <c r="B1669" s="47" t="inlineStr">
        <is>
          <t>[K]롯시&amp;밀리 7GB+</t>
        </is>
      </c>
      <c r="C1669" s="47" t="inlineStr">
        <is>
          <t>무제한</t>
        </is>
      </c>
      <c r="D1669" s="47" t="inlineStr">
        <is>
          <t>무제한</t>
        </is>
      </c>
      <c r="E1669" s="47" t="inlineStr">
        <is>
          <t>월 7GB + 1Mbps</t>
        </is>
      </c>
      <c r="F1669" s="47" t="inlineStr">
        <is>
          <t>KT</t>
        </is>
      </c>
      <c r="G1669" s="47" t="inlineStr">
        <is>
          <t>LTE</t>
        </is>
      </c>
      <c r="H1669" s="48" t="n">
        <v>4900</v>
      </c>
      <c r="I1669" s="48" t="n">
        <v>7</v>
      </c>
      <c r="J1669" s="48" t="n">
        <v>28600</v>
      </c>
      <c r="K1669" s="47">
        <f t="array" ref="K1669">_xlfn.XLOOKUP(1,(참조!$B$2:$B$15=E1669)*(참조!$D$2:$D$15=C1669)*(참조!$E$2:$E$15=D1669),참조!$C$2:$C$15,"")</f>
        <v/>
      </c>
    </row>
    <row r="1670" hidden="1" s="27">
      <c r="A1670" s="47" t="inlineStr">
        <is>
          <t>이지모바일</t>
        </is>
      </c>
      <c r="B1670" s="47" t="inlineStr">
        <is>
          <t>EG 무제한 10G+1(밀리의 서재)</t>
        </is>
      </c>
      <c r="C1670" s="47" t="inlineStr">
        <is>
          <t>무제한</t>
        </is>
      </c>
      <c r="D1670" s="47" t="inlineStr">
        <is>
          <t>무제한</t>
        </is>
      </c>
      <c r="E1670" s="47" t="inlineStr">
        <is>
          <t>월 10GB + 1Mbps</t>
        </is>
      </c>
      <c r="F1670" s="47" t="inlineStr">
        <is>
          <t>KT</t>
        </is>
      </c>
      <c r="G1670" s="47" t="inlineStr">
        <is>
          <t>LTE</t>
        </is>
      </c>
      <c r="H1670" s="48" t="n">
        <v>8140</v>
      </c>
      <c r="I1670" s="48" t="n">
        <v>7</v>
      </c>
      <c r="J1670" s="48" t="n">
        <v>24200</v>
      </c>
      <c r="K1670" s="47">
        <f t="array" ref="K1670">_xlfn.XLOOKUP(1,(참조!$B$2:$B$15=E1670)*(참조!$D$2:$D$15=C1670)*(참조!$E$2:$E$15=D1670),참조!$C$2:$C$15,"")</f>
        <v/>
      </c>
    </row>
    <row r="1671" hidden="1" s="27">
      <c r="A1671" s="47" t="inlineStr">
        <is>
          <t>모빙</t>
        </is>
      </c>
      <c r="B1671" s="47" t="inlineStr">
        <is>
          <t>[K] 데이터 100GB+</t>
        </is>
      </c>
      <c r="C1671" s="47" t="inlineStr">
        <is>
          <t>무제한</t>
        </is>
      </c>
      <c r="D1671" s="47" t="inlineStr">
        <is>
          <t>무제한</t>
        </is>
      </c>
      <c r="E1671" s="47" t="inlineStr">
        <is>
          <t>월 100GB + 5Mbps</t>
        </is>
      </c>
      <c r="F1671" s="47" t="inlineStr">
        <is>
          <t>KT</t>
        </is>
      </c>
      <c r="G1671" s="47" t="inlineStr">
        <is>
          <t>LTE</t>
        </is>
      </c>
      <c r="H1671" s="48" t="n">
        <v>19800</v>
      </c>
      <c r="I1671" s="48" t="n">
        <v>7</v>
      </c>
      <c r="J1671" s="48" t="n">
        <v>50600</v>
      </c>
      <c r="K1671" s="47">
        <f t="array" ref="K1671">_xlfn.XLOOKUP(1,(참조!$B$2:$B$15=E1671)*(참조!$D$2:$D$15=C1671)*(참조!$E$2:$E$15=D1671),참조!$C$2:$C$15,"")</f>
        <v/>
      </c>
    </row>
    <row r="1672" hidden="1" s="27">
      <c r="A1672" s="47" t="inlineStr">
        <is>
          <t>모빙</t>
        </is>
      </c>
      <c r="B1672" s="47" t="inlineStr">
        <is>
          <t>[K] 다이소 11GB+</t>
        </is>
      </c>
      <c r="C1672" s="47" t="inlineStr">
        <is>
          <t>무제한</t>
        </is>
      </c>
      <c r="D1672" s="47" t="inlineStr">
        <is>
          <t>무제한</t>
        </is>
      </c>
      <c r="E1672" s="47" t="inlineStr">
        <is>
          <t>월 11GB + 매일 2GB + 3Mbps</t>
        </is>
      </c>
      <c r="F1672" s="47" t="inlineStr">
        <is>
          <t>KT</t>
        </is>
      </c>
      <c r="G1672" s="47" t="inlineStr">
        <is>
          <t>LTE</t>
        </is>
      </c>
      <c r="H1672" s="48" t="n">
        <v>19800</v>
      </c>
      <c r="I1672" s="48" t="n">
        <v>7</v>
      </c>
      <c r="J1672" s="48" t="n">
        <v>52800</v>
      </c>
      <c r="K1672" s="47">
        <f t="array" ref="K1672">_xlfn.XLOOKUP(1,(참조!$B$2:$B$15=E1672)*(참조!$D$2:$D$15=C1672)*(참조!$E$2:$E$15=D1672),참조!$C$2:$C$15,"")</f>
        <v/>
      </c>
    </row>
    <row r="1673" hidden="1" s="27">
      <c r="A1673" s="47" t="inlineStr">
        <is>
          <t>모빙</t>
        </is>
      </c>
      <c r="B1673" s="47" t="inlineStr">
        <is>
          <t>실속 300분15GB+</t>
        </is>
      </c>
      <c r="C1673" s="47" t="inlineStr">
        <is>
          <t>300분</t>
        </is>
      </c>
      <c r="D1673" s="47" t="inlineStr">
        <is>
          <t>300건</t>
        </is>
      </c>
      <c r="E1673" s="47" t="inlineStr">
        <is>
          <t>월 15GB + 3Mbps</t>
        </is>
      </c>
      <c r="F1673" s="47" t="inlineStr">
        <is>
          <t>LG U+</t>
        </is>
      </c>
      <c r="G1673" s="47" t="inlineStr">
        <is>
          <t>LTE</t>
        </is>
      </c>
      <c r="H1673" s="48" t="n">
        <v>16000</v>
      </c>
      <c r="I1673" s="48" t="n">
        <v>7</v>
      </c>
      <c r="J1673" s="48" t="n">
        <v>40000</v>
      </c>
      <c r="K1673" s="47">
        <f t="array" ref="K1673">_xlfn.XLOOKUP(1,(참조!$B$2:$B$15=E1673)*(참조!$D$2:$D$15=C1673)*(참조!$E$2:$E$15=D1673),참조!$C$2:$C$15,"")</f>
        <v/>
      </c>
    </row>
    <row r="1674" hidden="1" s="27">
      <c r="A1674" s="47" t="inlineStr">
        <is>
          <t>티플러스</t>
        </is>
      </c>
      <c r="B1674" s="47" t="inlineStr">
        <is>
          <t>데이터안심 10GB＋(100분)</t>
        </is>
      </c>
      <c r="C1674" s="47" t="inlineStr">
        <is>
          <t>100분</t>
        </is>
      </c>
      <c r="D1674" s="47" t="inlineStr">
        <is>
          <t>100건</t>
        </is>
      </c>
      <c r="E1674" s="47" t="inlineStr">
        <is>
          <t>월 10GB + 400Kbps</t>
        </is>
      </c>
      <c r="F1674" s="47" t="inlineStr">
        <is>
          <t>SKT</t>
        </is>
      </c>
      <c r="G1674" s="47" t="inlineStr">
        <is>
          <t>LTE</t>
        </is>
      </c>
      <c r="H1674" s="48" t="n">
        <v>11000</v>
      </c>
      <c r="I1674" s="48" t="n">
        <v>7</v>
      </c>
      <c r="J1674" s="48" t="n">
        <v>19250</v>
      </c>
      <c r="K1674" s="47">
        <f t="array" ref="K1674">_xlfn.XLOOKUP(1,(참조!$B$2:$B$15=E1674)*(참조!$D$2:$D$15=C1674)*(참조!$E$2:$E$15=D1674),참조!$C$2:$C$15,"")</f>
        <v/>
      </c>
    </row>
    <row r="1675" hidden="1" s="27">
      <c r="A1675" s="47" t="inlineStr">
        <is>
          <t>모빙</t>
        </is>
      </c>
      <c r="B1675" s="47" t="inlineStr">
        <is>
          <t>[K] 웨이브베이직 11GB+</t>
        </is>
      </c>
      <c r="C1675" s="47" t="inlineStr">
        <is>
          <t>무제한</t>
        </is>
      </c>
      <c r="D1675" s="47" t="inlineStr">
        <is>
          <t>무제한</t>
        </is>
      </c>
      <c r="E1675" s="47" t="inlineStr">
        <is>
          <t>월 11GB + 매일 2GB + 3Mbps</t>
        </is>
      </c>
      <c r="F1675" s="47" t="inlineStr">
        <is>
          <t>KT</t>
        </is>
      </c>
      <c r="G1675" s="47" t="inlineStr">
        <is>
          <t>LTE</t>
        </is>
      </c>
      <c r="H1675" s="48" t="n">
        <v>19800</v>
      </c>
      <c r="I1675" s="48" t="n">
        <v>7</v>
      </c>
      <c r="J1675" s="48" t="n">
        <v>53900</v>
      </c>
      <c r="K1675" s="47">
        <f t="array" ref="K1675">_xlfn.XLOOKUP(1,(참조!$B$2:$B$15=E1675)*(참조!$D$2:$D$15=C1675)*(참조!$E$2:$E$15=D1675),참조!$C$2:$C$15,"")</f>
        <v/>
      </c>
    </row>
    <row r="1676" hidden="1" s="27">
      <c r="A1676" s="47" t="inlineStr">
        <is>
          <t>티플러스</t>
        </is>
      </c>
      <c r="B1676" s="47" t="inlineStr">
        <is>
          <t>티플 드림(3GB/200분)</t>
        </is>
      </c>
      <c r="C1676" s="47" t="inlineStr">
        <is>
          <t>200분</t>
        </is>
      </c>
      <c r="D1676" s="47" t="inlineStr">
        <is>
          <t>200건</t>
        </is>
      </c>
      <c r="E1676" s="47" t="inlineStr">
        <is>
          <t>월 3GB</t>
        </is>
      </c>
      <c r="F1676" s="47" t="inlineStr">
        <is>
          <t>SKT</t>
        </is>
      </c>
      <c r="G1676" s="47" t="inlineStr">
        <is>
          <t>LTE</t>
        </is>
      </c>
      <c r="H1676" s="48" t="n">
        <v>2000</v>
      </c>
      <c r="I1676" s="48" t="n">
        <v>4</v>
      </c>
      <c r="J1676" s="48" t="n">
        <v>7700</v>
      </c>
      <c r="K1676" s="47">
        <f t="array" ref="K1676">_xlfn.XLOOKUP(1,(참조!$B$2:$B$15=E1676)*(참조!$D$2:$D$15=C1676)*(참조!$E$2:$E$15=D1676),참조!$C$2:$C$15,"")</f>
        <v/>
      </c>
    </row>
    <row r="1677" hidden="1" s="27">
      <c r="A1677" s="47" t="inlineStr">
        <is>
          <t>모빙</t>
        </is>
      </c>
      <c r="B1677" s="47" t="inlineStr">
        <is>
          <t>[K] 데이터 일5GB+</t>
        </is>
      </c>
      <c r="C1677" s="47" t="inlineStr">
        <is>
          <t>무제한</t>
        </is>
      </c>
      <c r="D1677" s="47" t="inlineStr">
        <is>
          <t>무제한</t>
        </is>
      </c>
      <c r="E1677" s="47" t="inlineStr">
        <is>
          <t>매일 5GB + 5Mbps</t>
        </is>
      </c>
      <c r="F1677" s="47" t="inlineStr">
        <is>
          <t>KT</t>
        </is>
      </c>
      <c r="G1677" s="47" t="inlineStr">
        <is>
          <t>LTE</t>
        </is>
      </c>
      <c r="H1677" s="48" t="n">
        <v>19800</v>
      </c>
      <c r="I1677" s="48" t="n">
        <v>7</v>
      </c>
      <c r="J1677" s="48" t="n">
        <v>51700</v>
      </c>
      <c r="K1677" s="47">
        <f t="array" ref="K1677">_xlfn.XLOOKUP(1,(참조!$B$2:$B$15=E1677)*(참조!$D$2:$D$15=C1677)*(참조!$E$2:$E$15=D1677),참조!$C$2:$C$15,"")</f>
        <v/>
      </c>
    </row>
    <row r="1678" hidden="1" s="27">
      <c r="A1678" s="47" t="inlineStr">
        <is>
          <t>모빙</t>
        </is>
      </c>
      <c r="B1678" s="47" t="inlineStr">
        <is>
          <t>[K] 모아진 100GB+</t>
        </is>
      </c>
      <c r="C1678" s="47" t="inlineStr">
        <is>
          <t>무제한</t>
        </is>
      </c>
      <c r="D1678" s="47" t="inlineStr">
        <is>
          <t>무제한</t>
        </is>
      </c>
      <c r="E1678" s="47" t="inlineStr">
        <is>
          <t>월 100GB + 5Mbps</t>
        </is>
      </c>
      <c r="F1678" s="47" t="inlineStr">
        <is>
          <t>KT</t>
        </is>
      </c>
      <c r="G1678" s="47" t="inlineStr">
        <is>
          <t>LTE</t>
        </is>
      </c>
      <c r="H1678" s="48" t="n">
        <v>19800</v>
      </c>
      <c r="I1678" s="48" t="n">
        <v>7</v>
      </c>
      <c r="J1678" s="48" t="n">
        <v>57200</v>
      </c>
      <c r="K1678" s="47">
        <f t="array" ref="K1678">_xlfn.XLOOKUP(1,(참조!$B$2:$B$15=E1678)*(참조!$D$2:$D$15=C1678)*(참조!$E$2:$E$15=D1678),참조!$C$2:$C$15,"")</f>
        <v/>
      </c>
    </row>
    <row r="1679" hidden="1" s="27">
      <c r="A1679" s="47" t="inlineStr">
        <is>
          <t>아이즈모바일</t>
        </is>
      </c>
      <c r="B1679" s="47" t="inlineStr">
        <is>
          <t>[S]올리브영10GB+1Mbps</t>
        </is>
      </c>
      <c r="C1679" s="47" t="inlineStr">
        <is>
          <t>무제한</t>
        </is>
      </c>
      <c r="D1679" s="47" t="inlineStr">
        <is>
          <t>무제한</t>
        </is>
      </c>
      <c r="E1679" s="47" t="inlineStr">
        <is>
          <t>월 10GB + 1Mbps</t>
        </is>
      </c>
      <c r="F1679" s="47" t="inlineStr">
        <is>
          <t>SKT</t>
        </is>
      </c>
      <c r="G1679" s="47" t="inlineStr">
        <is>
          <t>LTE</t>
        </is>
      </c>
      <c r="H1679" s="48" t="n">
        <v>4000</v>
      </c>
      <c r="I1679" s="48" t="n">
        <v>7</v>
      </c>
      <c r="J1679" s="48" t="n">
        <v>33000</v>
      </c>
      <c r="K1679" s="47">
        <f t="array" ref="K1679">_xlfn.XLOOKUP(1,(참조!$B$2:$B$15=E1679)*(참조!$D$2:$D$15=C1679)*(참조!$E$2:$E$15=D1679),참조!$C$2:$C$15,"")</f>
        <v/>
      </c>
    </row>
    <row r="1680" hidden="1" s="27">
      <c r="A1680" s="47" t="inlineStr">
        <is>
          <t>에이모바일</t>
        </is>
      </c>
      <c r="B1680" s="47" t="inlineStr">
        <is>
          <t>A 올라잇 5GB/200분</t>
        </is>
      </c>
      <c r="C1680" s="47" t="inlineStr">
        <is>
          <t>200분</t>
        </is>
      </c>
      <c r="D1680" s="47" t="inlineStr">
        <is>
          <t>100건</t>
        </is>
      </c>
      <c r="E1680" s="47" t="inlineStr">
        <is>
          <t>월 5GB</t>
        </is>
      </c>
      <c r="F1680" s="47" t="inlineStr">
        <is>
          <t>KT</t>
        </is>
      </c>
      <c r="G1680" s="47" t="inlineStr">
        <is>
          <t>LTE</t>
        </is>
      </c>
      <c r="H1680" s="48" t="n">
        <v>550</v>
      </c>
      <c r="I1680" s="48" t="n">
        <v>7</v>
      </c>
      <c r="J1680" s="48" t="n">
        <v>11000</v>
      </c>
      <c r="K1680" s="47">
        <f t="array" ref="K1680">_xlfn.XLOOKUP(1,(참조!$B$2:$B$15=E1680)*(참조!$D$2:$D$15=C1680)*(참조!$E$2:$E$15=D1680),참조!$C$2:$C$15,"")</f>
        <v/>
      </c>
    </row>
    <row r="1681" hidden="1" s="27">
      <c r="A1681" s="47" t="inlineStr">
        <is>
          <t>아이즈모바일</t>
        </is>
      </c>
      <c r="B1681" s="47" t="inlineStr">
        <is>
          <t>[L]5G 데이터안심(기본제공/4.5GB+)</t>
        </is>
      </c>
      <c r="C1681" s="47" t="inlineStr">
        <is>
          <t>무제한</t>
        </is>
      </c>
      <c r="D1681" s="47" t="inlineStr">
        <is>
          <t>무제한</t>
        </is>
      </c>
      <c r="E1681" s="47" t="inlineStr">
        <is>
          <t>월 4.5GB + 1Mbps</t>
        </is>
      </c>
      <c r="F1681" s="47" t="inlineStr">
        <is>
          <t>LG U+</t>
        </is>
      </c>
      <c r="G1681" s="47" t="inlineStr">
        <is>
          <t>5G</t>
        </is>
      </c>
      <c r="H1681" s="48" t="n">
        <v>1100</v>
      </c>
      <c r="I1681" s="48" t="n">
        <v>6</v>
      </c>
      <c r="J1681" s="48" t="n">
        <v>17600</v>
      </c>
      <c r="K1681" s="47">
        <f t="array" ref="K1681">_xlfn.XLOOKUP(1,(참조!$B$2:$B$15=E1681)*(참조!$D$2:$D$15=C1681)*(참조!$E$2:$E$15=D1681),참조!$C$2:$C$15,"")</f>
        <v/>
      </c>
    </row>
    <row r="1682" hidden="1" s="27">
      <c r="A1682" s="47" t="inlineStr">
        <is>
          <t>아이즈모바일</t>
        </is>
      </c>
      <c r="B1682" s="47" t="inlineStr">
        <is>
          <t>[S]이디야 화이트 10GB+</t>
        </is>
      </c>
      <c r="C1682" s="47" t="inlineStr">
        <is>
          <t>무제한</t>
        </is>
      </c>
      <c r="D1682" s="47" t="inlineStr">
        <is>
          <t>무제한</t>
        </is>
      </c>
      <c r="E1682" s="47" t="inlineStr">
        <is>
          <t>월 10GB + 1Mbps</t>
        </is>
      </c>
      <c r="F1682" s="47" t="inlineStr">
        <is>
          <t>SKT</t>
        </is>
      </c>
      <c r="G1682" s="47" t="inlineStr">
        <is>
          <t>LTE</t>
        </is>
      </c>
      <c r="H1682" s="48" t="n">
        <v>4000</v>
      </c>
      <c r="I1682" s="48" t="n">
        <v>7</v>
      </c>
      <c r="J1682" s="48" t="n">
        <v>31900</v>
      </c>
      <c r="K1682" s="47">
        <f t="array" ref="K1682">_xlfn.XLOOKUP(1,(참조!$B$2:$B$15=E1682)*(참조!$D$2:$D$15=C1682)*(참조!$E$2:$E$15=D1682),참조!$C$2:$C$15,"")</f>
        <v/>
      </c>
    </row>
    <row r="1683" hidden="1" s="27">
      <c r="A1683" s="47" t="inlineStr">
        <is>
          <t>스마텔</t>
        </is>
      </c>
      <c r="B1683" s="47" t="inlineStr">
        <is>
          <t>후후 스마일 (200분/3GB+)</t>
        </is>
      </c>
      <c r="C1683" s="47" t="inlineStr">
        <is>
          <t>200분</t>
        </is>
      </c>
      <c r="D1683" s="47" t="inlineStr">
        <is>
          <t>100건</t>
        </is>
      </c>
      <c r="E1683" s="47" t="inlineStr">
        <is>
          <t>월 3GB + 1Mbps</t>
        </is>
      </c>
      <c r="F1683" s="47" t="inlineStr">
        <is>
          <t>SKT</t>
        </is>
      </c>
      <c r="G1683" s="47" t="inlineStr">
        <is>
          <t>LTE</t>
        </is>
      </c>
      <c r="H1683" s="48" t="n">
        <v>13200</v>
      </c>
      <c r="I1683" s="48" t="n"/>
      <c r="J1683" s="48" t="n"/>
      <c r="K1683" s="47">
        <f t="array" ref="K1683">_xlfn.XLOOKUP(1,(참조!$B$2:$B$15=E1683)*(참조!$D$2:$D$15=C1683)*(참조!$E$2:$E$15=D1683),참조!$C$2:$C$15,"")</f>
        <v/>
      </c>
    </row>
    <row r="1684" hidden="1" s="27">
      <c r="A1684" s="47" t="inlineStr">
        <is>
          <t>스마텔</t>
        </is>
      </c>
      <c r="B1684" s="47" t="inlineStr">
        <is>
          <t>후후 플러스 (50분+1.8GB)</t>
        </is>
      </c>
      <c r="C1684" s="47" t="inlineStr">
        <is>
          <t>50분</t>
        </is>
      </c>
      <c r="D1684" s="47" t="inlineStr">
        <is>
          <t>50건</t>
        </is>
      </c>
      <c r="E1684" s="47" t="inlineStr">
        <is>
          <t>월 1.8GB</t>
        </is>
      </c>
      <c r="F1684" s="47" t="inlineStr">
        <is>
          <t>SKT</t>
        </is>
      </c>
      <c r="G1684" s="47" t="inlineStr">
        <is>
          <t>LTE</t>
        </is>
      </c>
      <c r="H1684" s="48" t="n">
        <v>2090</v>
      </c>
      <c r="I1684" s="48" t="n">
        <v>5</v>
      </c>
      <c r="J1684" s="48" t="n">
        <v>3630</v>
      </c>
      <c r="K1684" s="47">
        <f t="array" ref="K1684">_xlfn.XLOOKUP(1,(참조!$B$2:$B$15=E1684)*(참조!$D$2:$D$15=C1684)*(참조!$E$2:$E$15=D1684),참조!$C$2:$C$15,"")</f>
        <v/>
      </c>
    </row>
    <row r="1685" hidden="1" s="27">
      <c r="A1685" s="47" t="inlineStr">
        <is>
          <t>이야기모바일</t>
        </is>
      </c>
      <c r="B1685" s="47" t="inlineStr">
        <is>
          <t>이야기 300분+5GB (5G)</t>
        </is>
      </c>
      <c r="C1685" s="47" t="inlineStr">
        <is>
          <t>300분</t>
        </is>
      </c>
      <c r="D1685" s="47" t="inlineStr">
        <is>
          <t>50건</t>
        </is>
      </c>
      <c r="E1685" s="47" t="inlineStr">
        <is>
          <t>월 5GB</t>
        </is>
      </c>
      <c r="F1685" s="47" t="inlineStr">
        <is>
          <t>SKT</t>
        </is>
      </c>
      <c r="G1685" s="47" t="inlineStr">
        <is>
          <t>5G</t>
        </is>
      </c>
      <c r="H1685" s="48" t="n">
        <v>7700</v>
      </c>
      <c r="I1685" s="48" t="n"/>
      <c r="J1685" s="48" t="n"/>
      <c r="K1685" s="47">
        <f t="array" ref="K1685">_xlfn.XLOOKUP(1,(참조!$B$2:$B$15=E1685)*(참조!$D$2:$D$15=C1685)*(참조!$E$2:$E$15=D1685),참조!$C$2:$C$15,"")</f>
        <v/>
      </c>
    </row>
    <row r="1686" hidden="1" s="27">
      <c r="A1686" s="47" t="inlineStr">
        <is>
          <t>이야기모바일</t>
        </is>
      </c>
      <c r="B1686" s="47" t="inlineStr">
        <is>
          <t>내맘대로S(500+500MB)</t>
        </is>
      </c>
      <c r="C1686" s="47" t="inlineStr">
        <is>
          <t>500분</t>
        </is>
      </c>
      <c r="D1686" s="47" t="inlineStr">
        <is>
          <t>500건</t>
        </is>
      </c>
      <c r="E1686" s="47" t="inlineStr">
        <is>
          <t>월 500MB</t>
        </is>
      </c>
      <c r="F1686" s="47" t="inlineStr">
        <is>
          <t>SKT</t>
        </is>
      </c>
      <c r="G1686" s="47" t="inlineStr">
        <is>
          <t>LTE</t>
        </is>
      </c>
      <c r="H1686" s="48" t="n">
        <v>7700</v>
      </c>
      <c r="I1686" s="48" t="n">
        <v>12</v>
      </c>
      <c r="J1686" s="48" t="n">
        <v>11000</v>
      </c>
      <c r="K1686" s="47">
        <f t="array" ref="K1686">_xlfn.XLOOKUP(1,(참조!$B$2:$B$15=E1686)*(참조!$D$2:$D$15=C1686)*(참조!$E$2:$E$15=D1686),참조!$C$2:$C$15,"")</f>
        <v/>
      </c>
    </row>
    <row r="1687" hidden="1" s="27">
      <c r="A1687" s="47" t="inlineStr">
        <is>
          <t>아이즈모바일</t>
        </is>
      </c>
      <c r="B1687" s="47" t="inlineStr">
        <is>
          <t>[S]무한300분/15GB+</t>
        </is>
      </c>
      <c r="C1687" s="47" t="inlineStr">
        <is>
          <t>300분</t>
        </is>
      </c>
      <c r="D1687" s="47" t="inlineStr">
        <is>
          <t>300건</t>
        </is>
      </c>
      <c r="E1687" s="47" t="inlineStr">
        <is>
          <t>월 15GB + 3Mbps</t>
        </is>
      </c>
      <c r="F1687" s="47" t="inlineStr">
        <is>
          <t>SKT</t>
        </is>
      </c>
      <c r="G1687" s="47" t="inlineStr">
        <is>
          <t>LTE</t>
        </is>
      </c>
      <c r="H1687" s="48" t="n">
        <v>25000</v>
      </c>
      <c r="I1687" s="48" t="n">
        <v>36</v>
      </c>
      <c r="J1687" s="48" t="n">
        <v>36300</v>
      </c>
      <c r="K1687" s="47">
        <f t="array" ref="K1687">_xlfn.XLOOKUP(1,(참조!$B$2:$B$15=E1687)*(참조!$D$2:$D$15=C1687)*(참조!$E$2:$E$15=D1687),참조!$C$2:$C$15,"")</f>
        <v/>
      </c>
    </row>
    <row r="1688" hidden="1" s="27">
      <c r="A1688" s="47" t="inlineStr">
        <is>
          <t>모빙</t>
        </is>
      </c>
      <c r="B1688" s="47" t="inlineStr">
        <is>
          <t>5G 홈결합 150GB+</t>
        </is>
      </c>
      <c r="C1688" s="47" t="inlineStr">
        <is>
          <t>무제한</t>
        </is>
      </c>
      <c r="D1688" s="47" t="inlineStr">
        <is>
          <t>무제한</t>
        </is>
      </c>
      <c r="E1688" s="47" t="inlineStr">
        <is>
          <t>월 150GB + 5Mbps</t>
        </is>
      </c>
      <c r="F1688" s="47" t="inlineStr">
        <is>
          <t>LG U+</t>
        </is>
      </c>
      <c r="G1688" s="47" t="inlineStr">
        <is>
          <t>5G</t>
        </is>
      </c>
      <c r="H1688" s="48" t="n">
        <v>38000</v>
      </c>
      <c r="I1688" s="48" t="n">
        <v>12</v>
      </c>
      <c r="J1688" s="48" t="n">
        <v>60500</v>
      </c>
      <c r="K1688" s="47">
        <f t="array" ref="K1688">_xlfn.XLOOKUP(1,(참조!$B$2:$B$15=E1688)*(참조!$D$2:$D$15=C1688)*(참조!$E$2:$E$15=D1688),참조!$C$2:$C$15,"")</f>
        <v/>
      </c>
    </row>
    <row r="1689" hidden="1" s="27">
      <c r="A1689" s="47" t="inlineStr">
        <is>
          <t>아이즈모바일</t>
        </is>
      </c>
      <c r="B1689" s="47" t="inlineStr">
        <is>
          <t>[K]올리브영 100GB+</t>
        </is>
      </c>
      <c r="C1689" s="47" t="inlineStr">
        <is>
          <t>무제한</t>
        </is>
      </c>
      <c r="D1689" s="47" t="inlineStr">
        <is>
          <t>무제한</t>
        </is>
      </c>
      <c r="E1689" s="47" t="inlineStr">
        <is>
          <t>월 100GB + 5Mbps</t>
        </is>
      </c>
      <c r="F1689" s="47" t="inlineStr">
        <is>
          <t>KT</t>
        </is>
      </c>
      <c r="G1689" s="47" t="inlineStr">
        <is>
          <t>LTE</t>
        </is>
      </c>
      <c r="H1689" s="48" t="n">
        <v>20000</v>
      </c>
      <c r="I1689" s="48" t="n">
        <v>7</v>
      </c>
      <c r="J1689" s="48" t="n">
        <v>53900</v>
      </c>
      <c r="K1689" s="47">
        <f t="array" ref="K1689">_xlfn.XLOOKUP(1,(참조!$B$2:$B$15=E1689)*(참조!$D$2:$D$15=C1689)*(참조!$E$2:$E$15=D1689),참조!$C$2:$C$15,"")</f>
        <v/>
      </c>
    </row>
    <row r="1690" hidden="1" s="27">
      <c r="A1690" s="47" t="inlineStr">
        <is>
          <t>에이모바일</t>
        </is>
      </c>
      <c r="B1690" s="47" t="inlineStr">
        <is>
          <t>A 올라잇 2.5GB/200분</t>
        </is>
      </c>
      <c r="C1690" s="47" t="inlineStr">
        <is>
          <t>200분</t>
        </is>
      </c>
      <c r="D1690" s="47" t="inlineStr">
        <is>
          <t>200건</t>
        </is>
      </c>
      <c r="E1690" s="47" t="inlineStr">
        <is>
          <t>월 2.5GB</t>
        </is>
      </c>
      <c r="F1690" s="47" t="inlineStr">
        <is>
          <t>KT</t>
        </is>
      </c>
      <c r="G1690" s="47" t="inlineStr">
        <is>
          <t>LTE</t>
        </is>
      </c>
      <c r="H1690" s="48" t="n">
        <v>220</v>
      </c>
      <c r="I1690" s="48" t="n">
        <v>7</v>
      </c>
      <c r="J1690" s="48" t="n">
        <v>7700</v>
      </c>
      <c r="K1690" s="47">
        <f t="array" ref="K1690">_xlfn.XLOOKUP(1,(참조!$B$2:$B$15=E1690)*(참조!$D$2:$D$15=C1690)*(참조!$E$2:$E$15=D1690),참조!$C$2:$C$15,"")</f>
        <v/>
      </c>
    </row>
    <row r="1691" hidden="1" s="27">
      <c r="A1691" s="47" t="inlineStr">
        <is>
          <t>시월모바일</t>
        </is>
      </c>
      <c r="B1691" s="47" t="inlineStr">
        <is>
          <t>시월5G 무제한 80GB+1Mbps</t>
        </is>
      </c>
      <c r="C1691" s="47" t="inlineStr">
        <is>
          <t>무제한</t>
        </is>
      </c>
      <c r="D1691" s="47" t="inlineStr">
        <is>
          <t>무제한</t>
        </is>
      </c>
      <c r="E1691" s="47" t="inlineStr">
        <is>
          <t>월 80GB + 1Mbps</t>
        </is>
      </c>
      <c r="F1691" s="47" t="inlineStr">
        <is>
          <t>LG U+</t>
        </is>
      </c>
      <c r="G1691" s="47" t="inlineStr">
        <is>
          <t>5G</t>
        </is>
      </c>
      <c r="H1691" s="48" t="n">
        <v>24300</v>
      </c>
      <c r="I1691" s="48" t="n">
        <v>7</v>
      </c>
      <c r="J1691" s="48" t="n">
        <v>43000</v>
      </c>
      <c r="K1691" s="47">
        <f t="array" ref="K1691">_xlfn.XLOOKUP(1,(참조!$B$2:$B$15=E1691)*(참조!$D$2:$D$15=C1691)*(참조!$E$2:$E$15=D1691),참조!$C$2:$C$15,"")</f>
        <v/>
      </c>
    </row>
    <row r="1692" hidden="1" s="27">
      <c r="A1692" s="47" t="inlineStr">
        <is>
          <t>리브모바일</t>
        </is>
      </c>
      <c r="B1692" s="47" t="inlineStr">
        <is>
          <t>LTE 실속 15GB+(100분)</t>
        </is>
      </c>
      <c r="C1692" s="47" t="inlineStr">
        <is>
          <t>100분</t>
        </is>
      </c>
      <c r="D1692" s="47" t="inlineStr">
        <is>
          <t>100건</t>
        </is>
      </c>
      <c r="E1692" s="47" t="inlineStr">
        <is>
          <t>월 15GB + 3Mbps</t>
        </is>
      </c>
      <c r="F1692" s="47" t="inlineStr">
        <is>
          <t>KT</t>
        </is>
      </c>
      <c r="G1692" s="47" t="inlineStr">
        <is>
          <t>LTE</t>
        </is>
      </c>
      <c r="H1692" s="48" t="n">
        <v>27500</v>
      </c>
      <c r="I1692" s="48" t="n">
        <v>12</v>
      </c>
      <c r="J1692" s="48" t="n">
        <v>31900</v>
      </c>
      <c r="K1692" s="47">
        <f t="array" ref="K1692">_xlfn.XLOOKUP(1,(참조!$B$2:$B$15=E1692)*(참조!$D$2:$D$15=C1692)*(참조!$E$2:$E$15=D1692),참조!$C$2:$C$15,"")</f>
        <v/>
      </c>
    </row>
    <row r="1693" hidden="1" s="27">
      <c r="A1693" s="47" t="inlineStr">
        <is>
          <t>아이즈모바일</t>
        </is>
      </c>
      <c r="B1693" s="47" t="inlineStr">
        <is>
          <t>[S]OK캐쉬백 100GB+</t>
        </is>
      </c>
      <c r="C1693" s="47" t="inlineStr">
        <is>
          <t>무제한</t>
        </is>
      </c>
      <c r="D1693" s="47" t="inlineStr">
        <is>
          <t>무제한</t>
        </is>
      </c>
      <c r="E1693" s="47" t="inlineStr">
        <is>
          <t>월 100GB + 5Mbps</t>
        </is>
      </c>
      <c r="F1693" s="47" t="inlineStr">
        <is>
          <t>SKT</t>
        </is>
      </c>
      <c r="G1693" s="47" t="inlineStr">
        <is>
          <t>LTE</t>
        </is>
      </c>
      <c r="H1693" s="48" t="n">
        <v>34900</v>
      </c>
      <c r="I1693" s="48" t="n">
        <v>12</v>
      </c>
      <c r="J1693" s="48" t="n">
        <v>55000</v>
      </c>
      <c r="K1693" s="47">
        <f t="array" ref="K1693">_xlfn.XLOOKUP(1,(참조!$B$2:$B$15=E1693)*(참조!$D$2:$D$15=C1693)*(참조!$E$2:$E$15=D1693),참조!$C$2:$C$15,"")</f>
        <v/>
      </c>
    </row>
    <row r="1694" hidden="1" s="27">
      <c r="A1694" s="47" t="inlineStr">
        <is>
          <t>모빙</t>
        </is>
      </c>
      <c r="B1694" s="47" t="inlineStr">
        <is>
          <t>[L] 400분4GB</t>
        </is>
      </c>
      <c r="C1694" s="47" t="inlineStr">
        <is>
          <t>400분</t>
        </is>
      </c>
      <c r="D1694" s="47" t="inlineStr">
        <is>
          <t>100건</t>
        </is>
      </c>
      <c r="E1694" s="47" t="inlineStr">
        <is>
          <t>월 4GB</t>
        </is>
      </c>
      <c r="F1694" s="47" t="inlineStr">
        <is>
          <t>LG U+</t>
        </is>
      </c>
      <c r="G1694" s="47" t="inlineStr">
        <is>
          <t>LTE</t>
        </is>
      </c>
      <c r="H1694" s="48" t="n">
        <v>3500</v>
      </c>
      <c r="I1694" s="48" t="n"/>
      <c r="J1694" s="48" t="n"/>
      <c r="K1694" s="47">
        <f t="array" ref="K1694">_xlfn.XLOOKUP(1,(참조!$B$2:$B$15=E1694)*(참조!$D$2:$D$15=C1694)*(참조!$E$2:$E$15=D1694),참조!$C$2:$C$15,"")</f>
        <v/>
      </c>
    </row>
    <row r="1695" hidden="1" s="27">
      <c r="A1695" s="47" t="inlineStr">
        <is>
          <t>모빙</t>
        </is>
      </c>
      <c r="B1695" s="47" t="inlineStr">
        <is>
          <t>[L] 5G 데이터 1GB+</t>
        </is>
      </c>
      <c r="C1695" s="47" t="inlineStr">
        <is>
          <t>무제한</t>
        </is>
      </c>
      <c r="D1695" s="47" t="inlineStr">
        <is>
          <t>100건</t>
        </is>
      </c>
      <c r="E1695" s="47" t="inlineStr">
        <is>
          <t>월 1GB + 1Mbps</t>
        </is>
      </c>
      <c r="F1695" s="47" t="inlineStr">
        <is>
          <t>LG U+</t>
        </is>
      </c>
      <c r="G1695" s="47" t="inlineStr">
        <is>
          <t>5G</t>
        </is>
      </c>
      <c r="H1695" s="48" t="n">
        <v>6600</v>
      </c>
      <c r="I1695" s="48" t="n"/>
      <c r="J1695" s="48" t="n"/>
      <c r="K1695" s="47">
        <f t="array" ref="K1695">_xlfn.XLOOKUP(1,(참조!$B$2:$B$15=E1695)*(참조!$D$2:$D$15=C1695)*(참조!$E$2:$E$15=D1695),참조!$C$2:$C$15,"")</f>
        <v/>
      </c>
    </row>
    <row r="1696" hidden="1" s="27">
      <c r="A1696" s="47" t="inlineStr">
        <is>
          <t>아이즈모바일</t>
        </is>
      </c>
      <c r="B1696" s="47" t="inlineStr">
        <is>
          <t>[K]CU&amp;롯시 100분/15GB+</t>
        </is>
      </c>
      <c r="C1696" s="47" t="inlineStr">
        <is>
          <t>100분</t>
        </is>
      </c>
      <c r="D1696" s="47" t="inlineStr">
        <is>
          <t>100건</t>
        </is>
      </c>
      <c r="E1696" s="47" t="inlineStr">
        <is>
          <t>월 15GB + 3Mbps</t>
        </is>
      </c>
      <c r="F1696" s="47" t="inlineStr">
        <is>
          <t>KT</t>
        </is>
      </c>
      <c r="G1696" s="47" t="inlineStr">
        <is>
          <t>LTE</t>
        </is>
      </c>
      <c r="H1696" s="48" t="n">
        <v>9900</v>
      </c>
      <c r="I1696" s="48" t="n">
        <v>7</v>
      </c>
      <c r="J1696" s="48" t="n">
        <v>39600</v>
      </c>
      <c r="K1696" s="47">
        <f t="array" ref="K1696">_xlfn.XLOOKUP(1,(참조!$B$2:$B$15=E1696)*(참조!$D$2:$D$15=C1696)*(참조!$E$2:$E$15=D1696),참조!$C$2:$C$15,"")</f>
        <v/>
      </c>
    </row>
    <row r="1697" hidden="1" s="27">
      <c r="A1697" s="47" t="inlineStr">
        <is>
          <t>아이즈모바일</t>
        </is>
      </c>
      <c r="B1697" s="47" t="inlineStr">
        <is>
          <t>[K]롯시&amp;밀리 100분/15GB+</t>
        </is>
      </c>
      <c r="C1697" s="47" t="inlineStr">
        <is>
          <t>100분</t>
        </is>
      </c>
      <c r="D1697" s="47" t="inlineStr">
        <is>
          <t>100건</t>
        </is>
      </c>
      <c r="E1697" s="47" t="inlineStr">
        <is>
          <t>월 15GB + 3Mbps</t>
        </is>
      </c>
      <c r="F1697" s="47" t="inlineStr">
        <is>
          <t>KT</t>
        </is>
      </c>
      <c r="G1697" s="47" t="inlineStr">
        <is>
          <t>LTE</t>
        </is>
      </c>
      <c r="H1697" s="48" t="n">
        <v>9900</v>
      </c>
      <c r="I1697" s="48" t="n">
        <v>7</v>
      </c>
      <c r="J1697" s="48" t="n">
        <v>38500</v>
      </c>
      <c r="K1697" s="47">
        <f t="array" ref="K1697">_xlfn.XLOOKUP(1,(참조!$B$2:$B$15=E1697)*(참조!$D$2:$D$15=C1697)*(참조!$E$2:$E$15=D1697),참조!$C$2:$C$15,"")</f>
        <v/>
      </c>
    </row>
    <row r="1698" hidden="1" s="27">
      <c r="A1698" s="47" t="inlineStr">
        <is>
          <t>모빙</t>
        </is>
      </c>
      <c r="B1698" s="47" t="inlineStr">
        <is>
          <t>5G 쏙쏙 500분15GB</t>
        </is>
      </c>
      <c r="C1698" s="47" t="inlineStr">
        <is>
          <t>500분</t>
        </is>
      </c>
      <c r="D1698" s="47" t="inlineStr">
        <is>
          <t>500건</t>
        </is>
      </c>
      <c r="E1698" s="47" t="inlineStr">
        <is>
          <t>월 15GB</t>
        </is>
      </c>
      <c r="F1698" s="47" t="inlineStr">
        <is>
          <t>KT</t>
        </is>
      </c>
      <c r="G1698" s="47" t="inlineStr">
        <is>
          <t>5G</t>
        </is>
      </c>
      <c r="H1698" s="48" t="n">
        <v>6600</v>
      </c>
      <c r="I1698" s="48" t="n">
        <v>7</v>
      </c>
      <c r="J1698" s="48" t="n">
        <v>34100</v>
      </c>
      <c r="K1698" s="47">
        <f t="array" ref="K1698">_xlfn.XLOOKUP(1,(참조!$B$2:$B$15=E1698)*(참조!$D$2:$D$15=C1698)*(참조!$E$2:$E$15=D1698),참조!$C$2:$C$15,"")</f>
        <v/>
      </c>
    </row>
    <row r="1699" hidden="1" s="27">
      <c r="A1699" s="47" t="inlineStr">
        <is>
          <t>모빙</t>
        </is>
      </c>
      <c r="B1699" s="47" t="inlineStr">
        <is>
          <t>[S] 200분3GB</t>
        </is>
      </c>
      <c r="C1699" s="47" t="inlineStr">
        <is>
          <t>200분</t>
        </is>
      </c>
      <c r="D1699" s="47" t="inlineStr">
        <is>
          <t>200건</t>
        </is>
      </c>
      <c r="E1699" s="47" t="inlineStr">
        <is>
          <t>월 3GB</t>
        </is>
      </c>
      <c r="F1699" s="47" t="inlineStr">
        <is>
          <t>SKT</t>
        </is>
      </c>
      <c r="G1699" s="47" t="inlineStr">
        <is>
          <t>LTE</t>
        </is>
      </c>
      <c r="H1699" s="48" t="n">
        <v>3500</v>
      </c>
      <c r="I1699" s="48" t="n"/>
      <c r="J1699" s="48" t="n"/>
      <c r="K1699" s="47">
        <f t="array" ref="K1699">_xlfn.XLOOKUP(1,(참조!$B$2:$B$15=E1699)*(참조!$D$2:$D$15=C1699)*(참조!$E$2:$E$15=D1699),참조!$C$2:$C$15,"")</f>
        <v/>
      </c>
    </row>
    <row r="1700" hidden="1" s="27">
      <c r="A1700" s="47" t="inlineStr">
        <is>
          <t>에이모바일</t>
        </is>
      </c>
      <c r="B1700" s="47" t="inlineStr">
        <is>
          <t>A 올라잇 11GB+ 네이버페이(+추가 네이버페이 1만x7개월)</t>
        </is>
      </c>
      <c r="C1700" s="47" t="inlineStr">
        <is>
          <t>무제한</t>
        </is>
      </c>
      <c r="D1700" s="47" t="inlineStr">
        <is>
          <t>무제한</t>
        </is>
      </c>
      <c r="E1700" s="47" t="inlineStr">
        <is>
          <t>월 11GB + 매일 2GB + 3Mbps</t>
        </is>
      </c>
      <c r="F1700" s="47" t="inlineStr">
        <is>
          <t>KT</t>
        </is>
      </c>
      <c r="G1700" s="47" t="inlineStr">
        <is>
          <t>LTE</t>
        </is>
      </c>
      <c r="H1700" s="48" t="n">
        <v>19900</v>
      </c>
      <c r="I1700" s="48" t="n">
        <v>7</v>
      </c>
      <c r="J1700" s="48" t="n">
        <v>42900</v>
      </c>
      <c r="K1700" s="47">
        <f t="array" ref="K1700">_xlfn.XLOOKUP(1,(참조!$B$2:$B$15=E1700)*(참조!$D$2:$D$15=C1700)*(참조!$E$2:$E$15=D1700),참조!$C$2:$C$15,"")</f>
        <v/>
      </c>
    </row>
    <row r="1701" hidden="1" s="27">
      <c r="A1701" s="47" t="inlineStr">
        <is>
          <t>스마텔</t>
        </is>
      </c>
      <c r="B1701" s="47" t="inlineStr">
        <is>
          <t>스마일플러스(200분+1.5GB)</t>
        </is>
      </c>
      <c r="C1701" s="47" t="inlineStr">
        <is>
          <t>200분</t>
        </is>
      </c>
      <c r="D1701" s="47" t="inlineStr">
        <is>
          <t>100건</t>
        </is>
      </c>
      <c r="E1701" s="47" t="inlineStr">
        <is>
          <t>월 1.5GB</t>
        </is>
      </c>
      <c r="F1701" s="47" t="inlineStr">
        <is>
          <t>SKT</t>
        </is>
      </c>
      <c r="G1701" s="47" t="inlineStr">
        <is>
          <t>LTE</t>
        </is>
      </c>
      <c r="H1701" s="48" t="n">
        <v>2200</v>
      </c>
      <c r="I1701" s="48" t="n">
        <v>5</v>
      </c>
      <c r="J1701" s="48" t="n">
        <v>4400</v>
      </c>
      <c r="K1701" s="47">
        <f t="array" ref="K1701">_xlfn.XLOOKUP(1,(참조!$B$2:$B$15=E1701)*(참조!$D$2:$D$15=C1701)*(참조!$E$2:$E$15=D1701),참조!$C$2:$C$15,"")</f>
        <v/>
      </c>
    </row>
    <row r="1702" hidden="1" s="27">
      <c r="A1702" s="47" t="inlineStr">
        <is>
          <t>티플러스</t>
        </is>
      </c>
      <c r="B1702" s="47" t="inlineStr">
        <is>
          <t>5G 통화안심 25GB</t>
        </is>
      </c>
      <c r="C1702" s="47" t="inlineStr">
        <is>
          <t>무제한</t>
        </is>
      </c>
      <c r="D1702" s="47" t="inlineStr">
        <is>
          <t>100건</t>
        </is>
      </c>
      <c r="E1702" s="47" t="inlineStr">
        <is>
          <t>월 25GB</t>
        </is>
      </c>
      <c r="F1702" s="47" t="inlineStr">
        <is>
          <t>SKT</t>
        </is>
      </c>
      <c r="G1702" s="47" t="inlineStr">
        <is>
          <t>5G</t>
        </is>
      </c>
      <c r="H1702" s="48" t="n">
        <v>18900</v>
      </c>
      <c r="I1702" s="48" t="n">
        <v>4</v>
      </c>
      <c r="J1702" s="48" t="n">
        <v>34100</v>
      </c>
      <c r="K1702" s="47">
        <f t="array" ref="K1702">_xlfn.XLOOKUP(1,(참조!$B$2:$B$15=E1702)*(참조!$D$2:$D$15=C1702)*(참조!$E$2:$E$15=D1702),참조!$C$2:$C$15,"")</f>
        <v/>
      </c>
    </row>
    <row r="1703" hidden="1" s="27">
      <c r="A1703" s="47" t="inlineStr">
        <is>
          <t>KG모바일</t>
        </is>
      </c>
      <c r="B1703" s="47" t="inlineStr">
        <is>
          <t>[KG모바일 스페셜] 통화, 데이터 마음대로 10GB+</t>
        </is>
      </c>
      <c r="C1703" s="47" t="inlineStr">
        <is>
          <t>무제한</t>
        </is>
      </c>
      <c r="D1703" s="47" t="inlineStr">
        <is>
          <t>무제한</t>
        </is>
      </c>
      <c r="E1703" s="47" t="inlineStr">
        <is>
          <t>월 10GB + 1Mbps</t>
        </is>
      </c>
      <c r="F1703" s="47" t="inlineStr">
        <is>
          <t>LG U+</t>
        </is>
      </c>
      <c r="G1703" s="47" t="inlineStr">
        <is>
          <t>LTE</t>
        </is>
      </c>
      <c r="H1703" s="48" t="n">
        <v>9500</v>
      </c>
      <c r="I1703" s="48" t="n">
        <v>7</v>
      </c>
      <c r="J1703" s="48" t="n">
        <v>26400</v>
      </c>
      <c r="K1703" s="47">
        <f t="array" ref="K1703">_xlfn.XLOOKUP(1,(참조!$B$2:$B$15=E1703)*(참조!$D$2:$D$15=C1703)*(참조!$E$2:$E$15=D1703),참조!$C$2:$C$15,"")</f>
        <v/>
      </c>
    </row>
    <row r="1704" hidden="1" s="27">
      <c r="A1704" s="47" t="inlineStr">
        <is>
          <t>스마텔</t>
        </is>
      </c>
      <c r="B1704" s="47" t="inlineStr">
        <is>
          <t>후후 심플 (50분 + 1.8GB)</t>
        </is>
      </c>
      <c r="C1704" s="47" t="inlineStr">
        <is>
          <t>50분</t>
        </is>
      </c>
      <c r="D1704" s="47" t="inlineStr">
        <is>
          <t>50건</t>
        </is>
      </c>
      <c r="E1704" s="47" t="inlineStr">
        <is>
          <t>월 1.8GB</t>
        </is>
      </c>
      <c r="F1704" s="47" t="inlineStr">
        <is>
          <t>LG U+</t>
        </is>
      </c>
      <c r="G1704" s="47" t="inlineStr">
        <is>
          <t>LTE</t>
        </is>
      </c>
      <c r="H1704" s="48" t="n">
        <v>2230</v>
      </c>
      <c r="I1704" s="48" t="n">
        <v>6</v>
      </c>
      <c r="J1704" s="48" t="n">
        <v>3630</v>
      </c>
      <c r="K1704" s="47">
        <f t="array" ref="K1704">_xlfn.XLOOKUP(1,(참조!$B$2:$B$15=E1704)*(참조!$D$2:$D$15=C1704)*(참조!$E$2:$E$15=D1704),참조!$C$2:$C$15,"")</f>
        <v/>
      </c>
    </row>
    <row r="1705" hidden="1" s="27">
      <c r="A1705" s="47" t="inlineStr">
        <is>
          <t>시월모바일</t>
        </is>
      </c>
      <c r="B1705" s="47" t="inlineStr">
        <is>
          <t>시월5G 무제한 31GB+1Mbps</t>
        </is>
      </c>
      <c r="C1705" s="47" t="inlineStr">
        <is>
          <t>300분</t>
        </is>
      </c>
      <c r="D1705" s="47" t="inlineStr">
        <is>
          <t>300건</t>
        </is>
      </c>
      <c r="E1705" s="47" t="inlineStr">
        <is>
          <t>월 31GB + 1Mbps</t>
        </is>
      </c>
      <c r="F1705" s="47" t="inlineStr">
        <is>
          <t>LG U+</t>
        </is>
      </c>
      <c r="G1705" s="47" t="inlineStr">
        <is>
          <t>5G</t>
        </is>
      </c>
      <c r="H1705" s="48" t="n">
        <v>21300</v>
      </c>
      <c r="I1705" s="48" t="n">
        <v>7</v>
      </c>
      <c r="J1705" s="48" t="n">
        <v>40000</v>
      </c>
      <c r="K1705" s="47">
        <f t="array" ref="K1705">_xlfn.XLOOKUP(1,(참조!$B$2:$B$15=E1705)*(참조!$D$2:$D$15=C1705)*(참조!$E$2:$E$15=D1705),참조!$C$2:$C$15,"")</f>
        <v/>
      </c>
    </row>
    <row r="1706" hidden="1" s="27">
      <c r="A1706" s="47" t="inlineStr">
        <is>
          <t>아이즈모바일</t>
        </is>
      </c>
      <c r="B1706" s="47" t="inlineStr">
        <is>
          <t>[L]무한10GB+1Mbps</t>
        </is>
      </c>
      <c r="C1706" s="47" t="inlineStr">
        <is>
          <t>무제한</t>
        </is>
      </c>
      <c r="D1706" s="47" t="inlineStr">
        <is>
          <t>무제한</t>
        </is>
      </c>
      <c r="E1706" s="47" t="inlineStr">
        <is>
          <t>월 10GB + 1Mbps</t>
        </is>
      </c>
      <c r="F1706" s="47" t="inlineStr">
        <is>
          <t>LG U+</t>
        </is>
      </c>
      <c r="G1706" s="47" t="inlineStr">
        <is>
          <t>LTE</t>
        </is>
      </c>
      <c r="H1706" s="48" t="n">
        <v>18000</v>
      </c>
      <c r="I1706" s="48" t="n"/>
      <c r="J1706" s="48" t="n"/>
      <c r="K1706" s="47">
        <f t="array" ref="K1706">_xlfn.XLOOKUP(1,(참조!$B$2:$B$15=E1706)*(참조!$D$2:$D$15=C1706)*(참조!$E$2:$E$15=D1706),참조!$C$2:$C$15,"")</f>
        <v/>
      </c>
    </row>
    <row r="1707" hidden="1" s="27">
      <c r="A1707" s="47" t="inlineStr">
        <is>
          <t>모빙</t>
        </is>
      </c>
      <c r="B1707" s="47" t="inlineStr">
        <is>
          <t>[K] 지니뮤직 11GB+</t>
        </is>
      </c>
      <c r="C1707" s="47" t="inlineStr">
        <is>
          <t>무제한</t>
        </is>
      </c>
      <c r="D1707" s="47" t="inlineStr">
        <is>
          <t>무제한</t>
        </is>
      </c>
      <c r="E1707" s="47" t="inlineStr">
        <is>
          <t>월 11GB + 매일 2GB + 3Mbps</t>
        </is>
      </c>
      <c r="F1707" s="47" t="inlineStr">
        <is>
          <t>KT</t>
        </is>
      </c>
      <c r="G1707" s="47" t="inlineStr">
        <is>
          <t>LTE</t>
        </is>
      </c>
      <c r="H1707" s="48" t="n">
        <v>19800</v>
      </c>
      <c r="I1707" s="48" t="n">
        <v>7</v>
      </c>
      <c r="J1707" s="48" t="n">
        <v>53900</v>
      </c>
      <c r="K1707" s="47">
        <f t="array" ref="K1707">_xlfn.XLOOKUP(1,(참조!$B$2:$B$15=E1707)*(참조!$D$2:$D$15=C1707)*(참조!$E$2:$E$15=D1707),참조!$C$2:$C$15,"")</f>
        <v/>
      </c>
    </row>
    <row r="1708" hidden="1" s="27">
      <c r="A1708" s="47" t="inlineStr">
        <is>
          <t>스마텔</t>
        </is>
      </c>
      <c r="B1708" s="47" t="inlineStr">
        <is>
          <t>5G 스위트 200GB+(지니뮤직)</t>
        </is>
      </c>
      <c r="C1708" s="47" t="inlineStr">
        <is>
          <t>무제한</t>
        </is>
      </c>
      <c r="D1708" s="47" t="inlineStr">
        <is>
          <t>무제한</t>
        </is>
      </c>
      <c r="E1708" s="47" t="inlineStr">
        <is>
          <t>월 200GB + 10Mbps</t>
        </is>
      </c>
      <c r="F1708" s="47" t="inlineStr">
        <is>
          <t>KT</t>
        </is>
      </c>
      <c r="G1708" s="47" t="inlineStr">
        <is>
          <t>5G</t>
        </is>
      </c>
      <c r="H1708" s="48" t="n">
        <v>53900</v>
      </c>
      <c r="I1708" s="48" t="n">
        <v>36</v>
      </c>
      <c r="J1708" s="48" t="n">
        <v>56100</v>
      </c>
      <c r="K1708" s="47">
        <f t="array" ref="K1708">_xlfn.XLOOKUP(1,(참조!$B$2:$B$15=E1708)*(참조!$D$2:$D$15=C1708)*(참조!$E$2:$E$15=D1708),참조!$C$2:$C$15,"")</f>
        <v/>
      </c>
    </row>
    <row r="1709" hidden="1" s="27">
      <c r="A1709" s="47" t="inlineStr">
        <is>
          <t>리브모바일</t>
        </is>
      </c>
      <c r="B1709" s="47" t="inlineStr">
        <is>
          <t>LTE 실속 15GB+(300분)</t>
        </is>
      </c>
      <c r="C1709" s="47" t="inlineStr">
        <is>
          <t>300분</t>
        </is>
      </c>
      <c r="D1709" s="47" t="inlineStr">
        <is>
          <t>300건</t>
        </is>
      </c>
      <c r="E1709" s="47" t="inlineStr">
        <is>
          <t>월 15GB + 3Mbps</t>
        </is>
      </c>
      <c r="F1709" s="47" t="inlineStr">
        <is>
          <t>KT</t>
        </is>
      </c>
      <c r="G1709" s="47" t="inlineStr">
        <is>
          <t>LTE</t>
        </is>
      </c>
      <c r="H1709" s="48" t="n">
        <v>26100</v>
      </c>
      <c r="I1709" s="48" t="n">
        <v>12</v>
      </c>
      <c r="J1709" s="48" t="n">
        <v>30500</v>
      </c>
      <c r="K1709" s="47">
        <f t="array" ref="K1709">_xlfn.XLOOKUP(1,(참조!$B$2:$B$15=E1709)*(참조!$D$2:$D$15=C1709)*(참조!$E$2:$E$15=D1709),참조!$C$2:$C$15,"")</f>
        <v/>
      </c>
    </row>
    <row r="1710" hidden="1" s="27">
      <c r="A1710" s="47" t="inlineStr">
        <is>
          <t>모빙</t>
        </is>
      </c>
      <c r="B1710" s="47" t="inlineStr">
        <is>
          <t>쏙쏙 100분(6GB)</t>
        </is>
      </c>
      <c r="C1710" s="47" t="inlineStr">
        <is>
          <t>100분</t>
        </is>
      </c>
      <c r="D1710" s="47" t="inlineStr">
        <is>
          <t>100건</t>
        </is>
      </c>
      <c r="E1710" s="47" t="inlineStr">
        <is>
          <t>월 6GB</t>
        </is>
      </c>
      <c r="F1710" s="47" t="inlineStr">
        <is>
          <t>KT</t>
        </is>
      </c>
      <c r="G1710" s="47" t="inlineStr">
        <is>
          <t>LTE</t>
        </is>
      </c>
      <c r="H1710" s="48" t="n">
        <v>6400</v>
      </c>
      <c r="I1710" s="48" t="n"/>
      <c r="J1710" s="48" t="n"/>
      <c r="K1710" s="47">
        <f t="array" ref="K1710">_xlfn.XLOOKUP(1,(참조!$B$2:$B$15=E1710)*(참조!$D$2:$D$15=C1710)*(참조!$E$2:$E$15=D1710),참조!$C$2:$C$15,"")</f>
        <v/>
      </c>
    </row>
    <row r="1711" hidden="1" s="27">
      <c r="A1711" s="47" t="inlineStr">
        <is>
          <t>리브모바일</t>
        </is>
      </c>
      <c r="B1711" s="47" t="inlineStr">
        <is>
          <t>LTE 무제한 일 5GB+(블라이스)</t>
        </is>
      </c>
      <c r="C1711" s="47" t="inlineStr">
        <is>
          <t>무제한</t>
        </is>
      </c>
      <c r="D1711" s="47" t="inlineStr">
        <is>
          <t>무제한</t>
        </is>
      </c>
      <c r="E1711" s="47" t="inlineStr">
        <is>
          <t>매일 5GB + 5Mbps</t>
        </is>
      </c>
      <c r="F1711" s="47" t="inlineStr">
        <is>
          <t>KT</t>
        </is>
      </c>
      <c r="G1711" s="47" t="inlineStr">
        <is>
          <t>LTE</t>
        </is>
      </c>
      <c r="H1711" s="48" t="n">
        <v>36600</v>
      </c>
      <c r="I1711" s="48" t="n">
        <v>12</v>
      </c>
      <c r="J1711" s="48" t="n">
        <v>41000</v>
      </c>
      <c r="K1711" s="47">
        <f t="array" ref="K1711">_xlfn.XLOOKUP(1,(참조!$B$2:$B$15=E1711)*(참조!$D$2:$D$15=C1711)*(참조!$E$2:$E$15=D1711),참조!$C$2:$C$15,"")</f>
        <v/>
      </c>
    </row>
    <row r="1712" hidden="1" s="27">
      <c r="A1712" s="47" t="inlineStr">
        <is>
          <t>이야기모바일</t>
        </is>
      </c>
      <c r="B1712" s="47" t="inlineStr">
        <is>
          <t>이야기 라이트S 100분 11GB+</t>
        </is>
      </c>
      <c r="C1712" s="47" t="inlineStr">
        <is>
          <t>100분</t>
        </is>
      </c>
      <c r="D1712" s="47" t="inlineStr">
        <is>
          <t>100건</t>
        </is>
      </c>
      <c r="E1712" s="47" t="inlineStr">
        <is>
          <t>월 11GB + 1Mbps</t>
        </is>
      </c>
      <c r="F1712" s="47" t="inlineStr">
        <is>
          <t>SKT</t>
        </is>
      </c>
      <c r="G1712" s="47" t="inlineStr">
        <is>
          <t>LTE</t>
        </is>
      </c>
      <c r="H1712" s="48" t="n">
        <v>23650</v>
      </c>
      <c r="I1712" s="48" t="n"/>
      <c r="J1712" s="48" t="n"/>
      <c r="K1712" s="47">
        <f t="array" ref="K1712">_xlfn.XLOOKUP(1,(참조!$B$2:$B$15=E1712)*(참조!$D$2:$D$15=C1712)*(참조!$E$2:$E$15=D1712),참조!$C$2:$C$15,"")</f>
        <v/>
      </c>
    </row>
    <row r="1713" hidden="1" s="27">
      <c r="A1713" s="47" t="inlineStr">
        <is>
          <t>아이즈모바일</t>
        </is>
      </c>
      <c r="B1713" s="47" t="inlineStr">
        <is>
          <t>[K]아이즈특판100분/15GB+</t>
        </is>
      </c>
      <c r="C1713" s="47" t="inlineStr">
        <is>
          <t>100분</t>
        </is>
      </c>
      <c r="D1713" s="47" t="inlineStr">
        <is>
          <t>100건</t>
        </is>
      </c>
      <c r="E1713" s="47" t="inlineStr">
        <is>
          <t>월 15GB + 3Mbps</t>
        </is>
      </c>
      <c r="F1713" s="47" t="inlineStr">
        <is>
          <t>KT</t>
        </is>
      </c>
      <c r="G1713" s="47" t="inlineStr">
        <is>
          <t>LTE</t>
        </is>
      </c>
      <c r="H1713" s="48" t="n">
        <v>28600</v>
      </c>
      <c r="I1713" s="48" t="n"/>
      <c r="J1713" s="48" t="n"/>
      <c r="K1713" s="47">
        <f t="array" ref="K1713">_xlfn.XLOOKUP(1,(참조!$B$2:$B$15=E1713)*(참조!$D$2:$D$15=C1713)*(참조!$E$2:$E$15=D1713),참조!$C$2:$C$15,"")</f>
        <v/>
      </c>
    </row>
    <row r="1714" hidden="1" s="27">
      <c r="A1714" s="47" t="inlineStr">
        <is>
          <t>에이모바일</t>
        </is>
      </c>
      <c r="B1714" s="47" t="inlineStr">
        <is>
          <t>A 올라잇 매일 5GB+(+추가 네이버페이 1만x7개월)</t>
        </is>
      </c>
      <c r="C1714" s="47" t="inlineStr">
        <is>
          <t>무제한</t>
        </is>
      </c>
      <c r="D1714" s="47" t="inlineStr">
        <is>
          <t>무제한</t>
        </is>
      </c>
      <c r="E1714" s="47" t="inlineStr">
        <is>
          <t>매일 5GB + 5Mbps</t>
        </is>
      </c>
      <c r="F1714" s="47" t="inlineStr">
        <is>
          <t>KT</t>
        </is>
      </c>
      <c r="G1714" s="47" t="inlineStr">
        <is>
          <t>LTE</t>
        </is>
      </c>
      <c r="H1714" s="48" t="n">
        <v>19500</v>
      </c>
      <c r="I1714" s="48" t="n">
        <v>7</v>
      </c>
      <c r="J1714" s="48" t="n">
        <v>46200</v>
      </c>
      <c r="K1714" s="47">
        <f t="array" ref="K1714">_xlfn.XLOOKUP(1,(참조!$B$2:$B$15=E1714)*(참조!$D$2:$D$15=C1714)*(참조!$E$2:$E$15=D1714),참조!$C$2:$C$15,"")</f>
        <v/>
      </c>
    </row>
    <row r="1715" hidden="1" s="27">
      <c r="A1715" s="47" t="inlineStr">
        <is>
          <t>모빙</t>
        </is>
      </c>
      <c r="B1715" s="47" t="inlineStr">
        <is>
          <t>[K] 5G 데이터 90GB+</t>
        </is>
      </c>
      <c r="C1715" s="47" t="inlineStr">
        <is>
          <t>무제한</t>
        </is>
      </c>
      <c r="D1715" s="47" t="inlineStr">
        <is>
          <t>무제한</t>
        </is>
      </c>
      <c r="E1715" s="47" t="inlineStr">
        <is>
          <t>월 90GB + 1Mbps</t>
        </is>
      </c>
      <c r="F1715" s="47" t="inlineStr">
        <is>
          <t>KT</t>
        </is>
      </c>
      <c r="G1715" s="47" t="inlineStr">
        <is>
          <t>5G</t>
        </is>
      </c>
      <c r="H1715" s="48" t="n">
        <v>34100</v>
      </c>
      <c r="I1715" s="48" t="n">
        <v>12</v>
      </c>
      <c r="J1715" s="48" t="n">
        <v>60500</v>
      </c>
      <c r="K1715" s="47">
        <f t="array" ref="K1715">_xlfn.XLOOKUP(1,(참조!$B$2:$B$15=E1715)*(참조!$D$2:$D$15=C1715)*(참조!$E$2:$E$15=D1715),참조!$C$2:$C$15,"")</f>
        <v/>
      </c>
    </row>
    <row r="1716" hidden="1" s="27">
      <c r="A1716" s="47" t="inlineStr">
        <is>
          <t>모빙</t>
        </is>
      </c>
      <c r="B1716" s="47" t="inlineStr">
        <is>
          <t>[S] CU편의점 300분15GB+</t>
        </is>
      </c>
      <c r="C1716" s="47" t="inlineStr">
        <is>
          <t>300분</t>
        </is>
      </c>
      <c r="D1716" s="47" t="inlineStr">
        <is>
          <t>300건</t>
        </is>
      </c>
      <c r="E1716" s="47" t="inlineStr">
        <is>
          <t>월 15GB + 3Mbps</t>
        </is>
      </c>
      <c r="F1716" s="47" t="inlineStr">
        <is>
          <t>SKT</t>
        </is>
      </c>
      <c r="G1716" s="47" t="inlineStr">
        <is>
          <t>LTE</t>
        </is>
      </c>
      <c r="H1716" s="48" t="n">
        <v>17000</v>
      </c>
      <c r="I1716" s="48" t="n">
        <v>7</v>
      </c>
      <c r="J1716" s="48" t="n">
        <v>47300</v>
      </c>
      <c r="K1716" s="47">
        <f t="array" ref="K1716">_xlfn.XLOOKUP(1,(참조!$B$2:$B$15=E1716)*(참조!$D$2:$D$15=C1716)*(참조!$E$2:$E$15=D1716),참조!$C$2:$C$15,"")</f>
        <v/>
      </c>
    </row>
    <row r="1717" hidden="1" s="27">
      <c r="A1717" s="47" t="inlineStr">
        <is>
          <t>아이즈모바일</t>
        </is>
      </c>
      <c r="B1717" s="47" t="inlineStr">
        <is>
          <t>[S]톨(300분/2GB)</t>
        </is>
      </c>
      <c r="C1717" s="47" t="inlineStr">
        <is>
          <t>300분</t>
        </is>
      </c>
      <c r="D1717" s="47" t="inlineStr">
        <is>
          <t>100건</t>
        </is>
      </c>
      <c r="E1717" s="47" t="inlineStr">
        <is>
          <t>월 2GB</t>
        </is>
      </c>
      <c r="F1717" s="47" t="inlineStr">
        <is>
          <t>SKT</t>
        </is>
      </c>
      <c r="G1717" s="47" t="inlineStr">
        <is>
          <t>LTE</t>
        </is>
      </c>
      <c r="H1717" s="48" t="n">
        <v>3900</v>
      </c>
      <c r="I1717" s="48" t="n"/>
      <c r="J1717" s="48" t="n"/>
      <c r="K1717" s="47">
        <f t="array" ref="K1717">_xlfn.XLOOKUP(1,(참조!$B$2:$B$15=E1717)*(참조!$D$2:$D$15=C1717)*(참조!$E$2:$E$15=D1717),참조!$C$2:$C$15,"")</f>
        <v/>
      </c>
    </row>
    <row r="1718" hidden="1" s="27">
      <c r="A1718" s="47" t="inlineStr">
        <is>
          <t>인스모바일</t>
        </is>
      </c>
      <c r="B1718" s="47" t="inlineStr">
        <is>
          <t>실속 300분+4GB(USIM)</t>
        </is>
      </c>
      <c r="C1718" s="47" t="inlineStr">
        <is>
          <t>300분</t>
        </is>
      </c>
      <c r="D1718" s="47" t="inlineStr">
        <is>
          <t>100건</t>
        </is>
      </c>
      <c r="E1718" s="47" t="inlineStr">
        <is>
          <t>월 4GB</t>
        </is>
      </c>
      <c r="F1718" s="47" t="inlineStr">
        <is>
          <t>LG U+</t>
        </is>
      </c>
      <c r="G1718" s="47" t="inlineStr">
        <is>
          <t>LTE</t>
        </is>
      </c>
      <c r="H1718" s="48" t="n">
        <v>2200</v>
      </c>
      <c r="I1718" s="48" t="n">
        <v>6</v>
      </c>
      <c r="J1718" s="48" t="n">
        <v>19800</v>
      </c>
      <c r="K1718" s="47">
        <f t="array" ref="K1718">_xlfn.XLOOKUP(1,(참조!$B$2:$B$15=E1718)*(참조!$D$2:$D$15=C1718)*(참조!$E$2:$E$15=D1718),참조!$C$2:$C$15,"")</f>
        <v/>
      </c>
    </row>
    <row r="1719" hidden="1" s="27">
      <c r="A1719" s="47" t="inlineStr">
        <is>
          <t>인스모바일</t>
        </is>
      </c>
      <c r="B1719" s="47" t="inlineStr">
        <is>
          <t>인스 유심 올프리 6GB+</t>
        </is>
      </c>
      <c r="C1719" s="47" t="inlineStr">
        <is>
          <t>무제한</t>
        </is>
      </c>
      <c r="D1719" s="47" t="inlineStr">
        <is>
          <t>무제한</t>
        </is>
      </c>
      <c r="E1719" s="47" t="inlineStr">
        <is>
          <t>월 6GB + 1Mbps</t>
        </is>
      </c>
      <c r="F1719" s="47" t="inlineStr">
        <is>
          <t>LG U+</t>
        </is>
      </c>
      <c r="G1719" s="47" t="inlineStr">
        <is>
          <t>LTE</t>
        </is>
      </c>
      <c r="H1719" s="48" t="n">
        <v>5390</v>
      </c>
      <c r="I1719" s="48" t="n">
        <v>7</v>
      </c>
      <c r="J1719" s="48" t="n">
        <v>27500</v>
      </c>
      <c r="K1719" s="47">
        <f t="array" ref="K1719">_xlfn.XLOOKUP(1,(참조!$B$2:$B$15=E1719)*(참조!$D$2:$D$15=C1719)*(참조!$E$2:$E$15=D1719),참조!$C$2:$C$15,"")</f>
        <v/>
      </c>
    </row>
    <row r="1720" hidden="1" s="27">
      <c r="A1720" s="47" t="inlineStr">
        <is>
          <t>이야기모바일</t>
        </is>
      </c>
      <c r="B1720" s="47" t="inlineStr">
        <is>
          <t>5G 이야기 무한 15GB</t>
        </is>
      </c>
      <c r="C1720" s="47" t="inlineStr">
        <is>
          <t>무제한</t>
        </is>
      </c>
      <c r="D1720" s="47" t="inlineStr">
        <is>
          <t>무제한</t>
        </is>
      </c>
      <c r="E1720" s="47" t="inlineStr">
        <is>
          <t>월 15GB + 1Mbps</t>
        </is>
      </c>
      <c r="F1720" s="47" t="inlineStr">
        <is>
          <t>SKT</t>
        </is>
      </c>
      <c r="G1720" s="47" t="inlineStr">
        <is>
          <t>5G</t>
        </is>
      </c>
      <c r="H1720" s="48" t="n">
        <v>34500</v>
      </c>
      <c r="I1720" s="48" t="n">
        <v>7</v>
      </c>
      <c r="J1720" s="48" t="n">
        <v>36300</v>
      </c>
      <c r="K1720" s="47">
        <f t="array" ref="K1720">_xlfn.XLOOKUP(1,(참조!$B$2:$B$15=E1720)*(참조!$D$2:$D$15=C1720)*(참조!$E$2:$E$15=D1720),참조!$C$2:$C$15,"")</f>
        <v/>
      </c>
    </row>
    <row r="1721" hidden="1" s="27">
      <c r="A1721" s="47" t="inlineStr">
        <is>
          <t>리브모바일</t>
        </is>
      </c>
      <c r="B1721" s="47" t="inlineStr">
        <is>
          <t>LTE 100GB+</t>
        </is>
      </c>
      <c r="C1721" s="47" t="inlineStr">
        <is>
          <t>무제한</t>
        </is>
      </c>
      <c r="D1721" s="47" t="inlineStr">
        <is>
          <t>무제한</t>
        </is>
      </c>
      <c r="E1721" s="47" t="inlineStr">
        <is>
          <t>월 100GB + 5Mbps</t>
        </is>
      </c>
      <c r="F1721" s="47" t="inlineStr">
        <is>
          <t>LG U+</t>
        </is>
      </c>
      <c r="G1721" s="47" t="inlineStr">
        <is>
          <t>LTE</t>
        </is>
      </c>
      <c r="H1721" s="48" t="n">
        <v>37000</v>
      </c>
      <c r="I1721" s="48" t="n">
        <v>12</v>
      </c>
      <c r="J1721" s="48" t="n">
        <v>41400</v>
      </c>
      <c r="K1721" s="47">
        <f t="array" ref="K1721">_xlfn.XLOOKUP(1,(참조!$B$2:$B$15=E1721)*(참조!$D$2:$D$15=C1721)*(참조!$E$2:$E$15=D1721),참조!$C$2:$C$15,"")</f>
        <v/>
      </c>
    </row>
    <row r="1722" hidden="1" s="27">
      <c r="A1722" s="47" t="inlineStr">
        <is>
          <t>아이즈모바일</t>
        </is>
      </c>
      <c r="B1722" s="47" t="inlineStr">
        <is>
          <t>세이브머니유심(200분/6GB+)</t>
        </is>
      </c>
      <c r="C1722" s="47" t="inlineStr">
        <is>
          <t>200분</t>
        </is>
      </c>
      <c r="D1722" s="47" t="inlineStr">
        <is>
          <t>100건</t>
        </is>
      </c>
      <c r="E1722" s="47" t="inlineStr">
        <is>
          <t>월 6GB + 1Mbps</t>
        </is>
      </c>
      <c r="F1722" s="47" t="inlineStr">
        <is>
          <t>LG U+</t>
        </is>
      </c>
      <c r="G1722" s="47" t="inlineStr">
        <is>
          <t>LTE</t>
        </is>
      </c>
      <c r="H1722" s="48" t="n">
        <v>5900</v>
      </c>
      <c r="I1722" s="48" t="n"/>
      <c r="J1722" s="48" t="n"/>
      <c r="K1722" s="47">
        <f t="array" ref="K1722">_xlfn.XLOOKUP(1,(참조!$B$2:$B$15=E1722)*(참조!$D$2:$D$15=C1722)*(참조!$E$2:$E$15=D1722),참조!$C$2:$C$15,"")</f>
        <v/>
      </c>
    </row>
    <row r="1723" hidden="1" s="27">
      <c r="A1723" s="47" t="inlineStr">
        <is>
          <t>스마텔</t>
        </is>
      </c>
      <c r="B1723" s="47" t="inlineStr">
        <is>
          <t>5G 스마일 24GB+</t>
        </is>
      </c>
      <c r="C1723" s="47" t="inlineStr">
        <is>
          <t>무제한</t>
        </is>
      </c>
      <c r="D1723" s="47" t="inlineStr">
        <is>
          <t>무제한</t>
        </is>
      </c>
      <c r="E1723" s="47" t="inlineStr">
        <is>
          <t>월 24GB + 1Mbps</t>
        </is>
      </c>
      <c r="F1723" s="47" t="inlineStr">
        <is>
          <t>SKT</t>
        </is>
      </c>
      <c r="G1723" s="47" t="inlineStr">
        <is>
          <t>5G</t>
        </is>
      </c>
      <c r="H1723" s="48" t="n">
        <v>39600</v>
      </c>
      <c r="I1723" s="48" t="n"/>
      <c r="J1723" s="48" t="n"/>
      <c r="K1723" s="47">
        <f t="array" ref="K1723">_xlfn.XLOOKUP(1,(참조!$B$2:$B$15=E1723)*(참조!$D$2:$D$15=C1723)*(참조!$E$2:$E$15=D1723),참조!$C$2:$C$15,"")</f>
        <v/>
      </c>
    </row>
    <row r="1724" hidden="1" s="27">
      <c r="A1724" s="47" t="inlineStr">
        <is>
          <t>아이즈모바일</t>
        </is>
      </c>
      <c r="B1724" s="47" t="inlineStr">
        <is>
          <t>[S]아이즈특판100분/15GB+</t>
        </is>
      </c>
      <c r="C1724" s="47" t="inlineStr">
        <is>
          <t>100분</t>
        </is>
      </c>
      <c r="D1724" s="47" t="inlineStr">
        <is>
          <t>100건</t>
        </is>
      </c>
      <c r="E1724" s="47" t="inlineStr">
        <is>
          <t>월 15GB + 3Mbps</t>
        </is>
      </c>
      <c r="F1724" s="47" t="inlineStr">
        <is>
          <t>SKT</t>
        </is>
      </c>
      <c r="G1724" s="47" t="inlineStr">
        <is>
          <t>LTE</t>
        </is>
      </c>
      <c r="H1724" s="48" t="n">
        <v>17000</v>
      </c>
      <c r="I1724" s="48" t="n">
        <v>7</v>
      </c>
      <c r="J1724" s="48" t="n">
        <v>26400</v>
      </c>
      <c r="K1724" s="47">
        <f t="array" ref="K1724">_xlfn.XLOOKUP(1,(참조!$B$2:$B$15=E1724)*(참조!$D$2:$D$15=C1724)*(참조!$E$2:$E$15=D1724),참조!$C$2:$C$15,"")</f>
        <v/>
      </c>
    </row>
    <row r="1725" hidden="1" s="27">
      <c r="A1725" s="47" t="inlineStr">
        <is>
          <t>아이즈모바일</t>
        </is>
      </c>
      <c r="B1725" s="47" t="inlineStr">
        <is>
          <t>[K]아이즈특판11GB+일2GB</t>
        </is>
      </c>
      <c r="C1725" s="47" t="inlineStr">
        <is>
          <t>무제한</t>
        </is>
      </c>
      <c r="D1725" s="47" t="inlineStr">
        <is>
          <t>무제한</t>
        </is>
      </c>
      <c r="E1725" s="47" t="inlineStr">
        <is>
          <t>월 11GB + 매일 2GB + 3Mbps</t>
        </is>
      </c>
      <c r="F1725" s="47" t="inlineStr">
        <is>
          <t>KT</t>
        </is>
      </c>
      <c r="G1725" s="47" t="inlineStr">
        <is>
          <t>LTE</t>
        </is>
      </c>
      <c r="H1725" s="48" t="n">
        <v>37400</v>
      </c>
      <c r="I1725" s="48" t="n"/>
      <c r="J1725" s="48" t="n"/>
      <c r="K1725" s="47">
        <f t="array" ref="K1725">_xlfn.XLOOKUP(1,(참조!$B$2:$B$15=E1725)*(참조!$D$2:$D$15=C1725)*(참조!$E$2:$E$15=D1725),참조!$C$2:$C$15,"")</f>
        <v/>
      </c>
    </row>
    <row r="1726" hidden="1" s="27">
      <c r="A1726" s="47" t="inlineStr">
        <is>
          <t>인스모바일</t>
        </is>
      </c>
      <c r="B1726" s="47" t="inlineStr">
        <is>
          <t>[평생할인]인스 유심 올프리 6GB+</t>
        </is>
      </c>
      <c r="C1726" s="47" t="inlineStr">
        <is>
          <t>무제한</t>
        </is>
      </c>
      <c r="D1726" s="47" t="inlineStr">
        <is>
          <t>무제한</t>
        </is>
      </c>
      <c r="E1726" s="47" t="inlineStr">
        <is>
          <t>월 6GB + 1Mbps</t>
        </is>
      </c>
      <c r="F1726" s="47" t="inlineStr">
        <is>
          <t>LG U+</t>
        </is>
      </c>
      <c r="G1726" s="47" t="inlineStr">
        <is>
          <t>LTE</t>
        </is>
      </c>
      <c r="H1726" s="48" t="n">
        <v>13750</v>
      </c>
      <c r="I1726" s="48" t="n"/>
      <c r="J1726" s="48" t="n"/>
      <c r="K1726" s="47">
        <f t="array" ref="K1726">_xlfn.XLOOKUP(1,(참조!$B$2:$B$15=E1726)*(참조!$D$2:$D$15=C1726)*(참조!$E$2:$E$15=D1726),참조!$C$2:$C$15,"")</f>
        <v/>
      </c>
    </row>
    <row r="1727" hidden="1" s="27">
      <c r="A1727" s="47" t="inlineStr">
        <is>
          <t>스마텔</t>
        </is>
      </c>
      <c r="B1727" s="47" t="inlineStr">
        <is>
          <t>5G 스위트 30GB+</t>
        </is>
      </c>
      <c r="C1727" s="47" t="inlineStr">
        <is>
          <t>무제한</t>
        </is>
      </c>
      <c r="D1727" s="47" t="inlineStr">
        <is>
          <t>무제한</t>
        </is>
      </c>
      <c r="E1727" s="47" t="inlineStr">
        <is>
          <t>월 30GB + 1Mbps</t>
        </is>
      </c>
      <c r="F1727" s="47" t="inlineStr">
        <is>
          <t>KT</t>
        </is>
      </c>
      <c r="G1727" s="47" t="inlineStr">
        <is>
          <t>5G</t>
        </is>
      </c>
      <c r="H1727" s="48" t="n">
        <v>39600</v>
      </c>
      <c r="I1727" s="48" t="n">
        <v>36</v>
      </c>
      <c r="J1727" s="48" t="n">
        <v>45100</v>
      </c>
      <c r="K1727" s="47">
        <f t="array" ref="K1727">_xlfn.XLOOKUP(1,(참조!$B$2:$B$15=E1727)*(참조!$D$2:$D$15=C1727)*(참조!$E$2:$E$15=D1727),참조!$C$2:$C$15,"")</f>
        <v/>
      </c>
    </row>
    <row r="1728" hidden="1" s="27">
      <c r="A1728" s="47" t="inlineStr">
        <is>
          <t>아이즈모바일</t>
        </is>
      </c>
      <c r="B1728" s="47" t="inlineStr">
        <is>
          <t>[K]무한10GB+ 밀리의서재</t>
        </is>
      </c>
      <c r="C1728" s="47" t="inlineStr">
        <is>
          <t>무제한</t>
        </is>
      </c>
      <c r="D1728" s="47" t="inlineStr">
        <is>
          <t>무제한</t>
        </is>
      </c>
      <c r="E1728" s="47" t="inlineStr">
        <is>
          <t>월 10GB + 1Mbps</t>
        </is>
      </c>
      <c r="F1728" s="47" t="inlineStr">
        <is>
          <t>KT</t>
        </is>
      </c>
      <c r="G1728" s="47" t="inlineStr">
        <is>
          <t>LTE</t>
        </is>
      </c>
      <c r="H1728" s="48" t="n">
        <v>17000</v>
      </c>
      <c r="I1728" s="48" t="n"/>
      <c r="J1728" s="48" t="n"/>
      <c r="K1728" s="47">
        <f t="array" ref="K1728">_xlfn.XLOOKUP(1,(참조!$B$2:$B$15=E1728)*(참조!$D$2:$D$15=C1728)*(참조!$E$2:$E$15=D1728),참조!$C$2:$C$15,"")</f>
        <v/>
      </c>
    </row>
    <row r="1729" hidden="1" s="27">
      <c r="A1729" s="47" t="inlineStr">
        <is>
          <t>스마텔</t>
        </is>
      </c>
      <c r="B1729" s="47" t="inlineStr">
        <is>
          <t>5G 스마일 플러스 (300분+5GB)</t>
        </is>
      </c>
      <c r="C1729" s="47" t="inlineStr">
        <is>
          <t>300분</t>
        </is>
      </c>
      <c r="D1729" s="47" t="inlineStr">
        <is>
          <t>100건</t>
        </is>
      </c>
      <c r="E1729" s="47" t="inlineStr">
        <is>
          <t>월 5GB</t>
        </is>
      </c>
      <c r="F1729" s="47" t="inlineStr">
        <is>
          <t>SKT</t>
        </is>
      </c>
      <c r="G1729" s="47" t="inlineStr">
        <is>
          <t>5G</t>
        </is>
      </c>
      <c r="H1729" s="48" t="n">
        <v>5100</v>
      </c>
      <c r="I1729" s="48" t="n">
        <v>5</v>
      </c>
      <c r="J1729" s="48" t="n">
        <v>15000</v>
      </c>
      <c r="K1729" s="47">
        <f t="array" ref="K1729">_xlfn.XLOOKUP(1,(참조!$B$2:$B$15=E1729)*(참조!$D$2:$D$15=C1729)*(참조!$E$2:$E$15=D1729),참조!$C$2:$C$15,"")</f>
        <v/>
      </c>
    </row>
    <row r="1730" hidden="1" s="27">
      <c r="A1730" s="47" t="inlineStr">
        <is>
          <t>아이즈모바일</t>
        </is>
      </c>
      <c r="B1730" s="47" t="inlineStr">
        <is>
          <t>세이브머니유심(200분/5GB+)</t>
        </is>
      </c>
      <c r="C1730" s="47" t="inlineStr">
        <is>
          <t>200분</t>
        </is>
      </c>
      <c r="D1730" s="47" t="inlineStr">
        <is>
          <t>100건</t>
        </is>
      </c>
      <c r="E1730" s="47" t="inlineStr">
        <is>
          <t>월 5GB + 1Mbps</t>
        </is>
      </c>
      <c r="F1730" s="47" t="inlineStr">
        <is>
          <t>LG U+</t>
        </is>
      </c>
      <c r="G1730" s="47" t="inlineStr">
        <is>
          <t>LTE</t>
        </is>
      </c>
      <c r="H1730" s="48" t="n">
        <v>5500</v>
      </c>
      <c r="I1730" s="48" t="n"/>
      <c r="J1730" s="48" t="n"/>
      <c r="K1730" s="47">
        <f t="array" ref="K1730">_xlfn.XLOOKUP(1,(참조!$B$2:$B$15=E1730)*(참조!$D$2:$D$15=C1730)*(참조!$E$2:$E$15=D1730),참조!$C$2:$C$15,"")</f>
        <v/>
      </c>
    </row>
    <row r="1731" hidden="1" s="27">
      <c r="A1731" s="47" t="inlineStr">
        <is>
          <t>리브모바일</t>
        </is>
      </c>
      <c r="B1731" s="47" t="inlineStr">
        <is>
          <t>더블업 LTE 17GB+ (7+10 24개월) / 평생가 17,000원</t>
        </is>
      </c>
      <c r="C1731" s="47" t="inlineStr">
        <is>
          <t>무제한</t>
        </is>
      </c>
      <c r="D1731" s="47" t="inlineStr">
        <is>
          <t>무제한</t>
        </is>
      </c>
      <c r="E1731" s="47" t="inlineStr">
        <is>
          <t>월 17GB + 1Mbps</t>
        </is>
      </c>
      <c r="F1731" s="47" t="inlineStr">
        <is>
          <t>LG U+</t>
        </is>
      </c>
      <c r="G1731" s="47" t="inlineStr">
        <is>
          <t>LTE</t>
        </is>
      </c>
      <c r="H1731" s="48" t="n">
        <v>17000</v>
      </c>
      <c r="I1731" s="48" t="n"/>
      <c r="J1731" s="48" t="n"/>
      <c r="K1731" s="47">
        <f t="array" ref="K1731">_xlfn.XLOOKUP(1,(참조!$B$2:$B$15=E1731)*(참조!$D$2:$D$15=C1731)*(참조!$E$2:$E$15=D1731),참조!$C$2:$C$15,"")</f>
        <v/>
      </c>
    </row>
    <row r="1732" hidden="1" s="27">
      <c r="A1732" s="47" t="inlineStr">
        <is>
          <t>모빙</t>
        </is>
      </c>
      <c r="B1732" s="47" t="inlineStr">
        <is>
          <t>[S] 데이터 3GB</t>
        </is>
      </c>
      <c r="C1732" s="47" t="inlineStr">
        <is>
          <t>무제한</t>
        </is>
      </c>
      <c r="D1732" s="47" t="inlineStr">
        <is>
          <t>100건</t>
        </is>
      </c>
      <c r="E1732" s="47" t="inlineStr">
        <is>
          <t>월 3GB</t>
        </is>
      </c>
      <c r="F1732" s="47" t="inlineStr">
        <is>
          <t>SKT</t>
        </is>
      </c>
      <c r="G1732" s="47" t="inlineStr">
        <is>
          <t>LTE</t>
        </is>
      </c>
      <c r="H1732" s="48" t="n">
        <v>3800</v>
      </c>
      <c r="I1732" s="48" t="n"/>
      <c r="J1732" s="48" t="n"/>
      <c r="K1732" s="47">
        <f t="array" ref="K1732">_xlfn.XLOOKUP(1,(참조!$B$2:$B$15=E1732)*(참조!$D$2:$D$15=C1732)*(참조!$E$2:$E$15=D1732),참조!$C$2:$C$15,"")</f>
        <v/>
      </c>
    </row>
    <row r="1733" hidden="1" s="27">
      <c r="A1733" s="47" t="inlineStr">
        <is>
          <t>리브모바일</t>
        </is>
      </c>
      <c r="B1733" s="47" t="inlineStr">
        <is>
          <t>LTE 실속 15GB+(300분)NPay</t>
        </is>
      </c>
      <c r="C1733" s="47" t="inlineStr">
        <is>
          <t>300분</t>
        </is>
      </c>
      <c r="D1733" s="47" t="inlineStr">
        <is>
          <t>300건</t>
        </is>
      </c>
      <c r="E1733" s="47" t="inlineStr">
        <is>
          <t>월 15GB + 3Mbps</t>
        </is>
      </c>
      <c r="F1733" s="47" t="inlineStr">
        <is>
          <t>KT</t>
        </is>
      </c>
      <c r="G1733" s="47" t="inlineStr">
        <is>
          <t>LTE</t>
        </is>
      </c>
      <c r="H1733" s="48" t="n">
        <v>29500</v>
      </c>
      <c r="I1733" s="48" t="n">
        <v>12</v>
      </c>
      <c r="J1733" s="48" t="n">
        <v>33900</v>
      </c>
      <c r="K1733" s="47">
        <f t="array" ref="K1733">_xlfn.XLOOKUP(1,(참조!$B$2:$B$15=E1733)*(참조!$D$2:$D$15=C1733)*(참조!$E$2:$E$15=D1733),참조!$C$2:$C$15,"")</f>
        <v/>
      </c>
    </row>
    <row r="1734" hidden="1" s="27">
      <c r="A1734" s="47" t="inlineStr">
        <is>
          <t>아이즈모바일</t>
        </is>
      </c>
      <c r="B1734" s="47" t="inlineStr">
        <is>
          <t>[L]아이즈7GB+</t>
        </is>
      </c>
      <c r="C1734" s="47" t="inlineStr">
        <is>
          <t>무제한</t>
        </is>
      </c>
      <c r="D1734" s="47" t="inlineStr">
        <is>
          <t>무제한</t>
        </is>
      </c>
      <c r="E1734" s="47" t="inlineStr">
        <is>
          <t>월 7GB + 1Mbps</t>
        </is>
      </c>
      <c r="F1734" s="47" t="inlineStr">
        <is>
          <t>LG U+</t>
        </is>
      </c>
      <c r="G1734" s="47" t="inlineStr">
        <is>
          <t>LTE</t>
        </is>
      </c>
      <c r="H1734" s="48" t="n">
        <v>4900</v>
      </c>
      <c r="I1734" s="48" t="n">
        <v>7</v>
      </c>
      <c r="J1734" s="48" t="n">
        <v>27500</v>
      </c>
      <c r="K1734" s="47">
        <f t="array" ref="K1734">_xlfn.XLOOKUP(1,(참조!$B$2:$B$15=E1734)*(참조!$D$2:$D$15=C1734)*(참조!$E$2:$E$15=D1734),참조!$C$2:$C$15,"")</f>
        <v/>
      </c>
    </row>
    <row r="1735" hidden="1" s="27">
      <c r="A1735" s="47" t="inlineStr">
        <is>
          <t>모빙</t>
        </is>
      </c>
      <c r="B1735" s="47" t="inlineStr">
        <is>
          <t>[S] 5G 데이터 110GB+</t>
        </is>
      </c>
      <c r="C1735" s="47" t="inlineStr">
        <is>
          <t>무제한</t>
        </is>
      </c>
      <c r="D1735" s="47" t="inlineStr">
        <is>
          <t>무제한</t>
        </is>
      </c>
      <c r="E1735" s="47" t="inlineStr">
        <is>
          <t>월 110GB + 5Mbps</t>
        </is>
      </c>
      <c r="F1735" s="47" t="inlineStr">
        <is>
          <t>SKT</t>
        </is>
      </c>
      <c r="G1735" s="47" t="inlineStr">
        <is>
          <t>5G</t>
        </is>
      </c>
      <c r="H1735" s="48" t="n">
        <v>42400</v>
      </c>
      <c r="I1735" s="48" t="n">
        <v>24</v>
      </c>
      <c r="J1735" s="48" t="n">
        <v>53900</v>
      </c>
      <c r="K1735" s="47">
        <f t="array" ref="K1735">_xlfn.XLOOKUP(1,(참조!$B$2:$B$15=E1735)*(참조!$D$2:$D$15=C1735)*(참조!$E$2:$E$15=D1735),참조!$C$2:$C$15,"")</f>
        <v/>
      </c>
    </row>
    <row r="1736" hidden="1" s="27">
      <c r="A1736" s="47" t="inlineStr">
        <is>
          <t>아이즈모바일</t>
        </is>
      </c>
      <c r="B1736" s="47" t="inlineStr">
        <is>
          <t>[S]톨(200분/3GB)</t>
        </is>
      </c>
      <c r="C1736" s="47" t="inlineStr">
        <is>
          <t>200분</t>
        </is>
      </c>
      <c r="D1736" s="47" t="inlineStr">
        <is>
          <t>100건</t>
        </is>
      </c>
      <c r="E1736" s="47" t="inlineStr">
        <is>
          <t>월 3GB</t>
        </is>
      </c>
      <c r="F1736" s="47" t="inlineStr">
        <is>
          <t>SKT</t>
        </is>
      </c>
      <c r="G1736" s="47" t="inlineStr">
        <is>
          <t>LTE</t>
        </is>
      </c>
      <c r="H1736" s="48" t="n">
        <v>4350</v>
      </c>
      <c r="I1736" s="48" t="n"/>
      <c r="J1736" s="48" t="n"/>
      <c r="K1736" s="47">
        <f t="array" ref="K1736">_xlfn.XLOOKUP(1,(참조!$B$2:$B$15=E1736)*(참조!$D$2:$D$15=C1736)*(참조!$E$2:$E$15=D1736),참조!$C$2:$C$15,"")</f>
        <v/>
      </c>
    </row>
    <row r="1737" hidden="1" s="27">
      <c r="A1737" s="47" t="inlineStr">
        <is>
          <t>아이즈모바일</t>
        </is>
      </c>
      <c r="B1737" s="47" t="inlineStr">
        <is>
          <t>[S]아이즈특판11GB+일2GB</t>
        </is>
      </c>
      <c r="C1737" s="47" t="inlineStr">
        <is>
          <t>무제한</t>
        </is>
      </c>
      <c r="D1737" s="47" t="inlineStr">
        <is>
          <t>무제한</t>
        </is>
      </c>
      <c r="E1737" s="47" t="inlineStr">
        <is>
          <t>월 11GB + 매일 2GB + 3Mbps</t>
        </is>
      </c>
      <c r="F1737" s="47" t="inlineStr">
        <is>
          <t>SKT</t>
        </is>
      </c>
      <c r="G1737" s="47" t="inlineStr">
        <is>
          <t>LTE</t>
        </is>
      </c>
      <c r="H1737" s="48" t="n">
        <v>20000</v>
      </c>
      <c r="I1737" s="48" t="n">
        <v>7</v>
      </c>
      <c r="J1737" s="48" t="n">
        <v>36300</v>
      </c>
      <c r="K1737" s="47">
        <f t="array" ref="K1737">_xlfn.XLOOKUP(1,(참조!$B$2:$B$15=E1737)*(참조!$D$2:$D$15=C1737)*(참조!$E$2:$E$15=D1737),참조!$C$2:$C$15,"")</f>
        <v/>
      </c>
    </row>
    <row r="1738" hidden="1" s="27">
      <c r="A1738" s="47" t="inlineStr">
        <is>
          <t>이야기모바일</t>
        </is>
      </c>
      <c r="B1738" s="47" t="inlineStr">
        <is>
          <t>5G 함께이야기해S (500분+50GB)</t>
        </is>
      </c>
      <c r="C1738" s="47" t="inlineStr">
        <is>
          <t>500분</t>
        </is>
      </c>
      <c r="D1738" s="47" t="inlineStr">
        <is>
          <t>200건</t>
        </is>
      </c>
      <c r="E1738" s="47" t="inlineStr">
        <is>
          <t>월 50GB</t>
        </is>
      </c>
      <c r="F1738" s="47" t="inlineStr">
        <is>
          <t>SKT</t>
        </is>
      </c>
      <c r="G1738" s="47" t="inlineStr">
        <is>
          <t>5G</t>
        </is>
      </c>
      <c r="H1738" s="48" t="n">
        <v>37400</v>
      </c>
      <c r="I1738" s="48" t="n">
        <v>12</v>
      </c>
      <c r="J1738" s="48" t="n">
        <v>49500</v>
      </c>
      <c r="K1738" s="47">
        <f t="array" ref="K1738">_xlfn.XLOOKUP(1,(참조!$B$2:$B$15=E1738)*(참조!$D$2:$D$15=C1738)*(참조!$E$2:$E$15=D1738),참조!$C$2:$C$15,"")</f>
        <v/>
      </c>
    </row>
    <row r="1739" hidden="1" s="27">
      <c r="A1739" s="47" t="inlineStr">
        <is>
          <t>리브모바일</t>
        </is>
      </c>
      <c r="B1739" s="47" t="inlineStr">
        <is>
          <t>LTE 무제한 7GB+(지니뮤직)</t>
        </is>
      </c>
      <c r="C1739" s="47" t="inlineStr">
        <is>
          <t>무제한</t>
        </is>
      </c>
      <c r="D1739" s="47" t="inlineStr">
        <is>
          <t>무제한</t>
        </is>
      </c>
      <c r="E1739" s="47" t="inlineStr">
        <is>
          <t>월 7GB + 1Mbps</t>
        </is>
      </c>
      <c r="F1739" s="47" t="inlineStr">
        <is>
          <t>KT</t>
        </is>
      </c>
      <c r="G1739" s="47" t="inlineStr">
        <is>
          <t>LTE</t>
        </is>
      </c>
      <c r="H1739" s="48" t="n">
        <v>19500</v>
      </c>
      <c r="I1739" s="48" t="n">
        <v>12</v>
      </c>
      <c r="J1739" s="48" t="n">
        <v>23900</v>
      </c>
      <c r="K1739" s="47">
        <f t="array" ref="K1739">_xlfn.XLOOKUP(1,(참조!$B$2:$B$15=E1739)*(참조!$D$2:$D$15=C1739)*(참조!$E$2:$E$15=D1739),참조!$C$2:$C$15,"")</f>
        <v/>
      </c>
    </row>
    <row r="1740" hidden="1" s="27">
      <c r="A1740" s="47" t="inlineStr">
        <is>
          <t>모빙</t>
        </is>
      </c>
      <c r="B1740" s="47" t="inlineStr">
        <is>
          <t>[K] 5G 200분3GB</t>
        </is>
      </c>
      <c r="C1740" s="47" t="inlineStr">
        <is>
          <t>200분</t>
        </is>
      </c>
      <c r="D1740" s="47" t="inlineStr">
        <is>
          <t>200건</t>
        </is>
      </c>
      <c r="E1740" s="47" t="inlineStr">
        <is>
          <t>월 3GB</t>
        </is>
      </c>
      <c r="F1740" s="47" t="inlineStr">
        <is>
          <t>KT</t>
        </is>
      </c>
      <c r="G1740" s="47" t="inlineStr">
        <is>
          <t>5G</t>
        </is>
      </c>
      <c r="H1740" s="48" t="n">
        <v>4400</v>
      </c>
      <c r="I1740" s="48" t="n"/>
      <c r="J1740" s="48" t="n"/>
      <c r="K1740" s="47">
        <f t="array" ref="K1740">_xlfn.XLOOKUP(1,(참조!$B$2:$B$15=E1740)*(참조!$D$2:$D$15=C1740)*(참조!$E$2:$E$15=D1740),참조!$C$2:$C$15,"")</f>
        <v/>
      </c>
    </row>
    <row r="1741" hidden="1" s="27">
      <c r="A1741" s="47" t="inlineStr">
        <is>
          <t>스마텔</t>
        </is>
      </c>
      <c r="B1741" s="47" t="inlineStr">
        <is>
          <t>후후 심플 (100분 + 3GB)</t>
        </is>
      </c>
      <c r="C1741" s="47" t="inlineStr">
        <is>
          <t>100분</t>
        </is>
      </c>
      <c r="D1741" s="47" t="inlineStr">
        <is>
          <t>100건</t>
        </is>
      </c>
      <c r="E1741" s="47" t="inlineStr">
        <is>
          <t>월 3GB</t>
        </is>
      </c>
      <c r="F1741" s="47" t="inlineStr">
        <is>
          <t>LG U+</t>
        </is>
      </c>
      <c r="G1741" s="47" t="inlineStr">
        <is>
          <t>LTE</t>
        </is>
      </c>
      <c r="H1741" s="48" t="n">
        <v>2230</v>
      </c>
      <c r="I1741" s="48" t="n">
        <v>6</v>
      </c>
      <c r="J1741" s="48" t="n">
        <v>5830</v>
      </c>
      <c r="K1741" s="47">
        <f t="array" ref="K1741">_xlfn.XLOOKUP(1,(참조!$B$2:$B$15=E1741)*(참조!$D$2:$D$15=C1741)*(참조!$E$2:$E$15=D1741),참조!$C$2:$C$15,"")</f>
        <v/>
      </c>
    </row>
    <row r="1742" hidden="1" s="27">
      <c r="A1742" s="47" t="inlineStr">
        <is>
          <t>스마텔</t>
        </is>
      </c>
      <c r="B1742" s="47" t="inlineStr">
        <is>
          <t>후후 심플 (100분 + 2.2GB)</t>
        </is>
      </c>
      <c r="C1742" s="47" t="inlineStr">
        <is>
          <t>100분</t>
        </is>
      </c>
      <c r="D1742" s="47" t="inlineStr">
        <is>
          <t>100건</t>
        </is>
      </c>
      <c r="E1742" s="47" t="inlineStr">
        <is>
          <t>월 2.2GB</t>
        </is>
      </c>
      <c r="F1742" s="47" t="inlineStr">
        <is>
          <t>LG U+</t>
        </is>
      </c>
      <c r="G1742" s="47" t="inlineStr">
        <is>
          <t>LTE</t>
        </is>
      </c>
      <c r="H1742" s="48" t="n">
        <v>2230</v>
      </c>
      <c r="I1742" s="48" t="n">
        <v>6</v>
      </c>
      <c r="J1742" s="48" t="n">
        <v>4730</v>
      </c>
      <c r="K1742" s="47">
        <f t="array" ref="K1742">_xlfn.XLOOKUP(1,(참조!$B$2:$B$15=E1742)*(참조!$D$2:$D$15=C1742)*(참조!$E$2:$E$15=D1742),참조!$C$2:$C$15,"")</f>
        <v/>
      </c>
    </row>
    <row r="1743" hidden="1" s="27">
      <c r="A1743" s="47" t="inlineStr">
        <is>
          <t>스마텔</t>
        </is>
      </c>
      <c r="B1743" s="47" t="inlineStr">
        <is>
          <t>후후 심플 (200분 + 1.5GB)</t>
        </is>
      </c>
      <c r="C1743" s="47" t="inlineStr">
        <is>
          <t>200분</t>
        </is>
      </c>
      <c r="D1743" s="47" t="inlineStr">
        <is>
          <t>100건</t>
        </is>
      </c>
      <c r="E1743" s="47" t="inlineStr">
        <is>
          <t>월 1.5GB</t>
        </is>
      </c>
      <c r="F1743" s="47" t="inlineStr">
        <is>
          <t>LG U+</t>
        </is>
      </c>
      <c r="G1743" s="47" t="inlineStr">
        <is>
          <t>LTE</t>
        </is>
      </c>
      <c r="H1743" s="48" t="n">
        <v>2230</v>
      </c>
      <c r="I1743" s="48" t="n">
        <v>6</v>
      </c>
      <c r="J1743" s="48" t="n">
        <v>4730</v>
      </c>
      <c r="K1743" s="47">
        <f t="array" ref="K1743">_xlfn.XLOOKUP(1,(참조!$B$2:$B$15=E1743)*(참조!$D$2:$D$15=C1743)*(참조!$E$2:$E$15=D1743),참조!$C$2:$C$15,"")</f>
        <v/>
      </c>
    </row>
    <row r="1744" hidden="1" s="27">
      <c r="A1744" s="47" t="inlineStr">
        <is>
          <t>스마텔</t>
        </is>
      </c>
      <c r="B1744" s="47" t="inlineStr">
        <is>
          <t>후후 심플 (500분 + 1GB)</t>
        </is>
      </c>
      <c r="C1744" s="47" t="inlineStr">
        <is>
          <t>500분</t>
        </is>
      </c>
      <c r="D1744" s="47" t="inlineStr">
        <is>
          <t>100건</t>
        </is>
      </c>
      <c r="E1744" s="47" t="inlineStr">
        <is>
          <t>월 1GB</t>
        </is>
      </c>
      <c r="F1744" s="47" t="inlineStr">
        <is>
          <t>LG U+</t>
        </is>
      </c>
      <c r="G1744" s="47" t="inlineStr">
        <is>
          <t>LTE</t>
        </is>
      </c>
      <c r="H1744" s="48" t="n">
        <v>2230</v>
      </c>
      <c r="I1744" s="48" t="n">
        <v>6</v>
      </c>
      <c r="J1744" s="48" t="n">
        <v>6930</v>
      </c>
      <c r="K1744" s="47">
        <f t="array" ref="K1744">_xlfn.XLOOKUP(1,(참조!$B$2:$B$15=E1744)*(참조!$D$2:$D$15=C1744)*(참조!$E$2:$E$15=D1744),참조!$C$2:$C$15,"")</f>
        <v/>
      </c>
    </row>
    <row r="1745" hidden="1" s="27">
      <c r="A1745" s="47" t="inlineStr">
        <is>
          <t>모빙</t>
        </is>
      </c>
      <c r="B1745" s="47" t="inlineStr">
        <is>
          <t>[K] 5G 데이터 200GB+</t>
        </is>
      </c>
      <c r="C1745" s="47" t="inlineStr">
        <is>
          <t>무제한</t>
        </is>
      </c>
      <c r="D1745" s="47" t="inlineStr">
        <is>
          <t>무제한</t>
        </is>
      </c>
      <c r="E1745" s="47" t="inlineStr">
        <is>
          <t>월 200GB + 10Mbps</t>
        </is>
      </c>
      <c r="F1745" s="47" t="inlineStr">
        <is>
          <t>KT</t>
        </is>
      </c>
      <c r="G1745" s="47" t="inlineStr">
        <is>
          <t>5G</t>
        </is>
      </c>
      <c r="H1745" s="48" t="n">
        <v>40700</v>
      </c>
      <c r="I1745" s="48" t="n">
        <v>12</v>
      </c>
      <c r="J1745" s="48" t="n">
        <v>70400</v>
      </c>
      <c r="K1745" s="47">
        <f t="array" ref="K1745">_xlfn.XLOOKUP(1,(참조!$B$2:$B$15=E1745)*(참조!$D$2:$D$15=C1745)*(참조!$E$2:$E$15=D1745),참조!$C$2:$C$15,"")</f>
        <v/>
      </c>
    </row>
    <row r="1746" hidden="1" s="27">
      <c r="A1746" s="47" t="inlineStr">
        <is>
          <t>모빙</t>
        </is>
      </c>
      <c r="B1746" s="47" t="inlineStr">
        <is>
          <t>[K] 5G 밀리의서재 200GB+</t>
        </is>
      </c>
      <c r="C1746" s="47" t="inlineStr">
        <is>
          <t>무제한</t>
        </is>
      </c>
      <c r="D1746" s="47" t="inlineStr">
        <is>
          <t>무제한</t>
        </is>
      </c>
      <c r="E1746" s="47" t="inlineStr">
        <is>
          <t>월 200GB + 10Mbps</t>
        </is>
      </c>
      <c r="F1746" s="47" t="inlineStr">
        <is>
          <t>KT</t>
        </is>
      </c>
      <c r="G1746" s="47" t="inlineStr">
        <is>
          <t>5G</t>
        </is>
      </c>
      <c r="H1746" s="48" t="n">
        <v>40700</v>
      </c>
      <c r="I1746" s="48" t="n">
        <v>12</v>
      </c>
      <c r="J1746" s="48" t="n">
        <v>70400</v>
      </c>
      <c r="K1746" s="47">
        <f t="array" ref="K1746">_xlfn.XLOOKUP(1,(참조!$B$2:$B$15=E1746)*(참조!$D$2:$D$15=C1746)*(참조!$E$2:$E$15=D1746),참조!$C$2:$C$15,"")</f>
        <v/>
      </c>
    </row>
    <row r="1747" hidden="1" s="27">
      <c r="A1747" s="47" t="inlineStr">
        <is>
          <t>모빙</t>
        </is>
      </c>
      <c r="B1747" s="47" t="inlineStr">
        <is>
          <t>[K] CU편의점 300분15GB+</t>
        </is>
      </c>
      <c r="C1747" s="47" t="inlineStr">
        <is>
          <t>300분</t>
        </is>
      </c>
      <c r="D1747" s="47" t="inlineStr">
        <is>
          <t>300건</t>
        </is>
      </c>
      <c r="E1747" s="47" t="inlineStr">
        <is>
          <t>월 15GB + 3Mbps</t>
        </is>
      </c>
      <c r="F1747" s="47" t="inlineStr">
        <is>
          <t>KT</t>
        </is>
      </c>
      <c r="G1747" s="47" t="inlineStr">
        <is>
          <t>LTE</t>
        </is>
      </c>
      <c r="H1747" s="48" t="n">
        <v>17600</v>
      </c>
      <c r="I1747" s="48" t="n">
        <v>7</v>
      </c>
      <c r="J1747" s="48" t="n">
        <v>45100</v>
      </c>
      <c r="K1747" s="47">
        <f t="array" ref="K1747">_xlfn.XLOOKUP(1,(참조!$B$2:$B$15=E1747)*(참조!$D$2:$D$15=C1747)*(참조!$E$2:$E$15=D1747),참조!$C$2:$C$15,"")</f>
        <v/>
      </c>
    </row>
    <row r="1748" hidden="1" s="27">
      <c r="A1748" s="47" t="inlineStr">
        <is>
          <t>리브모바일</t>
        </is>
      </c>
      <c r="B1748" s="47" t="inlineStr">
        <is>
          <t>LTE 든든 7GB</t>
        </is>
      </c>
      <c r="C1748" s="47" t="inlineStr">
        <is>
          <t>무제한</t>
        </is>
      </c>
      <c r="D1748" s="47" t="inlineStr">
        <is>
          <t>무제한</t>
        </is>
      </c>
      <c r="E1748" s="47" t="inlineStr">
        <is>
          <t>월 7GB</t>
        </is>
      </c>
      <c r="F1748" s="47" t="inlineStr">
        <is>
          <t>LG U+</t>
        </is>
      </c>
      <c r="G1748" s="47" t="inlineStr">
        <is>
          <t>LTE</t>
        </is>
      </c>
      <c r="H1748" s="48" t="n">
        <v>16500</v>
      </c>
      <c r="I1748" s="48" t="n">
        <v>12</v>
      </c>
      <c r="J1748" s="48" t="n">
        <v>20900</v>
      </c>
      <c r="K1748" s="47">
        <f t="array" ref="K1748">_xlfn.XLOOKUP(1,(참조!$B$2:$B$15=E1748)*(참조!$D$2:$D$15=C1748)*(참조!$E$2:$E$15=D1748),참조!$C$2:$C$15,"")</f>
        <v/>
      </c>
    </row>
    <row r="1749" hidden="1" s="27">
      <c r="A1749" s="47" t="inlineStr">
        <is>
          <t>이야기모바일</t>
        </is>
      </c>
      <c r="B1749" s="47" t="inlineStr">
        <is>
          <t>5G 이야기 무한 200GB</t>
        </is>
      </c>
      <c r="C1749" s="47" t="inlineStr">
        <is>
          <t>무제한</t>
        </is>
      </c>
      <c r="D1749" s="47" t="inlineStr">
        <is>
          <t>무제한</t>
        </is>
      </c>
      <c r="E1749" s="47" t="inlineStr">
        <is>
          <t>월 200GB + 5Mbps</t>
        </is>
      </c>
      <c r="F1749" s="47" t="inlineStr">
        <is>
          <t>SKT</t>
        </is>
      </c>
      <c r="G1749" s="47" t="inlineStr">
        <is>
          <t>5G</t>
        </is>
      </c>
      <c r="H1749" s="48" t="n">
        <v>49800</v>
      </c>
      <c r="I1749" s="48" t="n">
        <v>7</v>
      </c>
      <c r="J1749" s="48" t="n">
        <v>53100</v>
      </c>
      <c r="K1749" s="47">
        <f t="array" ref="K1749">_xlfn.XLOOKUP(1,(참조!$B$2:$B$15=E1749)*(참조!$D$2:$D$15=C1749)*(참조!$E$2:$E$15=D1749),참조!$C$2:$C$15,"")</f>
        <v/>
      </c>
    </row>
    <row r="1750" hidden="1" s="27">
      <c r="A1750" s="47" t="inlineStr">
        <is>
          <t>모빙</t>
        </is>
      </c>
      <c r="B1750" s="47" t="inlineStr">
        <is>
          <t>[S] 데이터 10GB+</t>
        </is>
      </c>
      <c r="C1750" s="47" t="inlineStr">
        <is>
          <t>무제한</t>
        </is>
      </c>
      <c r="D1750" s="47" t="inlineStr">
        <is>
          <t>무제한</t>
        </is>
      </c>
      <c r="E1750" s="47" t="inlineStr">
        <is>
          <t>월 10GB + 1Mbps</t>
        </is>
      </c>
      <c r="F1750" s="47" t="inlineStr">
        <is>
          <t>SKT</t>
        </is>
      </c>
      <c r="G1750" s="47" t="inlineStr">
        <is>
          <t>LTE</t>
        </is>
      </c>
      <c r="H1750" s="48" t="n">
        <v>5000</v>
      </c>
      <c r="I1750" s="48" t="n">
        <v>7</v>
      </c>
      <c r="J1750" s="48" t="n">
        <v>33000</v>
      </c>
      <c r="K1750" s="47">
        <f t="array" ref="K1750">_xlfn.XLOOKUP(1,(참조!$B$2:$B$15=E1750)*(참조!$D$2:$D$15=C1750)*(참조!$E$2:$E$15=D1750),참조!$C$2:$C$15,"")</f>
        <v/>
      </c>
    </row>
    <row r="1751" hidden="1" s="27">
      <c r="A1751" s="47" t="inlineStr">
        <is>
          <t>모빙</t>
        </is>
      </c>
      <c r="B1751" s="47" t="inlineStr">
        <is>
          <t>쏙쏙 시니어 8GB+</t>
        </is>
      </c>
      <c r="C1751" s="47" t="inlineStr">
        <is>
          <t>무제한</t>
        </is>
      </c>
      <c r="D1751" s="47" t="inlineStr">
        <is>
          <t>무제한</t>
        </is>
      </c>
      <c r="E1751" s="47" t="inlineStr">
        <is>
          <t>월 8GB + 1Mbps</t>
        </is>
      </c>
      <c r="F1751" s="47" t="inlineStr">
        <is>
          <t>KT</t>
        </is>
      </c>
      <c r="G1751" s="47" t="inlineStr">
        <is>
          <t>LTE</t>
        </is>
      </c>
      <c r="H1751" s="48" t="n">
        <v>16500</v>
      </c>
      <c r="I1751" s="48" t="n">
        <v>24</v>
      </c>
      <c r="J1751" s="48" t="n">
        <v>22000</v>
      </c>
      <c r="K1751" s="47">
        <f t="array" ref="K1751">_xlfn.XLOOKUP(1,(참조!$B$2:$B$15=E1751)*(참조!$D$2:$D$15=C1751)*(참조!$E$2:$E$15=D1751),참조!$C$2:$C$15,"")</f>
        <v/>
      </c>
    </row>
    <row r="1752" hidden="1" s="27">
      <c r="A1752" s="47" t="inlineStr">
        <is>
          <t>아이즈모바일</t>
        </is>
      </c>
      <c r="B1752" s="47" t="inlineStr">
        <is>
          <t>세이브머니유심(기본제공/5GB+)</t>
        </is>
      </c>
      <c r="C1752" s="47" t="inlineStr">
        <is>
          <t>무제한</t>
        </is>
      </c>
      <c r="D1752" s="47" t="inlineStr">
        <is>
          <t>무제한</t>
        </is>
      </c>
      <c r="E1752" s="47" t="inlineStr">
        <is>
          <t>월 5GB + 1Mbps</t>
        </is>
      </c>
      <c r="F1752" s="47" t="inlineStr">
        <is>
          <t>LG U+</t>
        </is>
      </c>
      <c r="G1752" s="47" t="inlineStr">
        <is>
          <t>LTE</t>
        </is>
      </c>
      <c r="H1752" s="48" t="n">
        <v>7900</v>
      </c>
      <c r="I1752" s="48" t="n"/>
      <c r="J1752" s="48" t="n"/>
      <c r="K1752" s="47">
        <f t="array" ref="K1752">_xlfn.XLOOKUP(1,(참조!$B$2:$B$15=E1752)*(참조!$D$2:$D$15=C1752)*(참조!$E$2:$E$15=D1752),참조!$C$2:$C$15,"")</f>
        <v/>
      </c>
    </row>
    <row r="1753" hidden="1" s="27">
      <c r="A1753" s="47" t="inlineStr">
        <is>
          <t>에이모바일</t>
        </is>
      </c>
      <c r="B1753" s="47" t="inlineStr">
        <is>
          <t>A 올라잇 4.5GB/100분</t>
        </is>
      </c>
      <c r="C1753" s="47" t="inlineStr">
        <is>
          <t>100분</t>
        </is>
      </c>
      <c r="D1753" s="47" t="inlineStr">
        <is>
          <t>100건</t>
        </is>
      </c>
      <c r="E1753" s="47" t="inlineStr">
        <is>
          <t>월 4.5GB</t>
        </is>
      </c>
      <c r="F1753" s="47" t="inlineStr">
        <is>
          <t>KT</t>
        </is>
      </c>
      <c r="G1753" s="47" t="inlineStr">
        <is>
          <t>LTE</t>
        </is>
      </c>
      <c r="H1753" s="48" t="n">
        <v>330</v>
      </c>
      <c r="I1753" s="48" t="n">
        <v>7</v>
      </c>
      <c r="J1753" s="48" t="n">
        <v>9350</v>
      </c>
      <c r="K1753" s="47">
        <f t="array" ref="K1753">_xlfn.XLOOKUP(1,(참조!$B$2:$B$15=E1753)*(참조!$D$2:$D$15=C1753)*(참조!$E$2:$E$15=D1753),참조!$C$2:$C$15,"")</f>
        <v/>
      </c>
    </row>
    <row r="1754" hidden="1" s="27">
      <c r="A1754" s="47" t="inlineStr">
        <is>
          <t>티플러스</t>
        </is>
      </c>
      <c r="B1754" s="47" t="inlineStr">
        <is>
          <t>KT 10GB+ (밀리의서재+올리브영 매월 5천원 상품권!)</t>
        </is>
      </c>
      <c r="C1754" s="47" t="inlineStr">
        <is>
          <t>무제한</t>
        </is>
      </c>
      <c r="D1754" s="47" t="inlineStr">
        <is>
          <t>무제한</t>
        </is>
      </c>
      <c r="E1754" s="47" t="inlineStr">
        <is>
          <t>월 10GB + 1Mbps</t>
        </is>
      </c>
      <c r="F1754" s="47" t="inlineStr">
        <is>
          <t>KT</t>
        </is>
      </c>
      <c r="G1754" s="47" t="inlineStr">
        <is>
          <t>LTE</t>
        </is>
      </c>
      <c r="H1754" s="48" t="n">
        <v>10900</v>
      </c>
      <c r="I1754" s="48" t="n">
        <v>7</v>
      </c>
      <c r="J1754" s="48" t="n">
        <v>27500</v>
      </c>
      <c r="K1754" s="47">
        <f t="array" ref="K1754">_xlfn.XLOOKUP(1,(참조!$B$2:$B$15=E1754)*(참조!$D$2:$D$15=C1754)*(참조!$E$2:$E$15=D1754),참조!$C$2:$C$15,"")</f>
        <v/>
      </c>
    </row>
    <row r="1755" hidden="1" s="27">
      <c r="A1755" s="47" t="inlineStr">
        <is>
          <t>아이즈모바일</t>
        </is>
      </c>
      <c r="B1755" s="47" t="inlineStr">
        <is>
          <t>[S]무한10GB+</t>
        </is>
      </c>
      <c r="C1755" s="47" t="inlineStr">
        <is>
          <t>무제한</t>
        </is>
      </c>
      <c r="D1755" s="47" t="inlineStr">
        <is>
          <t>무제한</t>
        </is>
      </c>
      <c r="E1755" s="47" t="inlineStr">
        <is>
          <t>월 10GB + 1Mbps</t>
        </is>
      </c>
      <c r="F1755" s="47" t="inlineStr">
        <is>
          <t>SKT</t>
        </is>
      </c>
      <c r="G1755" s="47" t="inlineStr">
        <is>
          <t>LTE</t>
        </is>
      </c>
      <c r="H1755" s="48" t="n">
        <v>18900</v>
      </c>
      <c r="I1755" s="48" t="n">
        <v>36</v>
      </c>
      <c r="J1755" s="48" t="n">
        <v>35200</v>
      </c>
      <c r="K1755" s="47">
        <f t="array" ref="K1755">_xlfn.XLOOKUP(1,(참조!$B$2:$B$15=E1755)*(참조!$D$2:$D$15=C1755)*(참조!$E$2:$E$15=D1755),참조!$C$2:$C$15,"")</f>
        <v/>
      </c>
    </row>
    <row r="1756" hidden="1" s="27">
      <c r="A1756" s="47" t="inlineStr">
        <is>
          <t>아이즈모바일</t>
        </is>
      </c>
      <c r="B1756" s="47" t="inlineStr">
        <is>
          <t>[K]아이즈특판7GB+</t>
        </is>
      </c>
      <c r="C1756" s="47" t="inlineStr">
        <is>
          <t>무제한</t>
        </is>
      </c>
      <c r="D1756" s="47" t="inlineStr">
        <is>
          <t>무제한</t>
        </is>
      </c>
      <c r="E1756" s="47" t="inlineStr">
        <is>
          <t>월 7GB + 1Mbps</t>
        </is>
      </c>
      <c r="F1756" s="47" t="inlineStr">
        <is>
          <t>KT</t>
        </is>
      </c>
      <c r="G1756" s="47" t="inlineStr">
        <is>
          <t>LTE</t>
        </is>
      </c>
      <c r="H1756" s="48" t="n">
        <v>19800</v>
      </c>
      <c r="I1756" s="48" t="n"/>
      <c r="J1756" s="48" t="n"/>
      <c r="K1756" s="47">
        <f t="array" ref="K1756">_xlfn.XLOOKUP(1,(참조!$B$2:$B$15=E1756)*(참조!$D$2:$D$15=C1756)*(참조!$E$2:$E$15=D1756),참조!$C$2:$C$15,"")</f>
        <v/>
      </c>
    </row>
    <row r="1757" hidden="1" s="27">
      <c r="A1757" s="47" t="inlineStr">
        <is>
          <t>모빙</t>
        </is>
      </c>
      <c r="B1757" s="47" t="inlineStr">
        <is>
          <t>[S] 데이터 5GB</t>
        </is>
      </c>
      <c r="C1757" s="47" t="inlineStr">
        <is>
          <t>무제한</t>
        </is>
      </c>
      <c r="D1757" s="47" t="inlineStr">
        <is>
          <t>200건</t>
        </is>
      </c>
      <c r="E1757" s="47" t="inlineStr">
        <is>
          <t>월 5GB</t>
        </is>
      </c>
      <c r="F1757" s="47" t="inlineStr">
        <is>
          <t>SKT</t>
        </is>
      </c>
      <c r="G1757" s="47" t="inlineStr">
        <is>
          <t>LTE</t>
        </is>
      </c>
      <c r="H1757" s="48" t="n">
        <v>3900</v>
      </c>
      <c r="I1757" s="48" t="n"/>
      <c r="J1757" s="48" t="n"/>
      <c r="K1757" s="47">
        <f t="array" ref="K1757">_xlfn.XLOOKUP(1,(참조!$B$2:$B$15=E1757)*(참조!$D$2:$D$15=C1757)*(참조!$E$2:$E$15=D1757),참조!$C$2:$C$15,"")</f>
        <v/>
      </c>
    </row>
    <row r="1758" hidden="1" s="27">
      <c r="A1758" s="47" t="inlineStr">
        <is>
          <t>KG모바일</t>
        </is>
      </c>
      <c r="B1758" s="47" t="inlineStr">
        <is>
          <t>[모빌카드 스페셜] 유심 5G 12GB+</t>
        </is>
      </c>
      <c r="C1758" s="47" t="inlineStr">
        <is>
          <t>무제한</t>
        </is>
      </c>
      <c r="D1758" s="47" t="inlineStr">
        <is>
          <t>무제한</t>
        </is>
      </c>
      <c r="E1758" s="47" t="inlineStr">
        <is>
          <t>월 12GB + 1Mbps</t>
        </is>
      </c>
      <c r="F1758" s="47" t="inlineStr">
        <is>
          <t>LG U+</t>
        </is>
      </c>
      <c r="G1758" s="47" t="inlineStr">
        <is>
          <t>5G</t>
        </is>
      </c>
      <c r="H1758" s="48" t="n">
        <v>22550</v>
      </c>
      <c r="I1758" s="48" t="n">
        <v>7</v>
      </c>
      <c r="J1758" s="48" t="n">
        <v>41800</v>
      </c>
      <c r="K1758" s="47">
        <f t="array" ref="K1758">_xlfn.XLOOKUP(1,(참조!$B$2:$B$15=E1758)*(참조!$D$2:$D$15=C1758)*(참조!$E$2:$E$15=D1758),참조!$C$2:$C$15,"")</f>
        <v/>
      </c>
    </row>
    <row r="1759" hidden="1" s="27">
      <c r="A1759" s="47" t="inlineStr">
        <is>
          <t>티플러스</t>
        </is>
      </c>
      <c r="B1759" s="47" t="inlineStr">
        <is>
          <t>티플 CGV 10GB＋</t>
        </is>
      </c>
      <c r="C1759" s="47" t="inlineStr">
        <is>
          <t>무제한</t>
        </is>
      </c>
      <c r="D1759" s="47" t="inlineStr">
        <is>
          <t>무제한</t>
        </is>
      </c>
      <c r="E1759" s="47" t="inlineStr">
        <is>
          <t>월 10GB + 1Mbps</t>
        </is>
      </c>
      <c r="F1759" s="47" t="inlineStr">
        <is>
          <t>SKT</t>
        </is>
      </c>
      <c r="G1759" s="47" t="inlineStr">
        <is>
          <t>LTE</t>
        </is>
      </c>
      <c r="H1759" s="48" t="n">
        <v>9900</v>
      </c>
      <c r="I1759" s="48" t="n">
        <v>7</v>
      </c>
      <c r="J1759" s="48" t="n">
        <v>37400</v>
      </c>
      <c r="K1759" s="47">
        <f t="array" ref="K1759">_xlfn.XLOOKUP(1,(참조!$B$2:$B$15=E1759)*(참조!$D$2:$D$15=C1759)*(참조!$E$2:$E$15=D1759),참조!$C$2:$C$15,"")</f>
        <v/>
      </c>
    </row>
    <row r="1760" hidden="1" s="27">
      <c r="A1760" s="47" t="inlineStr">
        <is>
          <t>스마텔</t>
        </is>
      </c>
      <c r="B1760" s="47" t="inlineStr">
        <is>
          <t>LTE 음성무제한 5GB</t>
        </is>
      </c>
      <c r="C1760" s="47" t="inlineStr">
        <is>
          <t>무제한</t>
        </is>
      </c>
      <c r="D1760" s="47" t="inlineStr">
        <is>
          <t>200건</t>
        </is>
      </c>
      <c r="E1760" s="47" t="inlineStr">
        <is>
          <t>월 5GB</t>
        </is>
      </c>
      <c r="F1760" s="47" t="inlineStr">
        <is>
          <t>SKT</t>
        </is>
      </c>
      <c r="G1760" s="47" t="inlineStr">
        <is>
          <t>LTE</t>
        </is>
      </c>
      <c r="H1760" s="48" t="n">
        <v>990</v>
      </c>
      <c r="I1760" s="48" t="n">
        <v>10</v>
      </c>
      <c r="J1760" s="48" t="n">
        <v>16500</v>
      </c>
      <c r="K1760" s="47">
        <f t="array" ref="K1760">_xlfn.XLOOKUP(1,(참조!$B$2:$B$15=E1760)*(참조!$D$2:$D$15=C1760)*(참조!$E$2:$E$15=D1760),참조!$C$2:$C$15,"")</f>
        <v/>
      </c>
    </row>
    <row r="1761" hidden="1" s="27">
      <c r="A1761" s="47" t="inlineStr">
        <is>
          <t>이야기모바일</t>
        </is>
      </c>
      <c r="B1761" s="47" t="inlineStr">
        <is>
          <t>내맘대로 차단형 (200분+500MB)</t>
        </is>
      </c>
      <c r="C1761" s="47" t="inlineStr">
        <is>
          <t>200분</t>
        </is>
      </c>
      <c r="D1761" s="47" t="inlineStr">
        <is>
          <t>50건</t>
        </is>
      </c>
      <c r="E1761" s="47" t="inlineStr">
        <is>
          <t>월 500MB</t>
        </is>
      </c>
      <c r="F1761" s="47" t="inlineStr">
        <is>
          <t>LG U+</t>
        </is>
      </c>
      <c r="G1761" s="47" t="inlineStr">
        <is>
          <t>LTE</t>
        </is>
      </c>
      <c r="H1761" s="48" t="n">
        <v>8580</v>
      </c>
      <c r="I1761" s="48" t="n"/>
      <c r="J1761" s="48" t="n"/>
      <c r="K1761" s="47">
        <f t="array" ref="K1761">_xlfn.XLOOKUP(1,(참조!$B$2:$B$15=E1761)*(참조!$D$2:$D$15=C1761)*(참조!$E$2:$E$15=D1761),참조!$C$2:$C$15,"")</f>
        <v/>
      </c>
    </row>
    <row r="1762" hidden="1" s="27">
      <c r="A1762" s="47" t="inlineStr">
        <is>
          <t>아이즈모바일</t>
        </is>
      </c>
      <c r="B1762" s="47" t="inlineStr">
        <is>
          <t>[S]아이즈팩 7GB+</t>
        </is>
      </c>
      <c r="C1762" s="47" t="inlineStr">
        <is>
          <t>무제한</t>
        </is>
      </c>
      <c r="D1762" s="47" t="inlineStr">
        <is>
          <t>무제한</t>
        </is>
      </c>
      <c r="E1762" s="47" t="inlineStr">
        <is>
          <t>월 7GB + 1Mbps</t>
        </is>
      </c>
      <c r="F1762" s="47" t="inlineStr">
        <is>
          <t>SKT</t>
        </is>
      </c>
      <c r="G1762" s="47" t="inlineStr">
        <is>
          <t>LTE</t>
        </is>
      </c>
      <c r="H1762" s="48" t="n">
        <v>5900</v>
      </c>
      <c r="I1762" s="48" t="n">
        <v>7</v>
      </c>
      <c r="J1762" s="48" t="n">
        <v>27500</v>
      </c>
      <c r="K1762" s="47">
        <f t="array" ref="K1762">_xlfn.XLOOKUP(1,(참조!$B$2:$B$15=E1762)*(참조!$D$2:$D$15=C1762)*(참조!$E$2:$E$15=D1762),참조!$C$2:$C$15,"")</f>
        <v/>
      </c>
    </row>
    <row r="1763" hidden="1" s="27">
      <c r="A1763" s="47" t="inlineStr">
        <is>
          <t>에이모바일</t>
        </is>
      </c>
      <c r="B1763" s="47" t="inlineStr">
        <is>
          <t>A 스페셜 10GB+ (24개월)</t>
        </is>
      </c>
      <c r="C1763" s="47" t="inlineStr">
        <is>
          <t>무제한</t>
        </is>
      </c>
      <c r="D1763" s="47" t="inlineStr">
        <is>
          <t>무제한</t>
        </is>
      </c>
      <c r="E1763" s="47" t="inlineStr">
        <is>
          <t>월 10GB + 1Mbps</t>
        </is>
      </c>
      <c r="F1763" s="47" t="inlineStr">
        <is>
          <t>LG U+</t>
        </is>
      </c>
      <c r="G1763" s="47" t="inlineStr">
        <is>
          <t>LTE</t>
        </is>
      </c>
      <c r="H1763" s="48" t="n">
        <v>19030</v>
      </c>
      <c r="I1763" s="48" t="n">
        <v>24</v>
      </c>
      <c r="J1763" s="48" t="n">
        <v>26400</v>
      </c>
      <c r="K1763" s="47">
        <f t="array" ref="K1763">_xlfn.XLOOKUP(1,(참조!$B$2:$B$15=E1763)*(참조!$D$2:$D$15=C1763)*(참조!$E$2:$E$15=D1763),참조!$C$2:$C$15,"")</f>
        <v/>
      </c>
    </row>
    <row r="1764" hidden="1" s="27">
      <c r="A1764" s="47" t="inlineStr">
        <is>
          <t>이야기모바일</t>
        </is>
      </c>
      <c r="B1764" s="47" t="inlineStr">
        <is>
          <t>내맘대로 차단형 (300분+0MB)</t>
        </is>
      </c>
      <c r="C1764" s="47" t="inlineStr">
        <is>
          <t>300분</t>
        </is>
      </c>
      <c r="D1764" s="47" t="inlineStr">
        <is>
          <t>50건</t>
        </is>
      </c>
      <c r="E1764" s="47" t="inlineStr">
        <is>
          <t>데이터 제공안함</t>
        </is>
      </c>
      <c r="F1764" s="47" t="inlineStr">
        <is>
          <t>LG U+</t>
        </is>
      </c>
      <c r="G1764" s="47" t="inlineStr">
        <is>
          <t>LTE</t>
        </is>
      </c>
      <c r="H1764" s="48" t="n">
        <v>8800</v>
      </c>
      <c r="I1764" s="48" t="n"/>
      <c r="J1764" s="48" t="n"/>
      <c r="K1764" s="47">
        <f t="array" ref="K1764">_xlfn.XLOOKUP(1,(참조!$B$2:$B$15=E1764)*(참조!$D$2:$D$15=C1764)*(참조!$E$2:$E$15=D1764),참조!$C$2:$C$15,"")</f>
        <v/>
      </c>
    </row>
    <row r="1765" hidden="1" s="27">
      <c r="A1765" s="47" t="inlineStr">
        <is>
          <t>아이즈모바일</t>
        </is>
      </c>
      <c r="B1765" s="47" t="inlineStr">
        <is>
          <t>[K]CU&amp;롯시 10GB+</t>
        </is>
      </c>
      <c r="C1765" s="47" t="inlineStr">
        <is>
          <t>무제한</t>
        </is>
      </c>
      <c r="D1765" s="47" t="inlineStr">
        <is>
          <t>무제한</t>
        </is>
      </c>
      <c r="E1765" s="47" t="inlineStr">
        <is>
          <t>월 10GB + 1Mbps</t>
        </is>
      </c>
      <c r="F1765" s="47" t="inlineStr">
        <is>
          <t>KT</t>
        </is>
      </c>
      <c r="G1765" s="47" t="inlineStr">
        <is>
          <t>LTE</t>
        </is>
      </c>
      <c r="H1765" s="48" t="n">
        <v>6900</v>
      </c>
      <c r="I1765" s="48" t="n">
        <v>7</v>
      </c>
      <c r="J1765" s="48" t="n">
        <v>33000</v>
      </c>
      <c r="K1765" s="47">
        <f t="array" ref="K1765">_xlfn.XLOOKUP(1,(참조!$B$2:$B$15=E1765)*(참조!$D$2:$D$15=C1765)*(참조!$E$2:$E$15=D1765),참조!$C$2:$C$15,"")</f>
        <v/>
      </c>
    </row>
    <row r="1766" hidden="1" s="27">
      <c r="A1766" s="47" t="inlineStr">
        <is>
          <t>이야기모바일</t>
        </is>
      </c>
      <c r="B1766" s="47" t="inlineStr">
        <is>
          <t>5G 이야기 라이트 80GB+</t>
        </is>
      </c>
      <c r="C1766" s="47" t="inlineStr">
        <is>
          <t>무제한</t>
        </is>
      </c>
      <c r="D1766" s="47" t="inlineStr">
        <is>
          <t>무제한</t>
        </is>
      </c>
      <c r="E1766" s="47" t="inlineStr">
        <is>
          <t>월 80GB + 1Mbps</t>
        </is>
      </c>
      <c r="F1766" s="47" t="inlineStr">
        <is>
          <t>LG U+</t>
        </is>
      </c>
      <c r="G1766" s="47" t="inlineStr">
        <is>
          <t>5G</t>
        </is>
      </c>
      <c r="H1766" s="48" t="n">
        <v>34100</v>
      </c>
      <c r="I1766" s="48" t="n">
        <v>7</v>
      </c>
      <c r="J1766" s="48" t="n">
        <v>47300</v>
      </c>
      <c r="K1766" s="47">
        <f t="array" ref="K1766">_xlfn.XLOOKUP(1,(참조!$B$2:$B$15=E1766)*(참조!$D$2:$D$15=C1766)*(참조!$E$2:$E$15=D1766),참조!$C$2:$C$15,"")</f>
        <v/>
      </c>
    </row>
    <row r="1767" hidden="1" s="27">
      <c r="A1767" s="47" t="inlineStr">
        <is>
          <t>찬스모바일</t>
        </is>
      </c>
      <c r="B1767" s="47" t="inlineStr">
        <is>
          <t>5G 음성기본 12GB+1Mbps</t>
        </is>
      </c>
      <c r="C1767" s="47" t="inlineStr">
        <is>
          <t>무제한</t>
        </is>
      </c>
      <c r="D1767" s="47" t="inlineStr">
        <is>
          <t>무제한</t>
        </is>
      </c>
      <c r="E1767" s="47" t="inlineStr">
        <is>
          <t>월 12GB + 1Mbps</t>
        </is>
      </c>
      <c r="F1767" s="47" t="inlineStr">
        <is>
          <t>LG U+</t>
        </is>
      </c>
      <c r="G1767" s="47" t="inlineStr">
        <is>
          <t>5G</t>
        </is>
      </c>
      <c r="H1767" s="48" t="n">
        <v>20000</v>
      </c>
      <c r="I1767" s="48" t="n">
        <v>7</v>
      </c>
      <c r="J1767" s="48" t="n">
        <v>42301</v>
      </c>
      <c r="K1767" s="47">
        <f t="array" ref="K1767">_xlfn.XLOOKUP(1,(참조!$B$2:$B$15=E1767)*(참조!$D$2:$D$15=C1767)*(참조!$E$2:$E$15=D1767),참조!$C$2:$C$15,"")</f>
        <v/>
      </c>
    </row>
    <row r="1768" hidden="1" s="27">
      <c r="A1768" s="47" t="inlineStr">
        <is>
          <t>찬스모바일</t>
        </is>
      </c>
      <c r="B1768" s="47" t="inlineStr">
        <is>
          <t>5G 음성기본 9GB+1Mbps</t>
        </is>
      </c>
      <c r="C1768" s="47" t="inlineStr">
        <is>
          <t>무제한</t>
        </is>
      </c>
      <c r="D1768" s="47" t="inlineStr">
        <is>
          <t>무제한</t>
        </is>
      </c>
      <c r="E1768" s="47" t="inlineStr">
        <is>
          <t>월 9GB + 1Mbps</t>
        </is>
      </c>
      <c r="F1768" s="47" t="inlineStr">
        <is>
          <t>LG U+</t>
        </is>
      </c>
      <c r="G1768" s="47" t="inlineStr">
        <is>
          <t>5G</t>
        </is>
      </c>
      <c r="H1768" s="48" t="n">
        <v>20000</v>
      </c>
      <c r="I1768" s="48" t="n">
        <v>7</v>
      </c>
      <c r="J1768" s="48" t="n">
        <v>38500</v>
      </c>
      <c r="K1768" s="47">
        <f t="array" ref="K1768">_xlfn.XLOOKUP(1,(참조!$B$2:$B$15=E1768)*(참조!$D$2:$D$15=C1768)*(참조!$E$2:$E$15=D1768),참조!$C$2:$C$15,"")</f>
        <v/>
      </c>
    </row>
    <row r="1769" hidden="1" s="27">
      <c r="A1769" s="47" t="inlineStr">
        <is>
          <t>티플러스</t>
        </is>
      </c>
      <c r="B1769" s="47" t="inlineStr">
        <is>
          <t>티플 완전마음껏6G＋</t>
        </is>
      </c>
      <c r="C1769" s="47" t="inlineStr">
        <is>
          <t>무제한</t>
        </is>
      </c>
      <c r="D1769" s="47" t="inlineStr">
        <is>
          <t>무제한</t>
        </is>
      </c>
      <c r="E1769" s="47" t="inlineStr">
        <is>
          <t>월 6GB + 1Mbps</t>
        </is>
      </c>
      <c r="F1769" s="47" t="inlineStr">
        <is>
          <t>LG U+</t>
        </is>
      </c>
      <c r="G1769" s="47" t="inlineStr">
        <is>
          <t>LTE</t>
        </is>
      </c>
      <c r="H1769" s="48" t="n">
        <v>16500</v>
      </c>
      <c r="I1769" s="48" t="n"/>
      <c r="J1769" s="48" t="n"/>
      <c r="K1769" s="47">
        <f t="array" ref="K1769">_xlfn.XLOOKUP(1,(참조!$B$2:$B$15=E1769)*(참조!$D$2:$D$15=C1769)*(참조!$E$2:$E$15=D1769),참조!$C$2:$C$15,"")</f>
        <v/>
      </c>
    </row>
    <row r="1770" hidden="1" s="27">
      <c r="A1770" s="47" t="inlineStr">
        <is>
          <t>아이즈모바일</t>
        </is>
      </c>
      <c r="B1770" s="47" t="inlineStr">
        <is>
          <t>[K]아이즈특판300분/15GB+</t>
        </is>
      </c>
      <c r="C1770" s="47" t="inlineStr">
        <is>
          <t>300분</t>
        </is>
      </c>
      <c r="D1770" s="47" t="inlineStr">
        <is>
          <t>300건</t>
        </is>
      </c>
      <c r="E1770" s="47" t="inlineStr">
        <is>
          <t>월 15GB + 3Mbps</t>
        </is>
      </c>
      <c r="F1770" s="47" t="inlineStr">
        <is>
          <t>KT</t>
        </is>
      </c>
      <c r="G1770" s="47" t="inlineStr">
        <is>
          <t>LTE</t>
        </is>
      </c>
      <c r="H1770" s="48" t="n">
        <v>30800</v>
      </c>
      <c r="I1770" s="48" t="n"/>
      <c r="J1770" s="48" t="n"/>
      <c r="K1770" s="47">
        <f t="array" ref="K1770">_xlfn.XLOOKUP(1,(참조!$B$2:$B$15=E1770)*(참조!$D$2:$D$15=C1770)*(참조!$E$2:$E$15=D1770),참조!$C$2:$C$15,"")</f>
        <v/>
      </c>
    </row>
    <row r="1771" hidden="1" s="27">
      <c r="A1771" s="47" t="inlineStr">
        <is>
          <t>아이즈모바일</t>
        </is>
      </c>
      <c r="B1771" s="47" t="inlineStr">
        <is>
          <t>[K]톨(100분/3GB)</t>
        </is>
      </c>
      <c r="C1771" s="47" t="inlineStr">
        <is>
          <t>100분</t>
        </is>
      </c>
      <c r="D1771" s="47" t="inlineStr">
        <is>
          <t>100건</t>
        </is>
      </c>
      <c r="E1771" s="47" t="inlineStr">
        <is>
          <t>월 3GB</t>
        </is>
      </c>
      <c r="F1771" s="47" t="inlineStr">
        <is>
          <t>KT</t>
        </is>
      </c>
      <c r="G1771" s="47" t="inlineStr">
        <is>
          <t>LTE</t>
        </is>
      </c>
      <c r="H1771" s="48" t="n">
        <v>4430</v>
      </c>
      <c r="I1771" s="48" t="n"/>
      <c r="J1771" s="48" t="n"/>
      <c r="K1771" s="47">
        <f t="array" ref="K1771">_xlfn.XLOOKUP(1,(참조!$B$2:$B$15=E1771)*(참조!$D$2:$D$15=C1771)*(참조!$E$2:$E$15=D1771),참조!$C$2:$C$15,"")</f>
        <v/>
      </c>
    </row>
    <row r="1772" hidden="1" s="27">
      <c r="A1772" s="47" t="inlineStr">
        <is>
          <t>찬스모바일</t>
        </is>
      </c>
      <c r="B1772" s="47" t="inlineStr">
        <is>
          <t>5G 음성기본 80GB+</t>
        </is>
      </c>
      <c r="C1772" s="47" t="inlineStr">
        <is>
          <t>무제한</t>
        </is>
      </c>
      <c r="D1772" s="47" t="inlineStr">
        <is>
          <t>무제한</t>
        </is>
      </c>
      <c r="E1772" s="47" t="inlineStr">
        <is>
          <t>월 80GB + 1Mbps</t>
        </is>
      </c>
      <c r="F1772" s="47" t="inlineStr">
        <is>
          <t>LG U+</t>
        </is>
      </c>
      <c r="G1772" s="47" t="inlineStr">
        <is>
          <t>5G</t>
        </is>
      </c>
      <c r="H1772" s="48" t="n">
        <v>30830</v>
      </c>
      <c r="I1772" s="48" t="n">
        <v>7</v>
      </c>
      <c r="J1772" s="48" t="n">
        <v>45100</v>
      </c>
      <c r="K1772" s="47">
        <f t="array" ref="K1772">_xlfn.XLOOKUP(1,(참조!$B$2:$B$15=E1772)*(참조!$D$2:$D$15=C1772)*(참조!$E$2:$E$15=D1772),참조!$C$2:$C$15,"")</f>
        <v/>
      </c>
    </row>
    <row r="1773" hidden="1" s="27">
      <c r="A1773" s="47" t="inlineStr">
        <is>
          <t>KG모바일</t>
        </is>
      </c>
      <c r="B1773" s="47" t="inlineStr">
        <is>
          <t>[일반] 유심 5G 12GB+</t>
        </is>
      </c>
      <c r="C1773" s="47" t="inlineStr">
        <is>
          <t>무제한</t>
        </is>
      </c>
      <c r="D1773" s="47" t="inlineStr">
        <is>
          <t>무제한</t>
        </is>
      </c>
      <c r="E1773" s="47" t="inlineStr">
        <is>
          <t>월 12GB + 1Mbps</t>
        </is>
      </c>
      <c r="F1773" s="47" t="inlineStr">
        <is>
          <t>LG U+</t>
        </is>
      </c>
      <c r="G1773" s="47" t="inlineStr">
        <is>
          <t>5G</t>
        </is>
      </c>
      <c r="H1773" s="48" t="n">
        <v>30800</v>
      </c>
      <c r="I1773" s="48" t="n">
        <v>12</v>
      </c>
      <c r="J1773" s="48" t="n">
        <v>41800</v>
      </c>
      <c r="K1773" s="47">
        <f t="array" ref="K1773">_xlfn.XLOOKUP(1,(참조!$B$2:$B$15=E1773)*(참조!$D$2:$D$15=C1773)*(참조!$E$2:$E$15=D1773),참조!$C$2:$C$15,"")</f>
        <v/>
      </c>
    </row>
    <row r="1774" hidden="1" s="27">
      <c r="A1774" s="47" t="inlineStr">
        <is>
          <t>이지모바일</t>
        </is>
      </c>
      <c r="B1774" s="47" t="inlineStr">
        <is>
          <t>EG-5G 24플러스 80G+</t>
        </is>
      </c>
      <c r="C1774" s="47" t="inlineStr">
        <is>
          <t>무제한</t>
        </is>
      </c>
      <c r="D1774" s="47" t="inlineStr">
        <is>
          <t>무제한</t>
        </is>
      </c>
      <c r="E1774" s="47" t="inlineStr">
        <is>
          <t>월 80GB + 1Mbps</t>
        </is>
      </c>
      <c r="F1774" s="47" t="inlineStr">
        <is>
          <t>LG U+</t>
        </is>
      </c>
      <c r="G1774" s="47" t="inlineStr">
        <is>
          <t>5G</t>
        </is>
      </c>
      <c r="H1774" s="48" t="n">
        <v>29150</v>
      </c>
      <c r="I1774" s="48" t="n">
        <v>7</v>
      </c>
      <c r="J1774" s="48" t="n">
        <v>49500</v>
      </c>
      <c r="K1774" s="47">
        <f t="array" ref="K1774">_xlfn.XLOOKUP(1,(참조!$B$2:$B$15=E1774)*(참조!$D$2:$D$15=C1774)*(참조!$E$2:$E$15=D1774),참조!$C$2:$C$15,"")</f>
        <v/>
      </c>
    </row>
    <row r="1775" hidden="1" s="27">
      <c r="A1775" s="47" t="inlineStr">
        <is>
          <t>모빙</t>
        </is>
      </c>
      <c r="B1775" s="47" t="inlineStr">
        <is>
          <t>[K] 다이소 100분15GB+</t>
        </is>
      </c>
      <c r="C1775" s="47" t="inlineStr">
        <is>
          <t>100분</t>
        </is>
      </c>
      <c r="D1775" s="47" t="inlineStr">
        <is>
          <t>100건</t>
        </is>
      </c>
      <c r="E1775" s="47" t="inlineStr">
        <is>
          <t>월 15GB + 3Mbps</t>
        </is>
      </c>
      <c r="F1775" s="47" t="inlineStr">
        <is>
          <t>KT</t>
        </is>
      </c>
      <c r="G1775" s="47" t="inlineStr">
        <is>
          <t>LTE</t>
        </is>
      </c>
      <c r="H1775" s="48" t="n">
        <v>17710</v>
      </c>
      <c r="I1775" s="48" t="n">
        <v>7</v>
      </c>
      <c r="J1775" s="48" t="n">
        <v>41800</v>
      </c>
      <c r="K1775" s="47">
        <f t="array" ref="K1775">_xlfn.XLOOKUP(1,(참조!$B$2:$B$15=E1775)*(참조!$D$2:$D$15=C1775)*(참조!$E$2:$E$15=D1775),참조!$C$2:$C$15,"")</f>
        <v/>
      </c>
    </row>
    <row r="1776" hidden="1" s="27">
      <c r="A1776" s="47" t="inlineStr">
        <is>
          <t>모빙</t>
        </is>
      </c>
      <c r="B1776" s="47" t="inlineStr">
        <is>
          <t>[K] 페이포인트 100분15GB+</t>
        </is>
      </c>
      <c r="C1776" s="47" t="inlineStr">
        <is>
          <t>100분</t>
        </is>
      </c>
      <c r="D1776" s="47" t="inlineStr">
        <is>
          <t>100건</t>
        </is>
      </c>
      <c r="E1776" s="47" t="inlineStr">
        <is>
          <t>월 15GB + 3Mbps</t>
        </is>
      </c>
      <c r="F1776" s="47" t="inlineStr">
        <is>
          <t>KT</t>
        </is>
      </c>
      <c r="G1776" s="47" t="inlineStr">
        <is>
          <t>LTE</t>
        </is>
      </c>
      <c r="H1776" s="48" t="n">
        <v>17710</v>
      </c>
      <c r="I1776" s="48" t="n">
        <v>7</v>
      </c>
      <c r="J1776" s="48" t="n">
        <v>41800</v>
      </c>
      <c r="K1776" s="47">
        <f t="array" ref="K1776">_xlfn.XLOOKUP(1,(참조!$B$2:$B$15=E1776)*(참조!$D$2:$D$15=C1776)*(참조!$E$2:$E$15=D1776),참조!$C$2:$C$15,"")</f>
        <v/>
      </c>
    </row>
    <row r="1777" hidden="1" s="27">
      <c r="A1777" s="47" t="inlineStr">
        <is>
          <t>리브모바일</t>
        </is>
      </c>
      <c r="B1777" s="47" t="inlineStr">
        <is>
          <t>5G 든든 2GB</t>
        </is>
      </c>
      <c r="C1777" s="47" t="inlineStr">
        <is>
          <t>무제한</t>
        </is>
      </c>
      <c r="D1777" s="47" t="inlineStr">
        <is>
          <t>무제한</t>
        </is>
      </c>
      <c r="E1777" s="47" t="inlineStr">
        <is>
          <t>월 2GB</t>
        </is>
      </c>
      <c r="F1777" s="47" t="inlineStr">
        <is>
          <t>LG U+</t>
        </is>
      </c>
      <c r="G1777" s="47" t="inlineStr">
        <is>
          <t>5G</t>
        </is>
      </c>
      <c r="H1777" s="48" t="n">
        <v>7500</v>
      </c>
      <c r="I1777" s="48" t="n">
        <v>12</v>
      </c>
      <c r="J1777" s="48" t="n">
        <v>11900</v>
      </c>
      <c r="K1777" s="47">
        <f t="array" ref="K1777">_xlfn.XLOOKUP(1,(참조!$B$2:$B$15=E1777)*(참조!$D$2:$D$15=C1777)*(참조!$E$2:$E$15=D1777),참조!$C$2:$C$15,"")</f>
        <v/>
      </c>
    </row>
    <row r="1778" hidden="1" s="27">
      <c r="A1778" s="47" t="inlineStr">
        <is>
          <t>아이즈모바일</t>
        </is>
      </c>
      <c r="B1778" s="47" t="inlineStr">
        <is>
          <t>[S]아이즈특판100GB+</t>
        </is>
      </c>
      <c r="C1778" s="47" t="inlineStr">
        <is>
          <t>무제한</t>
        </is>
      </c>
      <c r="D1778" s="47" t="inlineStr">
        <is>
          <t>무제한</t>
        </is>
      </c>
      <c r="E1778" s="47" t="inlineStr">
        <is>
          <t>월 100GB + 5Mbps</t>
        </is>
      </c>
      <c r="F1778" s="47" t="inlineStr">
        <is>
          <t>SKT</t>
        </is>
      </c>
      <c r="G1778" s="47" t="inlineStr">
        <is>
          <t>LTE</t>
        </is>
      </c>
      <c r="H1778" s="48" t="n">
        <v>24000</v>
      </c>
      <c r="I1778" s="48" t="n">
        <v>7</v>
      </c>
      <c r="J1778" s="48" t="n">
        <v>45100</v>
      </c>
      <c r="K1778" s="47">
        <f t="array" ref="K1778">_xlfn.XLOOKUP(1,(참조!$B$2:$B$15=E1778)*(참조!$D$2:$D$15=C1778)*(참조!$E$2:$E$15=D1778),참조!$C$2:$C$15,"")</f>
        <v/>
      </c>
    </row>
    <row r="1779" hidden="1" s="27">
      <c r="A1779" s="47" t="inlineStr">
        <is>
          <t>스마텔</t>
        </is>
      </c>
      <c r="B1779" s="47" t="inlineStr">
        <is>
          <t>스마일 플러스 (100분 + 2.2GB)</t>
        </is>
      </c>
      <c r="C1779" s="47" t="inlineStr">
        <is>
          <t>100분</t>
        </is>
      </c>
      <c r="D1779" s="47" t="inlineStr">
        <is>
          <t>100건</t>
        </is>
      </c>
      <c r="E1779" s="47" t="inlineStr">
        <is>
          <t>월 2.2GB</t>
        </is>
      </c>
      <c r="F1779" s="47" t="inlineStr">
        <is>
          <t>SKT</t>
        </is>
      </c>
      <c r="G1779" s="47" t="inlineStr">
        <is>
          <t>LTE</t>
        </is>
      </c>
      <c r="H1779" s="48" t="n">
        <v>2200</v>
      </c>
      <c r="I1779" s="48" t="n">
        <v>5</v>
      </c>
      <c r="J1779" s="48" t="n">
        <v>4400</v>
      </c>
      <c r="K1779" s="47">
        <f t="array" ref="K1779">_xlfn.XLOOKUP(1,(참조!$B$2:$B$15=E1779)*(참조!$D$2:$D$15=C1779)*(참조!$E$2:$E$15=D1779),참조!$C$2:$C$15,"")</f>
        <v/>
      </c>
    </row>
    <row r="1780" hidden="1" s="27">
      <c r="A1780" s="47" t="inlineStr">
        <is>
          <t>아이즈모바일</t>
        </is>
      </c>
      <c r="B1780" s="47" t="inlineStr">
        <is>
          <t>[S]스페셜100분/15GB+</t>
        </is>
      </c>
      <c r="C1780" s="47" t="inlineStr">
        <is>
          <t>100분</t>
        </is>
      </c>
      <c r="D1780" s="47" t="inlineStr">
        <is>
          <t>100건</t>
        </is>
      </c>
      <c r="E1780" s="47" t="inlineStr">
        <is>
          <t>월 15GB + 3Mbps</t>
        </is>
      </c>
      <c r="F1780" s="47" t="inlineStr">
        <is>
          <t>SKT</t>
        </is>
      </c>
      <c r="G1780" s="47" t="inlineStr">
        <is>
          <t>LTE</t>
        </is>
      </c>
      <c r="H1780" s="48" t="n">
        <v>30300</v>
      </c>
      <c r="I1780" s="48" t="n"/>
      <c r="J1780" s="48" t="n"/>
      <c r="K1780" s="47">
        <f t="array" ref="K1780">_xlfn.XLOOKUP(1,(참조!$B$2:$B$15=E1780)*(참조!$D$2:$D$15=C1780)*(참조!$E$2:$E$15=D1780),참조!$C$2:$C$15,"")</f>
        <v/>
      </c>
    </row>
    <row r="1781" hidden="1" s="27">
      <c r="A1781" s="47" t="inlineStr">
        <is>
          <t>아이즈모바일</t>
        </is>
      </c>
      <c r="B1781" s="47" t="inlineStr">
        <is>
          <t>세이브머니유심(기본제공/4.5GB+)</t>
        </is>
      </c>
      <c r="C1781" s="47" t="inlineStr">
        <is>
          <t>무제한</t>
        </is>
      </c>
      <c r="D1781" s="47" t="inlineStr">
        <is>
          <t>무제한</t>
        </is>
      </c>
      <c r="E1781" s="47" t="inlineStr">
        <is>
          <t>월 4.5GB + 1Mbps</t>
        </is>
      </c>
      <c r="F1781" s="47" t="inlineStr">
        <is>
          <t>LG U+</t>
        </is>
      </c>
      <c r="G1781" s="47" t="inlineStr">
        <is>
          <t>LTE</t>
        </is>
      </c>
      <c r="H1781" s="48" t="n">
        <v>7600</v>
      </c>
      <c r="I1781" s="48" t="n"/>
      <c r="J1781" s="48" t="n"/>
      <c r="K1781" s="47">
        <f t="array" ref="K1781">_xlfn.XLOOKUP(1,(참조!$B$2:$B$15=E1781)*(참조!$D$2:$D$15=C1781)*(참조!$E$2:$E$15=D1781),참조!$C$2:$C$15,"")</f>
        <v/>
      </c>
    </row>
    <row r="1782" hidden="1" s="27">
      <c r="A1782" s="47" t="inlineStr">
        <is>
          <t>모나</t>
        </is>
      </c>
      <c r="B1782" s="47" t="inlineStr">
        <is>
          <t>5G_모나데이터12G안심1</t>
        </is>
      </c>
      <c r="C1782" s="47" t="inlineStr">
        <is>
          <t>무제한</t>
        </is>
      </c>
      <c r="D1782" s="47" t="inlineStr">
        <is>
          <t>무제한</t>
        </is>
      </c>
      <c r="E1782" s="47" t="inlineStr">
        <is>
          <t>월 12GB + 1Mbps</t>
        </is>
      </c>
      <c r="F1782" s="47" t="inlineStr">
        <is>
          <t>LG U+</t>
        </is>
      </c>
      <c r="G1782" s="47" t="inlineStr">
        <is>
          <t>5G</t>
        </is>
      </c>
      <c r="H1782" s="48" t="n">
        <v>25900</v>
      </c>
      <c r="I1782" s="48" t="n">
        <v>12</v>
      </c>
      <c r="J1782" s="48" t="n">
        <v>47300</v>
      </c>
      <c r="K1782" s="47">
        <f t="array" ref="K1782">_xlfn.XLOOKUP(1,(참조!$B$2:$B$15=E1782)*(참조!$D$2:$D$15=C1782)*(참조!$E$2:$E$15=D1782),참조!$C$2:$C$15,"")</f>
        <v/>
      </c>
    </row>
    <row r="1783" hidden="1" s="27">
      <c r="A1783" s="47" t="inlineStr">
        <is>
          <t>이야기모바일</t>
        </is>
      </c>
      <c r="B1783" s="47" t="inlineStr">
        <is>
          <t>5G 이야기 무한 74GB</t>
        </is>
      </c>
      <c r="C1783" s="47" t="inlineStr">
        <is>
          <t>무제한</t>
        </is>
      </c>
      <c r="D1783" s="47" t="inlineStr">
        <is>
          <t>무제한</t>
        </is>
      </c>
      <c r="E1783" s="47" t="inlineStr">
        <is>
          <t>월 74GB + 1Mbps</t>
        </is>
      </c>
      <c r="F1783" s="47" t="inlineStr">
        <is>
          <t>SKT</t>
        </is>
      </c>
      <c r="G1783" s="47" t="inlineStr">
        <is>
          <t>5G</t>
        </is>
      </c>
      <c r="H1783" s="48" t="n">
        <v>40700</v>
      </c>
      <c r="I1783" s="48" t="n">
        <v>7</v>
      </c>
      <c r="J1783" s="48" t="n">
        <v>46200</v>
      </c>
      <c r="K1783" s="47">
        <f t="array" ref="K1783">_xlfn.XLOOKUP(1,(참조!$B$2:$B$15=E1783)*(참조!$D$2:$D$15=C1783)*(참조!$E$2:$E$15=D1783),참조!$C$2:$C$15,"")</f>
        <v/>
      </c>
    </row>
    <row r="1784" hidden="1" s="27">
      <c r="A1784" s="47" t="inlineStr">
        <is>
          <t>티플러스</t>
        </is>
      </c>
      <c r="B1784" s="47" t="inlineStr">
        <is>
          <t>The 데이터마음껏 3GB＋(200분)</t>
        </is>
      </c>
      <c r="C1784" s="47" t="inlineStr">
        <is>
          <t>200분</t>
        </is>
      </c>
      <c r="D1784" s="47" t="inlineStr">
        <is>
          <t>100건</t>
        </is>
      </c>
      <c r="E1784" s="47" t="inlineStr">
        <is>
          <t>월 3GB + 1Mbps</t>
        </is>
      </c>
      <c r="F1784" s="47" t="inlineStr">
        <is>
          <t>SKT</t>
        </is>
      </c>
      <c r="G1784" s="47" t="inlineStr">
        <is>
          <t>LTE</t>
        </is>
      </c>
      <c r="H1784" s="48" t="n">
        <v>17600</v>
      </c>
      <c r="I1784" s="48" t="n"/>
      <c r="J1784" s="48" t="n"/>
      <c r="K1784" s="47">
        <f t="array" ref="K1784">_xlfn.XLOOKUP(1,(참조!$B$2:$B$15=E1784)*(참조!$D$2:$D$15=C1784)*(참조!$E$2:$E$15=D1784),참조!$C$2:$C$15,"")</f>
        <v/>
      </c>
    </row>
    <row r="1785" hidden="1" s="27">
      <c r="A1785" s="47" t="inlineStr">
        <is>
          <t>에이모바일</t>
        </is>
      </c>
      <c r="B1785" s="47" t="inlineStr">
        <is>
          <t>A 올라잇 15GB+/100분 밀리의서재</t>
        </is>
      </c>
      <c r="C1785" s="47" t="inlineStr">
        <is>
          <t>100분</t>
        </is>
      </c>
      <c r="D1785" s="47" t="inlineStr">
        <is>
          <t>100건</t>
        </is>
      </c>
      <c r="E1785" s="47" t="inlineStr">
        <is>
          <t>월 15GB + 3Mbps</t>
        </is>
      </c>
      <c r="F1785" s="47" t="inlineStr">
        <is>
          <t>KT</t>
        </is>
      </c>
      <c r="G1785" s="47" t="inlineStr">
        <is>
          <t>LTE</t>
        </is>
      </c>
      <c r="H1785" s="48" t="n">
        <v>18000</v>
      </c>
      <c r="I1785" s="48" t="n">
        <v>7</v>
      </c>
      <c r="J1785" s="48" t="n">
        <v>35200</v>
      </c>
      <c r="K1785" s="47">
        <f t="array" ref="K1785">_xlfn.XLOOKUP(1,(참조!$B$2:$B$15=E1785)*(참조!$D$2:$D$15=C1785)*(참조!$E$2:$E$15=D1785),참조!$C$2:$C$15,"")</f>
        <v/>
      </c>
    </row>
    <row r="1786" hidden="1" s="27">
      <c r="A1786" s="47" t="inlineStr">
        <is>
          <t>티플러스</t>
        </is>
      </c>
      <c r="B1786" s="47" t="inlineStr">
        <is>
          <t>티플 데이터마음껏3G(100분)</t>
        </is>
      </c>
      <c r="C1786" s="47" t="inlineStr">
        <is>
          <t>100분</t>
        </is>
      </c>
      <c r="D1786" s="47" t="inlineStr">
        <is>
          <t>100건</t>
        </is>
      </c>
      <c r="E1786" s="47" t="inlineStr">
        <is>
          <t>월 3GB + 1Mbps</t>
        </is>
      </c>
      <c r="F1786" s="47" t="inlineStr">
        <is>
          <t>LG U+</t>
        </is>
      </c>
      <c r="G1786" s="47" t="inlineStr">
        <is>
          <t>LTE</t>
        </is>
      </c>
      <c r="H1786" s="48" t="n">
        <v>8800</v>
      </c>
      <c r="I1786" s="48" t="n"/>
      <c r="J1786" s="48" t="n"/>
      <c r="K1786" s="47">
        <f t="array" ref="K1786">_xlfn.XLOOKUP(1,(참조!$B$2:$B$15=E1786)*(참조!$D$2:$D$15=C1786)*(참조!$E$2:$E$15=D1786),참조!$C$2:$C$15,"")</f>
        <v/>
      </c>
    </row>
    <row r="1787" hidden="1" s="27">
      <c r="A1787" s="47" t="inlineStr">
        <is>
          <t>모빙</t>
        </is>
      </c>
      <c r="B1787" s="47" t="inlineStr">
        <is>
          <t>5G 쏙쏙 500분20GB</t>
        </is>
      </c>
      <c r="C1787" s="47" t="inlineStr">
        <is>
          <t>500분</t>
        </is>
      </c>
      <c r="D1787" s="47" t="inlineStr">
        <is>
          <t>500건</t>
        </is>
      </c>
      <c r="E1787" s="47" t="inlineStr">
        <is>
          <t>월 20GB</t>
        </is>
      </c>
      <c r="F1787" s="47" t="inlineStr">
        <is>
          <t>KT</t>
        </is>
      </c>
      <c r="G1787" s="47" t="inlineStr">
        <is>
          <t>5G</t>
        </is>
      </c>
      <c r="H1787" s="48" t="n">
        <v>9900</v>
      </c>
      <c r="I1787" s="48" t="n">
        <v>7</v>
      </c>
      <c r="J1787" s="48" t="n">
        <v>45100</v>
      </c>
      <c r="K1787" s="47">
        <f t="array" ref="K1787">_xlfn.XLOOKUP(1,(참조!$B$2:$B$15=E1787)*(참조!$D$2:$D$15=C1787)*(참조!$E$2:$E$15=D1787),참조!$C$2:$C$15,"")</f>
        <v/>
      </c>
    </row>
    <row r="1788" hidden="1" s="27">
      <c r="A1788" s="47" t="inlineStr">
        <is>
          <t>아이즈모바일</t>
        </is>
      </c>
      <c r="B1788" s="47" t="inlineStr">
        <is>
          <t>[S]OK캐쉬백 7GB+</t>
        </is>
      </c>
      <c r="C1788" s="47" t="inlineStr">
        <is>
          <t>무제한</t>
        </is>
      </c>
      <c r="D1788" s="47" t="inlineStr">
        <is>
          <t>무제한</t>
        </is>
      </c>
      <c r="E1788" s="47" t="inlineStr">
        <is>
          <t>월 7GB + 1Mbps</t>
        </is>
      </c>
      <c r="F1788" s="47" t="inlineStr">
        <is>
          <t>SKT</t>
        </is>
      </c>
      <c r="G1788" s="47" t="inlineStr">
        <is>
          <t>LTE</t>
        </is>
      </c>
      <c r="H1788" s="48" t="n">
        <v>19900</v>
      </c>
      <c r="I1788" s="48" t="n">
        <v>12</v>
      </c>
      <c r="J1788" s="48" t="n">
        <v>28600</v>
      </c>
      <c r="K1788" s="47">
        <f t="array" ref="K1788">_xlfn.XLOOKUP(1,(참조!$B$2:$B$15=E1788)*(참조!$D$2:$D$15=C1788)*(참조!$E$2:$E$15=D1788),참조!$C$2:$C$15,"")</f>
        <v/>
      </c>
    </row>
    <row r="1789" hidden="1" s="27">
      <c r="A1789" s="47" t="inlineStr">
        <is>
          <t>인스모바일</t>
        </is>
      </c>
      <c r="B1789" s="47" t="inlineStr">
        <is>
          <t>인스 유심 스피드(5G) 12GB+</t>
        </is>
      </c>
      <c r="C1789" s="47" t="inlineStr">
        <is>
          <t>무제한</t>
        </is>
      </c>
      <c r="D1789" s="47" t="inlineStr">
        <is>
          <t>무제한</t>
        </is>
      </c>
      <c r="E1789" s="47" t="inlineStr">
        <is>
          <t>월 12GB + 1Mbps</t>
        </is>
      </c>
      <c r="F1789" s="47" t="inlineStr">
        <is>
          <t>LG U+</t>
        </is>
      </c>
      <c r="G1789" s="47" t="inlineStr">
        <is>
          <t>5G</t>
        </is>
      </c>
      <c r="H1789" s="48" t="n">
        <v>17050</v>
      </c>
      <c r="I1789" s="48" t="n">
        <v>7</v>
      </c>
      <c r="J1789" s="48" t="n">
        <v>50600</v>
      </c>
      <c r="K1789" s="47">
        <f t="array" ref="K1789">_xlfn.XLOOKUP(1,(참조!$B$2:$B$15=E1789)*(참조!$D$2:$D$15=C1789)*(참조!$E$2:$E$15=D1789),참조!$C$2:$C$15,"")</f>
        <v/>
      </c>
    </row>
    <row r="1790" hidden="1" s="27">
      <c r="A1790" s="47" t="inlineStr">
        <is>
          <t>이야기모바일</t>
        </is>
      </c>
      <c r="B1790" s="47" t="inlineStr">
        <is>
          <t>5G 이야기 라이트 9GB+</t>
        </is>
      </c>
      <c r="C1790" s="47" t="inlineStr">
        <is>
          <t>무제한</t>
        </is>
      </c>
      <c r="D1790" s="47" t="inlineStr">
        <is>
          <t>무제한</t>
        </is>
      </c>
      <c r="E1790" s="47" t="inlineStr">
        <is>
          <t>월 9GB + 1Mbps</t>
        </is>
      </c>
      <c r="F1790" s="47" t="inlineStr">
        <is>
          <t>LG U+</t>
        </is>
      </c>
      <c r="G1790" s="47" t="inlineStr">
        <is>
          <t>5G</t>
        </is>
      </c>
      <c r="H1790" s="48" t="n">
        <v>28600</v>
      </c>
      <c r="I1790" s="48" t="n">
        <v>7</v>
      </c>
      <c r="J1790" s="48" t="n">
        <v>40700</v>
      </c>
      <c r="K1790" s="47">
        <f t="array" ref="K1790">_xlfn.XLOOKUP(1,(참조!$B$2:$B$15=E1790)*(참조!$D$2:$D$15=C1790)*(참조!$E$2:$E$15=D1790),참조!$C$2:$C$15,"")</f>
        <v/>
      </c>
    </row>
    <row r="1791" hidden="1" s="27">
      <c r="A1791" s="47" t="inlineStr">
        <is>
          <t>스마텔</t>
        </is>
      </c>
      <c r="B1791" s="47" t="inlineStr">
        <is>
          <t>5G 스위트 90GB+</t>
        </is>
      </c>
      <c r="C1791" s="47" t="inlineStr">
        <is>
          <t>무제한</t>
        </is>
      </c>
      <c r="D1791" s="47" t="inlineStr">
        <is>
          <t>무제한</t>
        </is>
      </c>
      <c r="E1791" s="47" t="inlineStr">
        <is>
          <t>월 90GB + 1Mbps</t>
        </is>
      </c>
      <c r="F1791" s="47" t="inlineStr">
        <is>
          <t>KT</t>
        </is>
      </c>
      <c r="G1791" s="47" t="inlineStr">
        <is>
          <t>5G</t>
        </is>
      </c>
      <c r="H1791" s="48" t="n">
        <v>44000</v>
      </c>
      <c r="I1791" s="48" t="n">
        <v>36</v>
      </c>
      <c r="J1791" s="48" t="n">
        <v>49500</v>
      </c>
      <c r="K1791" s="47">
        <f t="array" ref="K1791">_xlfn.XLOOKUP(1,(참조!$B$2:$B$15=E1791)*(참조!$D$2:$D$15=C1791)*(참조!$E$2:$E$15=D1791),참조!$C$2:$C$15,"")</f>
        <v/>
      </c>
    </row>
    <row r="1792" hidden="1" s="27">
      <c r="A1792" s="47" t="inlineStr">
        <is>
          <t>리브모바일</t>
        </is>
      </c>
      <c r="B1792" s="47" t="inlineStr">
        <is>
          <t>5G무제한 110GB+</t>
        </is>
      </c>
      <c r="C1792" s="47" t="inlineStr">
        <is>
          <t>무제한</t>
        </is>
      </c>
      <c r="D1792" s="47" t="inlineStr">
        <is>
          <t>무제한</t>
        </is>
      </c>
      <c r="E1792" s="47" t="inlineStr">
        <is>
          <t>월 110GB + 5Mbps</t>
        </is>
      </c>
      <c r="F1792" s="47" t="inlineStr">
        <is>
          <t>KT</t>
        </is>
      </c>
      <c r="G1792" s="47" t="inlineStr">
        <is>
          <t>5G</t>
        </is>
      </c>
      <c r="H1792" s="48" t="n">
        <v>43100</v>
      </c>
      <c r="I1792" s="48" t="n">
        <v>12</v>
      </c>
      <c r="J1792" s="48" t="n">
        <v>47500</v>
      </c>
      <c r="K1792" s="47">
        <f t="array" ref="K1792">_xlfn.XLOOKUP(1,(참조!$B$2:$B$15=E1792)*(참조!$D$2:$D$15=C1792)*(참조!$E$2:$E$15=D1792),참조!$C$2:$C$15,"")</f>
        <v/>
      </c>
    </row>
    <row r="1793" hidden="1" s="27">
      <c r="A1793" s="47" t="inlineStr">
        <is>
          <t>더원모바일</t>
        </is>
      </c>
      <c r="B1793" s="47" t="inlineStr">
        <is>
          <t>ONE 5G 5GB 200분</t>
        </is>
      </c>
      <c r="C1793" s="47" t="inlineStr">
        <is>
          <t>200분</t>
        </is>
      </c>
      <c r="D1793" s="47" t="inlineStr">
        <is>
          <t>100건</t>
        </is>
      </c>
      <c r="E1793" s="47" t="inlineStr">
        <is>
          <t>월 5GB</t>
        </is>
      </c>
      <c r="F1793" s="47" t="inlineStr">
        <is>
          <t>KT</t>
        </is>
      </c>
      <c r="G1793" s="47" t="inlineStr">
        <is>
          <t>5G</t>
        </is>
      </c>
      <c r="H1793" s="48" t="n">
        <v>4400</v>
      </c>
      <c r="I1793" s="48" t="n">
        <v>6</v>
      </c>
      <c r="J1793" s="48" t="n">
        <v>8800</v>
      </c>
      <c r="K1793" s="47">
        <f t="array" ref="K1793">_xlfn.XLOOKUP(1,(참조!$B$2:$B$15=E1793)*(참조!$D$2:$D$15=C1793)*(참조!$E$2:$E$15=D1793),참조!$C$2:$C$15,"")</f>
        <v/>
      </c>
    </row>
    <row r="1794" hidden="1" s="27">
      <c r="A1794" s="47" t="inlineStr">
        <is>
          <t>이야기모바일</t>
        </is>
      </c>
      <c r="B1794" s="47" t="inlineStr">
        <is>
          <t>5G 이야기 무한 24GB</t>
        </is>
      </c>
      <c r="C1794" s="47" t="inlineStr">
        <is>
          <t>무제한</t>
        </is>
      </c>
      <c r="D1794" s="47" t="inlineStr">
        <is>
          <t>무제한</t>
        </is>
      </c>
      <c r="E1794" s="47" t="inlineStr">
        <is>
          <t>월 24GB + 1Mbps</t>
        </is>
      </c>
      <c r="F1794" s="47" t="inlineStr">
        <is>
          <t>SKT</t>
        </is>
      </c>
      <c r="G1794" s="47" t="inlineStr">
        <is>
          <t>5G</t>
        </is>
      </c>
      <c r="H1794" s="48" t="n">
        <v>37400</v>
      </c>
      <c r="I1794" s="48" t="n">
        <v>7</v>
      </c>
      <c r="J1794" s="48" t="n">
        <v>44000</v>
      </c>
      <c r="K1794" s="47">
        <f t="array" ref="K1794">_xlfn.XLOOKUP(1,(참조!$B$2:$B$15=E1794)*(참조!$D$2:$D$15=C1794)*(참조!$E$2:$E$15=D1794),참조!$C$2:$C$15,"")</f>
        <v/>
      </c>
    </row>
    <row r="1795" hidden="1" s="27">
      <c r="A1795" s="47" t="inlineStr">
        <is>
          <t>아이즈모바일</t>
        </is>
      </c>
      <c r="B1795" s="47" t="inlineStr">
        <is>
          <t>[S]OK캐쉬백 300분/15GB+</t>
        </is>
      </c>
      <c r="C1795" s="47" t="inlineStr">
        <is>
          <t>300분</t>
        </is>
      </c>
      <c r="D1795" s="47" t="inlineStr">
        <is>
          <t>300건</t>
        </is>
      </c>
      <c r="E1795" s="47" t="inlineStr">
        <is>
          <t>월 15GB + 3Mbps</t>
        </is>
      </c>
      <c r="F1795" s="47" t="inlineStr">
        <is>
          <t>SKT</t>
        </is>
      </c>
      <c r="G1795" s="47" t="inlineStr">
        <is>
          <t>LTE</t>
        </is>
      </c>
      <c r="H1795" s="48" t="n">
        <v>29500</v>
      </c>
      <c r="I1795" s="48" t="n">
        <v>12</v>
      </c>
      <c r="J1795" s="48" t="n">
        <v>41800</v>
      </c>
      <c r="K1795" s="47">
        <f t="array" ref="K1795">_xlfn.XLOOKUP(1,(참조!$B$2:$B$15=E1795)*(참조!$D$2:$D$15=C1795)*(참조!$E$2:$E$15=D1795),참조!$C$2:$C$15,"")</f>
        <v/>
      </c>
    </row>
    <row r="1796" hidden="1" s="27">
      <c r="A1796" s="47" t="inlineStr">
        <is>
          <t>모빙</t>
        </is>
      </c>
      <c r="B1796" s="47" t="inlineStr">
        <is>
          <t>[K] 웨이브베이직 100GB+</t>
        </is>
      </c>
      <c r="C1796" s="47" t="inlineStr">
        <is>
          <t>무제한</t>
        </is>
      </c>
      <c r="D1796" s="47" t="inlineStr">
        <is>
          <t>무제한</t>
        </is>
      </c>
      <c r="E1796" s="47" t="inlineStr">
        <is>
          <t>월 100GB + 5Mbps</t>
        </is>
      </c>
      <c r="F1796" s="47" t="inlineStr">
        <is>
          <t>KT</t>
        </is>
      </c>
      <c r="G1796" s="47" t="inlineStr">
        <is>
          <t>LTE</t>
        </is>
      </c>
      <c r="H1796" s="48" t="n">
        <v>20900</v>
      </c>
      <c r="I1796" s="48" t="n">
        <v>7</v>
      </c>
      <c r="J1796" s="48" t="n">
        <v>56100</v>
      </c>
      <c r="K1796" s="47">
        <f t="array" ref="K1796">_xlfn.XLOOKUP(1,(참조!$B$2:$B$15=E1796)*(참조!$D$2:$D$15=C1796)*(참조!$E$2:$E$15=D1796),참조!$C$2:$C$15,"")</f>
        <v/>
      </c>
    </row>
    <row r="1797" hidden="1" s="27">
      <c r="A1797" s="47" t="inlineStr">
        <is>
          <t>이야기모바일</t>
        </is>
      </c>
      <c r="B1797" s="47" t="inlineStr">
        <is>
          <t>이야기 라이트 6GB+</t>
        </is>
      </c>
      <c r="C1797" s="47" t="inlineStr">
        <is>
          <t>무제한</t>
        </is>
      </c>
      <c r="D1797" s="47" t="inlineStr">
        <is>
          <t>무제한</t>
        </is>
      </c>
      <c r="E1797" s="47" t="inlineStr">
        <is>
          <t>월 6GB + 1Mbps</t>
        </is>
      </c>
      <c r="F1797" s="47" t="inlineStr">
        <is>
          <t>LG U+</t>
        </is>
      </c>
      <c r="G1797" s="47" t="inlineStr">
        <is>
          <t>LTE</t>
        </is>
      </c>
      <c r="H1797" s="48" t="n">
        <v>22000</v>
      </c>
      <c r="I1797" s="48" t="n"/>
      <c r="J1797" s="48" t="n"/>
      <c r="K1797" s="47">
        <f t="array" ref="K1797">_xlfn.XLOOKUP(1,(참조!$B$2:$B$15=E1797)*(참조!$D$2:$D$15=C1797)*(참조!$E$2:$E$15=D1797),참조!$C$2:$C$15,"")</f>
        <v/>
      </c>
    </row>
    <row r="1798" hidden="1" s="27">
      <c r="A1798" s="47" t="inlineStr">
        <is>
          <t>아이즈모바일</t>
        </is>
      </c>
      <c r="B1798" s="47" t="inlineStr">
        <is>
          <t>[S]아이즈특판300분/15GB+</t>
        </is>
      </c>
      <c r="C1798" s="47" t="inlineStr">
        <is>
          <t>300분</t>
        </is>
      </c>
      <c r="D1798" s="47" t="inlineStr">
        <is>
          <t>300건</t>
        </is>
      </c>
      <c r="E1798" s="47" t="inlineStr">
        <is>
          <t>월 15GB + 3Mbps</t>
        </is>
      </c>
      <c r="F1798" s="47" t="inlineStr">
        <is>
          <t>SKT</t>
        </is>
      </c>
      <c r="G1798" s="47" t="inlineStr">
        <is>
          <t>LTE</t>
        </is>
      </c>
      <c r="H1798" s="48" t="n">
        <v>19000</v>
      </c>
      <c r="I1798" s="48" t="n">
        <v>7</v>
      </c>
      <c r="J1798" s="48" t="n">
        <v>29900</v>
      </c>
      <c r="K1798" s="47">
        <f t="array" ref="K1798">_xlfn.XLOOKUP(1,(참조!$B$2:$B$15=E1798)*(참조!$D$2:$D$15=C1798)*(참조!$E$2:$E$15=D1798),참조!$C$2:$C$15,"")</f>
        <v/>
      </c>
    </row>
    <row r="1799" hidden="1" s="27">
      <c r="A1799" s="47" t="inlineStr">
        <is>
          <t>이야기모바일</t>
        </is>
      </c>
      <c r="B1799" s="47" t="inlineStr">
        <is>
          <t>5G 이야기 라이트 12GB+</t>
        </is>
      </c>
      <c r="C1799" s="47" t="inlineStr">
        <is>
          <t>무제한</t>
        </is>
      </c>
      <c r="D1799" s="47" t="inlineStr">
        <is>
          <t>무제한</t>
        </is>
      </c>
      <c r="E1799" s="47" t="inlineStr">
        <is>
          <t>월 12GB + 1Mbps</t>
        </is>
      </c>
      <c r="F1799" s="47" t="inlineStr">
        <is>
          <t>LG U+</t>
        </is>
      </c>
      <c r="G1799" s="47" t="inlineStr">
        <is>
          <t>5G</t>
        </is>
      </c>
      <c r="H1799" s="48" t="n">
        <v>29700</v>
      </c>
      <c r="I1799" s="48" t="n">
        <v>7</v>
      </c>
      <c r="J1799" s="48" t="n">
        <v>41800</v>
      </c>
      <c r="K1799" s="47">
        <f t="array" ref="K1799">_xlfn.XLOOKUP(1,(참조!$B$2:$B$15=E1799)*(참조!$D$2:$D$15=C1799)*(참조!$E$2:$E$15=D1799),참조!$C$2:$C$15,"")</f>
        <v/>
      </c>
    </row>
    <row r="1800" hidden="1" s="27">
      <c r="A1800" s="47" t="inlineStr">
        <is>
          <t>리브모바일</t>
        </is>
      </c>
      <c r="B1800" s="47" t="inlineStr">
        <is>
          <t>5G 든든 4GB</t>
        </is>
      </c>
      <c r="C1800" s="47" t="inlineStr">
        <is>
          <t>무제한</t>
        </is>
      </c>
      <c r="D1800" s="47" t="inlineStr">
        <is>
          <t>무제한</t>
        </is>
      </c>
      <c r="E1800" s="47" t="inlineStr">
        <is>
          <t>월 4GB</t>
        </is>
      </c>
      <c r="F1800" s="47" t="inlineStr">
        <is>
          <t>LG U+</t>
        </is>
      </c>
      <c r="G1800" s="47" t="inlineStr">
        <is>
          <t>5G</t>
        </is>
      </c>
      <c r="H1800" s="48" t="n">
        <v>10500</v>
      </c>
      <c r="I1800" s="48" t="n">
        <v>12</v>
      </c>
      <c r="J1800" s="48" t="n">
        <v>14900</v>
      </c>
      <c r="K1800" s="47">
        <f t="array" ref="K1800">_xlfn.XLOOKUP(1,(참조!$B$2:$B$15=E1800)*(참조!$D$2:$D$15=C1800)*(참조!$E$2:$E$15=D1800),참조!$C$2:$C$15,"")</f>
        <v/>
      </c>
    </row>
    <row r="1801" hidden="1" s="27">
      <c r="A1801" s="47" t="inlineStr">
        <is>
          <t>에이모바일</t>
        </is>
      </c>
      <c r="B1801" s="47" t="inlineStr">
        <is>
          <t>A 스페셜 10GB+</t>
        </is>
      </c>
      <c r="C1801" s="47" t="inlineStr">
        <is>
          <t>무제한</t>
        </is>
      </c>
      <c r="D1801" s="47" t="inlineStr">
        <is>
          <t>무제한</t>
        </is>
      </c>
      <c r="E1801" s="47" t="inlineStr">
        <is>
          <t>월 10GB + 1Mbps</t>
        </is>
      </c>
      <c r="F1801" s="47" t="inlineStr">
        <is>
          <t>LG U+</t>
        </is>
      </c>
      <c r="G1801" s="47" t="inlineStr">
        <is>
          <t>LTE</t>
        </is>
      </c>
      <c r="H1801" s="48" t="n">
        <v>5500</v>
      </c>
      <c r="I1801" s="48" t="n">
        <v>7</v>
      </c>
      <c r="J1801" s="48" t="n">
        <v>26400</v>
      </c>
      <c r="K1801" s="47">
        <f t="array" ref="K1801">_xlfn.XLOOKUP(1,(참조!$B$2:$B$15=E1801)*(참조!$D$2:$D$15=C1801)*(참조!$E$2:$E$15=D1801),참조!$C$2:$C$15,"")</f>
        <v/>
      </c>
    </row>
    <row r="1802" hidden="1" s="27">
      <c r="A1802" s="47" t="inlineStr">
        <is>
          <t>에이모바일</t>
        </is>
      </c>
      <c r="B1802" s="47" t="inlineStr">
        <is>
          <t>A 올라잇 15GB+/300분</t>
        </is>
      </c>
      <c r="C1802" s="47" t="inlineStr">
        <is>
          <t>300분</t>
        </is>
      </c>
      <c r="D1802" s="47" t="inlineStr">
        <is>
          <t>300건</t>
        </is>
      </c>
      <c r="E1802" s="47" t="inlineStr">
        <is>
          <t>월 15GB + 3Mbps</t>
        </is>
      </c>
      <c r="F1802" s="47" t="inlineStr">
        <is>
          <t>KT</t>
        </is>
      </c>
      <c r="G1802" s="47" t="inlineStr">
        <is>
          <t>LTE</t>
        </is>
      </c>
      <c r="H1802" s="48" t="n">
        <v>19000</v>
      </c>
      <c r="I1802" s="48" t="n">
        <v>7</v>
      </c>
      <c r="J1802" s="48" t="n">
        <v>37400</v>
      </c>
      <c r="K1802" s="47">
        <f t="array" ref="K1802">_xlfn.XLOOKUP(1,(참조!$B$2:$B$15=E1802)*(참조!$D$2:$D$15=C1802)*(참조!$E$2:$E$15=D1802),참조!$C$2:$C$15,"")</f>
        <v/>
      </c>
    </row>
    <row r="1803" hidden="1" s="27">
      <c r="A1803" s="47" t="inlineStr">
        <is>
          <t>이지모바일</t>
        </is>
      </c>
      <c r="B1803" s="47" t="inlineStr">
        <is>
          <t>[5G]EG 10무제한 110G+5(모아진)</t>
        </is>
      </c>
      <c r="C1803" s="47" t="inlineStr">
        <is>
          <t>무제한</t>
        </is>
      </c>
      <c r="D1803" s="47" t="inlineStr">
        <is>
          <t>무제한</t>
        </is>
      </c>
      <c r="E1803" s="47" t="inlineStr">
        <is>
          <t>월 110GB + 5Mbps</t>
        </is>
      </c>
      <c r="F1803" s="47" t="inlineStr">
        <is>
          <t>KT</t>
        </is>
      </c>
      <c r="G1803" s="47" t="inlineStr">
        <is>
          <t>5G</t>
        </is>
      </c>
      <c r="H1803" s="48" t="n">
        <v>25800</v>
      </c>
      <c r="I1803" s="48" t="n">
        <v>10</v>
      </c>
      <c r="J1803" s="48" t="n">
        <v>48400</v>
      </c>
      <c r="K1803" s="47">
        <f t="array" ref="K1803">_xlfn.XLOOKUP(1,(참조!$B$2:$B$15=E1803)*(참조!$D$2:$D$15=C1803)*(참조!$E$2:$E$15=D1803),참조!$C$2:$C$15,"")</f>
        <v/>
      </c>
    </row>
    <row r="1804" hidden="1" s="27">
      <c r="A1804" s="47" t="inlineStr">
        <is>
          <t>이야기모바일</t>
        </is>
      </c>
      <c r="B1804" s="47" t="inlineStr">
        <is>
          <t>5G 이야기 무한 11GB</t>
        </is>
      </c>
      <c r="C1804" s="47" t="inlineStr">
        <is>
          <t>무제한</t>
        </is>
      </c>
      <c r="D1804" s="47" t="inlineStr">
        <is>
          <t>무제한</t>
        </is>
      </c>
      <c r="E1804" s="47" t="inlineStr">
        <is>
          <t>월 11GB + 400Kbps</t>
        </is>
      </c>
      <c r="F1804" s="47" t="inlineStr">
        <is>
          <t>SKT</t>
        </is>
      </c>
      <c r="G1804" s="47" t="inlineStr">
        <is>
          <t>5G</t>
        </is>
      </c>
      <c r="H1804" s="48" t="n">
        <v>31500</v>
      </c>
      <c r="I1804" s="48" t="n">
        <v>7</v>
      </c>
      <c r="J1804" s="48" t="n">
        <v>34100</v>
      </c>
      <c r="K1804" s="47">
        <f t="array" ref="K1804">_xlfn.XLOOKUP(1,(참조!$B$2:$B$15=E1804)*(참조!$D$2:$D$15=C1804)*(참조!$E$2:$E$15=D1804),참조!$C$2:$C$15,"")</f>
        <v/>
      </c>
    </row>
    <row r="1805" hidden="1" s="27">
      <c r="A1805" s="47" t="inlineStr">
        <is>
          <t>아이즈모바일</t>
        </is>
      </c>
      <c r="B1805" s="47" t="inlineStr">
        <is>
          <t>[S]아이즈특판7GB+1Mbps</t>
        </is>
      </c>
      <c r="C1805" s="47" t="inlineStr">
        <is>
          <t>무제한</t>
        </is>
      </c>
      <c r="D1805" s="47" t="inlineStr">
        <is>
          <t>무제한</t>
        </is>
      </c>
      <c r="E1805" s="47" t="inlineStr">
        <is>
          <t>월 7GB + 1Mbps</t>
        </is>
      </c>
      <c r="F1805" s="47" t="inlineStr">
        <is>
          <t>SKT</t>
        </is>
      </c>
      <c r="G1805" s="47" t="inlineStr">
        <is>
          <t>LTE</t>
        </is>
      </c>
      <c r="H1805" s="48" t="n">
        <v>10000</v>
      </c>
      <c r="I1805" s="48" t="n">
        <v>7</v>
      </c>
      <c r="J1805" s="48" t="n">
        <v>18900</v>
      </c>
      <c r="K1805" s="47">
        <f t="array" ref="K1805">_xlfn.XLOOKUP(1,(참조!$B$2:$B$15=E1805)*(참조!$D$2:$D$15=C1805)*(참조!$E$2:$E$15=D1805),참조!$C$2:$C$15,"")</f>
        <v/>
      </c>
    </row>
    <row r="1806" hidden="1" s="27">
      <c r="A1806" s="47" t="inlineStr">
        <is>
          <t>스마텔</t>
        </is>
      </c>
      <c r="B1806" s="47" t="inlineStr">
        <is>
          <t>후후 플러스 (100분+2.2GB)</t>
        </is>
      </c>
      <c r="C1806" s="47" t="inlineStr">
        <is>
          <t>100분</t>
        </is>
      </c>
      <c r="D1806" s="47" t="inlineStr">
        <is>
          <t>100건</t>
        </is>
      </c>
      <c r="E1806" s="47" t="inlineStr">
        <is>
          <t>월 2.2GB</t>
        </is>
      </c>
      <c r="F1806" s="47" t="inlineStr">
        <is>
          <t>SKT</t>
        </is>
      </c>
      <c r="G1806" s="47" t="inlineStr">
        <is>
          <t>LTE</t>
        </is>
      </c>
      <c r="H1806" s="48" t="n">
        <v>2530</v>
      </c>
      <c r="I1806" s="48" t="n">
        <v>5</v>
      </c>
      <c r="J1806" s="48" t="n">
        <v>4730</v>
      </c>
      <c r="K1806" s="47">
        <f t="array" ref="K1806">_xlfn.XLOOKUP(1,(참조!$B$2:$B$15=E1806)*(참조!$D$2:$D$15=C1806)*(참조!$E$2:$E$15=D1806),참조!$C$2:$C$15,"")</f>
        <v/>
      </c>
    </row>
    <row r="1807" hidden="1" s="27">
      <c r="A1807" s="47" t="inlineStr">
        <is>
          <t>스마텔</t>
        </is>
      </c>
      <c r="B1807" s="47" t="inlineStr">
        <is>
          <t>후후 플러스 (200분+1.5GB)</t>
        </is>
      </c>
      <c r="C1807" s="47" t="inlineStr">
        <is>
          <t>200분</t>
        </is>
      </c>
      <c r="D1807" s="47" t="inlineStr">
        <is>
          <t>100건</t>
        </is>
      </c>
      <c r="E1807" s="47" t="inlineStr">
        <is>
          <t>월 1.5GB</t>
        </is>
      </c>
      <c r="F1807" s="47" t="inlineStr">
        <is>
          <t>SKT</t>
        </is>
      </c>
      <c r="G1807" s="47" t="inlineStr">
        <is>
          <t>LTE</t>
        </is>
      </c>
      <c r="H1807" s="48" t="n">
        <v>2530</v>
      </c>
      <c r="I1807" s="48" t="n">
        <v>5</v>
      </c>
      <c r="J1807" s="48" t="n">
        <v>4730</v>
      </c>
      <c r="K1807" s="47">
        <f t="array" ref="K1807">_xlfn.XLOOKUP(1,(참조!$B$2:$B$15=E1807)*(참조!$D$2:$D$15=C1807)*(참조!$E$2:$E$15=D1807),참조!$C$2:$C$15,"")</f>
        <v/>
      </c>
    </row>
    <row r="1808" hidden="1" s="27">
      <c r="A1808" s="47" t="inlineStr">
        <is>
          <t>이야기모바일</t>
        </is>
      </c>
      <c r="B1808" s="47" t="inlineStr">
        <is>
          <t>이야기 라이트 3.5GB+</t>
        </is>
      </c>
      <c r="C1808" s="47" t="inlineStr">
        <is>
          <t>무제한</t>
        </is>
      </c>
      <c r="D1808" s="47" t="inlineStr">
        <is>
          <t>무제한</t>
        </is>
      </c>
      <c r="E1808" s="47" t="inlineStr">
        <is>
          <t>월 3.5GB + 1Mbps</t>
        </is>
      </c>
      <c r="F1808" s="47" t="inlineStr">
        <is>
          <t>LG U+</t>
        </is>
      </c>
      <c r="G1808" s="47" t="inlineStr">
        <is>
          <t>LTE</t>
        </is>
      </c>
      <c r="H1808" s="48" t="n">
        <v>31900</v>
      </c>
      <c r="I1808" s="48" t="n"/>
      <c r="J1808" s="48" t="n"/>
      <c r="K1808" s="47">
        <f t="array" ref="K1808">_xlfn.XLOOKUP(1,(참조!$B$2:$B$15=E1808)*(참조!$D$2:$D$15=C1808)*(참조!$E$2:$E$15=D1808),참조!$C$2:$C$15,"")</f>
        <v/>
      </c>
    </row>
    <row r="1809" hidden="1" s="27">
      <c r="A1809" s="47" t="inlineStr">
        <is>
          <t>스마텔</t>
        </is>
      </c>
      <c r="B1809" s="47" t="inlineStr">
        <is>
          <t>5G 스마트 12GB</t>
        </is>
      </c>
      <c r="C1809" s="47" t="inlineStr">
        <is>
          <t>무제한</t>
        </is>
      </c>
      <c r="D1809" s="47" t="inlineStr">
        <is>
          <t>무제한</t>
        </is>
      </c>
      <c r="E1809" s="47" t="inlineStr">
        <is>
          <t>월 12GB + 1Mbps</t>
        </is>
      </c>
      <c r="F1809" s="47" t="inlineStr">
        <is>
          <t>LG U+</t>
        </is>
      </c>
      <c r="G1809" s="47" t="inlineStr">
        <is>
          <t>5G</t>
        </is>
      </c>
      <c r="H1809" s="48" t="n">
        <v>36300</v>
      </c>
      <c r="I1809" s="48" t="n"/>
      <c r="J1809" s="48" t="n"/>
      <c r="K1809" s="47">
        <f t="array" ref="K1809">_xlfn.XLOOKUP(1,(참조!$B$2:$B$15=E1809)*(참조!$D$2:$D$15=C1809)*(참조!$E$2:$E$15=D1809),참조!$C$2:$C$15,"")</f>
        <v/>
      </c>
    </row>
    <row r="1810" hidden="1" s="27">
      <c r="A1810" s="47" t="inlineStr">
        <is>
          <t>고고모바일</t>
        </is>
      </c>
      <c r="B1810" s="47" t="inlineStr">
        <is>
          <t>LTE200분/3GB-데이터소진후 자동차단</t>
        </is>
      </c>
      <c r="C1810" s="47" t="inlineStr">
        <is>
          <t>200분</t>
        </is>
      </c>
      <c r="D1810" s="47" t="inlineStr">
        <is>
          <t>200건</t>
        </is>
      </c>
      <c r="E1810" s="47" t="inlineStr">
        <is>
          <t>월 3GB</t>
        </is>
      </c>
      <c r="F1810" s="47" t="inlineStr">
        <is>
          <t>KT</t>
        </is>
      </c>
      <c r="G1810" s="47" t="inlineStr">
        <is>
          <t>LTE</t>
        </is>
      </c>
      <c r="H1810" s="48" t="n">
        <v>9900</v>
      </c>
      <c r="I1810" s="48" t="n"/>
      <c r="J1810" s="48" t="n"/>
      <c r="K1810" s="47">
        <f t="array" ref="K1810">_xlfn.XLOOKUP(1,(참조!$B$2:$B$15=E1810)*(참조!$D$2:$D$15=C1810)*(참조!$E$2:$E$15=D1810),참조!$C$2:$C$15,"")</f>
        <v/>
      </c>
    </row>
    <row r="1811" hidden="1" s="27">
      <c r="A1811" s="47" t="inlineStr">
        <is>
          <t>이지모바일</t>
        </is>
      </c>
      <c r="B1811" s="47" t="inlineStr">
        <is>
          <t>EG 5G 심플 90GB+</t>
        </is>
      </c>
      <c r="C1811" s="47" t="inlineStr">
        <is>
          <t>무제한</t>
        </is>
      </c>
      <c r="D1811" s="47" t="inlineStr">
        <is>
          <t>무제한</t>
        </is>
      </c>
      <c r="E1811" s="47" t="inlineStr">
        <is>
          <t>월 90GB + 1Mbps</t>
        </is>
      </c>
      <c r="F1811" s="47" t="inlineStr">
        <is>
          <t>KT</t>
        </is>
      </c>
      <c r="G1811" s="47" t="inlineStr">
        <is>
          <t>5G</t>
        </is>
      </c>
      <c r="H1811" s="48" t="n">
        <v>24750</v>
      </c>
      <c r="I1811" s="48" t="n">
        <v>7</v>
      </c>
      <c r="J1811" s="48" t="n">
        <v>49500</v>
      </c>
      <c r="K1811" s="47">
        <f t="array" ref="K1811">_xlfn.XLOOKUP(1,(참조!$B$2:$B$15=E1811)*(참조!$D$2:$D$15=C1811)*(참조!$E$2:$E$15=D1811),참조!$C$2:$C$15,"")</f>
        <v/>
      </c>
    </row>
    <row r="1812" hidden="1" s="27">
      <c r="A1812" s="47" t="inlineStr">
        <is>
          <t>스마텔</t>
        </is>
      </c>
      <c r="B1812" s="47" t="inlineStr">
        <is>
          <t>스마일플러스 (500분+1GB)</t>
        </is>
      </c>
      <c r="C1812" s="47" t="inlineStr">
        <is>
          <t>500분</t>
        </is>
      </c>
      <c r="D1812" s="47" t="inlineStr">
        <is>
          <t>100건</t>
        </is>
      </c>
      <c r="E1812" s="47" t="inlineStr">
        <is>
          <t>월 1GB</t>
        </is>
      </c>
      <c r="F1812" s="47" t="inlineStr">
        <is>
          <t>SKT</t>
        </is>
      </c>
      <c r="G1812" s="47" t="inlineStr">
        <is>
          <t>LTE</t>
        </is>
      </c>
      <c r="H1812" s="48" t="n">
        <v>2970</v>
      </c>
      <c r="I1812" s="48" t="n">
        <v>5</v>
      </c>
      <c r="J1812" s="48" t="n">
        <v>6600</v>
      </c>
      <c r="K1812" s="47">
        <f t="array" ref="K1812">_xlfn.XLOOKUP(1,(참조!$B$2:$B$15=E1812)*(참조!$D$2:$D$15=C1812)*(참조!$E$2:$E$15=D1812),참조!$C$2:$C$15,"")</f>
        <v/>
      </c>
    </row>
    <row r="1813" hidden="1" s="27">
      <c r="A1813" s="47" t="inlineStr">
        <is>
          <t>아이즈모바일</t>
        </is>
      </c>
      <c r="B1813" s="47" t="inlineStr">
        <is>
          <t>[K]벤티(200분/10GB)</t>
        </is>
      </c>
      <c r="C1813" s="47" t="inlineStr">
        <is>
          <t>200분</t>
        </is>
      </c>
      <c r="D1813" s="47" t="inlineStr">
        <is>
          <t>100건</t>
        </is>
      </c>
      <c r="E1813" s="47" t="inlineStr">
        <is>
          <t>월 10GB</t>
        </is>
      </c>
      <c r="F1813" s="47" t="inlineStr">
        <is>
          <t>KT</t>
        </is>
      </c>
      <c r="G1813" s="47" t="inlineStr">
        <is>
          <t>LTE</t>
        </is>
      </c>
      <c r="H1813" s="48" t="n">
        <v>23200</v>
      </c>
      <c r="I1813" s="48" t="n"/>
      <c r="J1813" s="48" t="n"/>
      <c r="K1813" s="47">
        <f t="array" ref="K1813">_xlfn.XLOOKUP(1,(참조!$B$2:$B$15=E1813)*(참조!$D$2:$D$15=C1813)*(참조!$E$2:$E$15=D1813),참조!$C$2:$C$15,"")</f>
        <v/>
      </c>
    </row>
    <row r="1814" hidden="1" s="27">
      <c r="A1814" s="47" t="inlineStr">
        <is>
          <t>스마텔</t>
        </is>
      </c>
      <c r="B1814" s="47" t="inlineStr">
        <is>
          <t>5G 스마일 플러스 (200분+5GB)</t>
        </is>
      </c>
      <c r="C1814" s="47" t="inlineStr">
        <is>
          <t>200분</t>
        </is>
      </c>
      <c r="D1814" s="47" t="inlineStr">
        <is>
          <t>100건</t>
        </is>
      </c>
      <c r="E1814" s="47" t="inlineStr">
        <is>
          <t>월 5GB</t>
        </is>
      </c>
      <c r="F1814" s="47" t="inlineStr">
        <is>
          <t>SKT</t>
        </is>
      </c>
      <c r="G1814" s="47" t="inlineStr">
        <is>
          <t>5G</t>
        </is>
      </c>
      <c r="H1814" s="48" t="n">
        <v>4750</v>
      </c>
      <c r="I1814" s="48" t="n">
        <v>5</v>
      </c>
      <c r="J1814" s="48" t="n">
        <v>13000</v>
      </c>
      <c r="K1814" s="47">
        <f t="array" ref="K1814">_xlfn.XLOOKUP(1,(참조!$B$2:$B$15=E1814)*(참조!$D$2:$D$15=C1814)*(참조!$E$2:$E$15=D1814),참조!$C$2:$C$15,"")</f>
        <v/>
      </c>
    </row>
    <row r="1815" hidden="1" s="27">
      <c r="A1815" s="47" t="inlineStr">
        <is>
          <t>아이즈모바일</t>
        </is>
      </c>
      <c r="B1815" s="47" t="inlineStr">
        <is>
          <t>[K]다이소 15GB+</t>
        </is>
      </c>
      <c r="C1815" s="47" t="inlineStr">
        <is>
          <t>무제한</t>
        </is>
      </c>
      <c r="D1815" s="47" t="inlineStr">
        <is>
          <t>무제한</t>
        </is>
      </c>
      <c r="E1815" s="47" t="inlineStr">
        <is>
          <t>월 15GB + 1Mbps</t>
        </is>
      </c>
      <c r="F1815" s="47" t="inlineStr">
        <is>
          <t>KT</t>
        </is>
      </c>
      <c r="G1815" s="47" t="inlineStr">
        <is>
          <t>LTE</t>
        </is>
      </c>
      <c r="H1815" s="48" t="n">
        <v>30800</v>
      </c>
      <c r="I1815" s="48" t="n"/>
      <c r="J1815" s="48" t="n"/>
      <c r="K1815" s="47">
        <f t="array" ref="K1815">_xlfn.XLOOKUP(1,(참조!$B$2:$B$15=E1815)*(참조!$D$2:$D$15=C1815)*(참조!$E$2:$E$15=D1815),참조!$C$2:$C$15,"")</f>
        <v/>
      </c>
    </row>
    <row r="1816" hidden="1" s="27">
      <c r="A1816" s="47" t="inlineStr">
        <is>
          <t>KG모바일</t>
        </is>
      </c>
      <c r="B1816" s="47" t="inlineStr">
        <is>
          <t>[일반] 데이터 마음대로 (1GB+/100분)</t>
        </is>
      </c>
      <c r="C1816" s="47" t="inlineStr">
        <is>
          <t>100분</t>
        </is>
      </c>
      <c r="D1816" s="47" t="inlineStr">
        <is>
          <t>100건</t>
        </is>
      </c>
      <c r="E1816" s="47" t="inlineStr">
        <is>
          <t>월 1GB + 1Mbps</t>
        </is>
      </c>
      <c r="F1816" s="47" t="inlineStr">
        <is>
          <t>LG U+</t>
        </is>
      </c>
      <c r="G1816" s="47" t="inlineStr">
        <is>
          <t>LTE</t>
        </is>
      </c>
      <c r="H1816" s="48" t="n">
        <v>4840</v>
      </c>
      <c r="I1816" s="48" t="n">
        <v>6</v>
      </c>
      <c r="J1816" s="48" t="n">
        <v>15400</v>
      </c>
      <c r="K1816" s="47">
        <f t="array" ref="K1816">_xlfn.XLOOKUP(1,(참조!$B$2:$B$15=E1816)*(참조!$D$2:$D$15=C1816)*(참조!$E$2:$E$15=D1816),참조!$C$2:$C$15,"")</f>
        <v/>
      </c>
    </row>
    <row r="1817" hidden="1" s="27">
      <c r="A1817" s="47" t="inlineStr">
        <is>
          <t>이야기모바일</t>
        </is>
      </c>
      <c r="B1817" s="47" t="inlineStr">
        <is>
          <t>이야기 헬스케어 1GB+</t>
        </is>
      </c>
      <c r="C1817" s="47" t="inlineStr">
        <is>
          <t>무제한</t>
        </is>
      </c>
      <c r="D1817" s="47" t="inlineStr">
        <is>
          <t>무제한</t>
        </is>
      </c>
      <c r="E1817" s="47" t="inlineStr">
        <is>
          <t>월 1GB + 1Mbps</t>
        </is>
      </c>
      <c r="F1817" s="47" t="inlineStr">
        <is>
          <t>LG U+</t>
        </is>
      </c>
      <c r="G1817" s="47" t="inlineStr">
        <is>
          <t>LTE</t>
        </is>
      </c>
      <c r="H1817" s="48" t="n">
        <v>8800</v>
      </c>
      <c r="I1817" s="48" t="n">
        <v>6</v>
      </c>
      <c r="J1817" s="48" t="n">
        <v>12100</v>
      </c>
      <c r="K1817" s="47">
        <f t="array" ref="K1817">_xlfn.XLOOKUP(1,(참조!$B$2:$B$15=E1817)*(참조!$D$2:$D$15=C1817)*(참조!$E$2:$E$15=D1817),참조!$C$2:$C$15,"")</f>
        <v/>
      </c>
    </row>
    <row r="1818" hidden="1" s="27">
      <c r="A1818" s="47" t="inlineStr">
        <is>
          <t>아이즈모바일</t>
        </is>
      </c>
      <c r="B1818" s="47" t="inlineStr">
        <is>
          <t>[K]올리브영 15GB+</t>
        </is>
      </c>
      <c r="C1818" s="47" t="inlineStr">
        <is>
          <t>무제한</t>
        </is>
      </c>
      <c r="D1818" s="47" t="inlineStr">
        <is>
          <t>무제한</t>
        </is>
      </c>
      <c r="E1818" s="47" t="inlineStr">
        <is>
          <t>월 15GB + 1Mbps</t>
        </is>
      </c>
      <c r="F1818" s="47" t="inlineStr">
        <is>
          <t>KT</t>
        </is>
      </c>
      <c r="G1818" s="47" t="inlineStr">
        <is>
          <t>LTE</t>
        </is>
      </c>
      <c r="H1818" s="48" t="n">
        <v>30800</v>
      </c>
      <c r="I1818" s="48" t="n"/>
      <c r="J1818" s="48" t="n"/>
      <c r="K1818" s="47">
        <f t="array" ref="K1818">_xlfn.XLOOKUP(1,(참조!$B$2:$B$15=E1818)*(참조!$D$2:$D$15=C1818)*(참조!$E$2:$E$15=D1818),참조!$C$2:$C$15,"")</f>
        <v/>
      </c>
    </row>
    <row r="1819" hidden="1" s="27">
      <c r="A1819" s="47" t="inlineStr">
        <is>
          <t>이야기모바일</t>
        </is>
      </c>
      <c r="B1819" s="47" t="inlineStr">
        <is>
          <t>이야기피싱케어 1GB+</t>
        </is>
      </c>
      <c r="C1819" s="47" t="inlineStr">
        <is>
          <t>무제한</t>
        </is>
      </c>
      <c r="D1819" s="47" t="inlineStr">
        <is>
          <t>무제한</t>
        </is>
      </c>
      <c r="E1819" s="47" t="inlineStr">
        <is>
          <t>월 1GB + 1Mbps</t>
        </is>
      </c>
      <c r="F1819" s="47" t="inlineStr">
        <is>
          <t>LG U+</t>
        </is>
      </c>
      <c r="G1819" s="47" t="inlineStr">
        <is>
          <t>LTE</t>
        </is>
      </c>
      <c r="H1819" s="48" t="n">
        <v>8800</v>
      </c>
      <c r="I1819" s="48" t="n">
        <v>6</v>
      </c>
      <c r="J1819" s="48" t="n">
        <v>12100</v>
      </c>
      <c r="K1819" s="47">
        <f t="array" ref="K1819">_xlfn.XLOOKUP(1,(참조!$B$2:$B$15=E1819)*(참조!$D$2:$D$15=C1819)*(참조!$E$2:$E$15=D1819),참조!$C$2:$C$15,"")</f>
        <v/>
      </c>
    </row>
    <row r="1820" hidden="1" s="27">
      <c r="A1820" s="47" t="inlineStr">
        <is>
          <t>이야기모바일</t>
        </is>
      </c>
      <c r="B1820" s="47" t="inlineStr">
        <is>
          <t>이야기폰케어 1GB+</t>
        </is>
      </c>
      <c r="C1820" s="47" t="inlineStr">
        <is>
          <t>무제한</t>
        </is>
      </c>
      <c r="D1820" s="47" t="inlineStr">
        <is>
          <t>무제한</t>
        </is>
      </c>
      <c r="E1820" s="47" t="inlineStr">
        <is>
          <t>월 1GB + 1Mbps</t>
        </is>
      </c>
      <c r="F1820" s="47" t="inlineStr">
        <is>
          <t>LG U+</t>
        </is>
      </c>
      <c r="G1820" s="47" t="inlineStr">
        <is>
          <t>LTE</t>
        </is>
      </c>
      <c r="H1820" s="48" t="n">
        <v>8800</v>
      </c>
      <c r="I1820" s="48" t="n">
        <v>6</v>
      </c>
      <c r="J1820" s="48" t="n">
        <v>12100</v>
      </c>
      <c r="K1820" s="47">
        <f t="array" ref="K1820">_xlfn.XLOOKUP(1,(참조!$B$2:$B$15=E1820)*(참조!$D$2:$D$15=C1820)*(참조!$E$2:$E$15=D1820),참조!$C$2:$C$15,"")</f>
        <v/>
      </c>
    </row>
    <row r="1821" hidden="1" s="27">
      <c r="A1821" s="47" t="inlineStr">
        <is>
          <t>이지모바일</t>
        </is>
      </c>
      <c r="B1821" s="47" t="inlineStr">
        <is>
          <t>[5G]이지 무제한 14G+1</t>
        </is>
      </c>
      <c r="C1821" s="47" t="inlineStr">
        <is>
          <t>무제한</t>
        </is>
      </c>
      <c r="D1821" s="47" t="inlineStr">
        <is>
          <t>무제한</t>
        </is>
      </c>
      <c r="E1821" s="47" t="inlineStr">
        <is>
          <t>월 14GB + 1Mbps</t>
        </is>
      </c>
      <c r="F1821" s="47" t="inlineStr">
        <is>
          <t>LG U+</t>
        </is>
      </c>
      <c r="G1821" s="47" t="inlineStr">
        <is>
          <t>5G</t>
        </is>
      </c>
      <c r="H1821" s="48" t="n">
        <v>26950</v>
      </c>
      <c r="I1821" s="48" t="n">
        <v>7</v>
      </c>
      <c r="J1821" s="48" t="n">
        <v>37400</v>
      </c>
      <c r="K1821" s="47">
        <f t="array" ref="K1821">_xlfn.XLOOKUP(1,(참조!$B$2:$B$15=E1821)*(참조!$D$2:$D$15=C1821)*(참조!$E$2:$E$15=D1821),참조!$C$2:$C$15,"")</f>
        <v/>
      </c>
    </row>
    <row r="1822" hidden="1" s="27">
      <c r="A1822" s="47" t="inlineStr">
        <is>
          <t>모빙</t>
        </is>
      </c>
      <c r="B1822" s="47" t="inlineStr">
        <is>
          <t>[S] 컬쳐랜드 10GB+</t>
        </is>
      </c>
      <c r="C1822" s="47" t="inlineStr">
        <is>
          <t>무제한</t>
        </is>
      </c>
      <c r="D1822" s="47" t="inlineStr">
        <is>
          <t>무제한</t>
        </is>
      </c>
      <c r="E1822" s="47" t="inlineStr">
        <is>
          <t>월 10GB + 1Mbps</t>
        </is>
      </c>
      <c r="F1822" s="47" t="inlineStr">
        <is>
          <t>SKT</t>
        </is>
      </c>
      <c r="G1822" s="47" t="inlineStr">
        <is>
          <t>LTE</t>
        </is>
      </c>
      <c r="H1822" s="48" t="n">
        <v>11000</v>
      </c>
      <c r="I1822" s="48" t="n">
        <v>7</v>
      </c>
      <c r="J1822" s="48" t="n">
        <v>47300</v>
      </c>
      <c r="K1822" s="47">
        <f t="array" ref="K1822">_xlfn.XLOOKUP(1,(참조!$B$2:$B$15=E1822)*(참조!$D$2:$D$15=C1822)*(참조!$E$2:$E$15=D1822),참조!$C$2:$C$15,"")</f>
        <v/>
      </c>
    </row>
    <row r="1823" hidden="1" s="27">
      <c r="A1823" s="47" t="inlineStr">
        <is>
          <t>모빙</t>
        </is>
      </c>
      <c r="B1823" s="47" t="inlineStr">
        <is>
          <t>[K] CU편의점 10GB+</t>
        </is>
      </c>
      <c r="C1823" s="47" t="inlineStr">
        <is>
          <t>무제한</t>
        </is>
      </c>
      <c r="D1823" s="47" t="inlineStr">
        <is>
          <t>무제한</t>
        </is>
      </c>
      <c r="E1823" s="47" t="inlineStr">
        <is>
          <t>월 10GB + 1Mbps</t>
        </is>
      </c>
      <c r="F1823" s="47" t="inlineStr">
        <is>
          <t>KT</t>
        </is>
      </c>
      <c r="G1823" s="47" t="inlineStr">
        <is>
          <t>LTE</t>
        </is>
      </c>
      <c r="H1823" s="48" t="n">
        <v>11000</v>
      </c>
      <c r="I1823" s="48" t="n">
        <v>7</v>
      </c>
      <c r="J1823" s="48" t="n">
        <v>29700</v>
      </c>
      <c r="K1823" s="47">
        <f t="array" ref="K1823">_xlfn.XLOOKUP(1,(참조!$B$2:$B$15=E1823)*(참조!$D$2:$D$15=C1823)*(참조!$E$2:$E$15=D1823),참조!$C$2:$C$15,"")</f>
        <v/>
      </c>
    </row>
    <row r="1824" hidden="1" s="27">
      <c r="A1824" s="47" t="inlineStr">
        <is>
          <t>모빙</t>
        </is>
      </c>
      <c r="B1824" s="47" t="inlineStr">
        <is>
          <t>[K] 다이소 10GB+</t>
        </is>
      </c>
      <c r="C1824" s="47" t="inlineStr">
        <is>
          <t>무제한</t>
        </is>
      </c>
      <c r="D1824" s="47" t="inlineStr">
        <is>
          <t>무제한</t>
        </is>
      </c>
      <c r="E1824" s="47" t="inlineStr">
        <is>
          <t>월 10GB + 1Mbps</t>
        </is>
      </c>
      <c r="F1824" s="47" t="inlineStr">
        <is>
          <t>KT</t>
        </is>
      </c>
      <c r="G1824" s="47" t="inlineStr">
        <is>
          <t>LTE</t>
        </is>
      </c>
      <c r="H1824" s="48" t="n">
        <v>11000</v>
      </c>
      <c r="I1824" s="48" t="n">
        <v>7</v>
      </c>
      <c r="J1824" s="48" t="n">
        <v>30800</v>
      </c>
      <c r="K1824" s="47">
        <f t="array" ref="K1824">_xlfn.XLOOKUP(1,(참조!$B$2:$B$15=E1824)*(참조!$D$2:$D$15=C1824)*(참조!$E$2:$E$15=D1824),참조!$C$2:$C$15,"")</f>
        <v/>
      </c>
    </row>
    <row r="1825" hidden="1" s="27">
      <c r="A1825" s="47" t="inlineStr">
        <is>
          <t>모빙</t>
        </is>
      </c>
      <c r="B1825" s="47" t="inlineStr">
        <is>
          <t>[K] 밀리의서재 10GB+</t>
        </is>
      </c>
      <c r="C1825" s="47" t="inlineStr">
        <is>
          <t>무제한</t>
        </is>
      </c>
      <c r="D1825" s="47" t="inlineStr">
        <is>
          <t>무제한</t>
        </is>
      </c>
      <c r="E1825" s="47" t="inlineStr">
        <is>
          <t>월 10GB + 1Mbps</t>
        </is>
      </c>
      <c r="F1825" s="47" t="inlineStr">
        <is>
          <t>KT</t>
        </is>
      </c>
      <c r="G1825" s="47" t="inlineStr">
        <is>
          <t>LTE</t>
        </is>
      </c>
      <c r="H1825" s="48" t="n">
        <v>11000</v>
      </c>
      <c r="I1825" s="48" t="n">
        <v>7</v>
      </c>
      <c r="J1825" s="48" t="n">
        <v>28600</v>
      </c>
      <c r="K1825" s="47">
        <f t="array" ref="K1825">_xlfn.XLOOKUP(1,(참조!$B$2:$B$15=E1825)*(참조!$D$2:$D$15=C1825)*(참조!$E$2:$E$15=D1825),참조!$C$2:$C$15,"")</f>
        <v/>
      </c>
    </row>
    <row r="1826" hidden="1" s="27">
      <c r="A1826" s="47" t="inlineStr">
        <is>
          <t>아이즈모바일</t>
        </is>
      </c>
      <c r="B1826" s="47" t="inlineStr">
        <is>
          <t>[L]아이즈10GB+1Mbps</t>
        </is>
      </c>
      <c r="C1826" s="47" t="inlineStr">
        <is>
          <t>무제한</t>
        </is>
      </c>
      <c r="D1826" s="47" t="inlineStr">
        <is>
          <t>무제한</t>
        </is>
      </c>
      <c r="E1826" s="47" t="inlineStr">
        <is>
          <t>월 10GB + 1Mbps</t>
        </is>
      </c>
      <c r="F1826" s="47" t="inlineStr">
        <is>
          <t>LG U+</t>
        </is>
      </c>
      <c r="G1826" s="47" t="inlineStr">
        <is>
          <t>LTE</t>
        </is>
      </c>
      <c r="H1826" s="48" t="n">
        <v>6900</v>
      </c>
      <c r="I1826" s="48" t="n">
        <v>7</v>
      </c>
      <c r="J1826" s="48" t="n">
        <v>27500</v>
      </c>
      <c r="K1826" s="47">
        <f t="array" ref="K1826">_xlfn.XLOOKUP(1,(참조!$B$2:$B$15=E1826)*(참조!$D$2:$D$15=C1826)*(참조!$E$2:$E$15=D1826),참조!$C$2:$C$15,"")</f>
        <v/>
      </c>
    </row>
    <row r="1827" hidden="1" s="27">
      <c r="A1827" s="47" t="inlineStr">
        <is>
          <t>아이즈모바일</t>
        </is>
      </c>
      <c r="B1827" s="47" t="inlineStr">
        <is>
          <t>[S]톨(500분/3GB)</t>
        </is>
      </c>
      <c r="C1827" s="47" t="inlineStr">
        <is>
          <t>500분</t>
        </is>
      </c>
      <c r="D1827" s="47" t="inlineStr">
        <is>
          <t>100건</t>
        </is>
      </c>
      <c r="E1827" s="47" t="inlineStr">
        <is>
          <t>월 3GB</t>
        </is>
      </c>
      <c r="F1827" s="47" t="inlineStr">
        <is>
          <t>SKT</t>
        </is>
      </c>
      <c r="G1827" s="47" t="inlineStr">
        <is>
          <t>LTE</t>
        </is>
      </c>
      <c r="H1827" s="48" t="n">
        <v>5100</v>
      </c>
      <c r="I1827" s="48" t="n"/>
      <c r="J1827" s="48" t="n"/>
      <c r="K1827" s="47">
        <f t="array" ref="K1827">_xlfn.XLOOKUP(1,(참조!$B$2:$B$15=E1827)*(참조!$D$2:$D$15=C1827)*(참조!$E$2:$E$15=D1827),참조!$C$2:$C$15,"")</f>
        <v/>
      </c>
    </row>
    <row r="1828" hidden="1" s="27">
      <c r="A1828" s="47" t="inlineStr">
        <is>
          <t>모빙</t>
        </is>
      </c>
      <c r="B1828" s="47" t="inlineStr">
        <is>
          <t>[S] 컬쳐랜드 100GB+</t>
        </is>
      </c>
      <c r="C1828" s="47" t="inlineStr">
        <is>
          <t>무제한</t>
        </is>
      </c>
      <c r="D1828" s="47" t="inlineStr">
        <is>
          <t>무제한</t>
        </is>
      </c>
      <c r="E1828" s="47" t="inlineStr">
        <is>
          <t>월 100GB + 5Mbps</t>
        </is>
      </c>
      <c r="F1828" s="47" t="inlineStr">
        <is>
          <t>SKT</t>
        </is>
      </c>
      <c r="G1828" s="47" t="inlineStr">
        <is>
          <t>LTE</t>
        </is>
      </c>
      <c r="H1828" s="48" t="n">
        <v>22000</v>
      </c>
      <c r="I1828" s="48" t="n">
        <v>7</v>
      </c>
      <c r="J1828" s="48" t="n">
        <v>67100</v>
      </c>
      <c r="K1828" s="47">
        <f t="array" ref="K1828">_xlfn.XLOOKUP(1,(참조!$B$2:$B$15=E1828)*(참조!$D$2:$D$15=C1828)*(참조!$E$2:$E$15=D1828),참조!$C$2:$C$15,"")</f>
        <v/>
      </c>
    </row>
    <row r="1829" hidden="1" s="27">
      <c r="A1829" s="47" t="inlineStr">
        <is>
          <t>모빙</t>
        </is>
      </c>
      <c r="B1829" s="47" t="inlineStr">
        <is>
          <t>[S] CU편의점 100GB+</t>
        </is>
      </c>
      <c r="C1829" s="47" t="inlineStr">
        <is>
          <t>무제한</t>
        </is>
      </c>
      <c r="D1829" s="47" t="inlineStr">
        <is>
          <t>무제한</t>
        </is>
      </c>
      <c r="E1829" s="47" t="inlineStr">
        <is>
          <t>월 100GB + 5Mbps</t>
        </is>
      </c>
      <c r="F1829" s="47" t="inlineStr">
        <is>
          <t>SKT</t>
        </is>
      </c>
      <c r="G1829" s="47" t="inlineStr">
        <is>
          <t>LTE</t>
        </is>
      </c>
      <c r="H1829" s="48" t="n">
        <v>22000</v>
      </c>
      <c r="I1829" s="48" t="n">
        <v>7</v>
      </c>
      <c r="J1829" s="48" t="n">
        <v>67100</v>
      </c>
      <c r="K1829" s="47">
        <f t="array" ref="K1829">_xlfn.XLOOKUP(1,(참조!$B$2:$B$15=E1829)*(참조!$D$2:$D$15=C1829)*(참조!$E$2:$E$15=D1829),참조!$C$2:$C$15,"")</f>
        <v/>
      </c>
    </row>
    <row r="1830" hidden="1" s="27">
      <c r="A1830" s="47" t="inlineStr">
        <is>
          <t>인스모바일</t>
        </is>
      </c>
      <c r="B1830" s="47" t="inlineStr">
        <is>
          <t>데이터 안심 1GB+(USIM)</t>
        </is>
      </c>
      <c r="C1830" s="47" t="inlineStr">
        <is>
          <t>100분</t>
        </is>
      </c>
      <c r="D1830" s="47" t="inlineStr">
        <is>
          <t>100건</t>
        </is>
      </c>
      <c r="E1830" s="47" t="inlineStr">
        <is>
          <t>월 1GB + 1Mbps</t>
        </is>
      </c>
      <c r="F1830" s="47" t="inlineStr">
        <is>
          <t>LG U+</t>
        </is>
      </c>
      <c r="G1830" s="47" t="inlineStr">
        <is>
          <t>LTE</t>
        </is>
      </c>
      <c r="H1830" s="48" t="n">
        <v>4400</v>
      </c>
      <c r="I1830" s="48" t="n">
        <v>6</v>
      </c>
      <c r="J1830" s="48" t="n">
        <v>31900</v>
      </c>
      <c r="K1830" s="47">
        <f t="array" ref="K1830">_xlfn.XLOOKUP(1,(참조!$B$2:$B$15=E1830)*(참조!$D$2:$D$15=C1830)*(참조!$E$2:$E$15=D1830),참조!$C$2:$C$15,"")</f>
        <v/>
      </c>
    </row>
    <row r="1831" hidden="1" s="27">
      <c r="A1831" s="47" t="inlineStr">
        <is>
          <t>스마텔</t>
        </is>
      </c>
      <c r="B1831" s="47" t="inlineStr">
        <is>
          <t>스마일플러스(100분+3GB)</t>
        </is>
      </c>
      <c r="C1831" s="47" t="inlineStr">
        <is>
          <t>100분</t>
        </is>
      </c>
      <c r="D1831" s="47" t="inlineStr">
        <is>
          <t>100건</t>
        </is>
      </c>
      <c r="E1831" s="47" t="inlineStr">
        <is>
          <t>월 3GB</t>
        </is>
      </c>
      <c r="F1831" s="47" t="inlineStr">
        <is>
          <t>SKT</t>
        </is>
      </c>
      <c r="G1831" s="47" t="inlineStr">
        <is>
          <t>LTE</t>
        </is>
      </c>
      <c r="H1831" s="48" t="n">
        <v>2860</v>
      </c>
      <c r="I1831" s="48" t="n">
        <v>5</v>
      </c>
      <c r="J1831" s="48" t="n">
        <v>5500</v>
      </c>
      <c r="K1831" s="47">
        <f t="array" ref="K1831">_xlfn.XLOOKUP(1,(참조!$B$2:$B$15=E1831)*(참조!$D$2:$D$15=C1831)*(참조!$E$2:$E$15=D1831),참조!$C$2:$C$15,"")</f>
        <v/>
      </c>
    </row>
    <row r="1832" hidden="1" s="27">
      <c r="A1832" s="47" t="inlineStr">
        <is>
          <t>스마텔</t>
        </is>
      </c>
      <c r="B1832" s="47" t="inlineStr">
        <is>
          <t>USIM 스마트 7GB+</t>
        </is>
      </c>
      <c r="C1832" s="47" t="inlineStr">
        <is>
          <t>무제한</t>
        </is>
      </c>
      <c r="D1832" s="47" t="inlineStr">
        <is>
          <t>무제한</t>
        </is>
      </c>
      <c r="E1832" s="47" t="inlineStr">
        <is>
          <t>월 7GB + 1Mbps</t>
        </is>
      </c>
      <c r="F1832" s="47" t="inlineStr">
        <is>
          <t>LG U+</t>
        </is>
      </c>
      <c r="G1832" s="47" t="inlineStr">
        <is>
          <t>LTE</t>
        </is>
      </c>
      <c r="H1832" s="48" t="n">
        <v>14200</v>
      </c>
      <c r="I1832" s="48" t="n">
        <v>7</v>
      </c>
      <c r="J1832" s="48" t="n">
        <v>19800</v>
      </c>
      <c r="K1832" s="47">
        <f t="array" ref="K1832">_xlfn.XLOOKUP(1,(참조!$B$2:$B$15=E1832)*(참조!$D$2:$D$15=C1832)*(참조!$E$2:$E$15=D1832),참조!$C$2:$C$15,"")</f>
        <v/>
      </c>
    </row>
    <row r="1833" hidden="1" s="27">
      <c r="A1833" s="47" t="inlineStr">
        <is>
          <t>아이즈모바일</t>
        </is>
      </c>
      <c r="B1833" s="47" t="inlineStr">
        <is>
          <t>[K]그란데(300분/5GB)</t>
        </is>
      </c>
      <c r="C1833" s="47" t="inlineStr">
        <is>
          <t>300분</t>
        </is>
      </c>
      <c r="D1833" s="47" t="inlineStr">
        <is>
          <t>100건</t>
        </is>
      </c>
      <c r="E1833" s="47" t="inlineStr">
        <is>
          <t>월 5GB</t>
        </is>
      </c>
      <c r="F1833" s="47" t="inlineStr">
        <is>
          <t>KT</t>
        </is>
      </c>
      <c r="G1833" s="47" t="inlineStr">
        <is>
          <t>LTE</t>
        </is>
      </c>
      <c r="H1833" s="48" t="n">
        <v>14900</v>
      </c>
      <c r="I1833" s="48" t="n"/>
      <c r="J1833" s="48" t="n"/>
      <c r="K1833" s="47">
        <f t="array" ref="K1833">_xlfn.XLOOKUP(1,(참조!$B$2:$B$15=E1833)*(참조!$D$2:$D$15=C1833)*(참조!$E$2:$E$15=D1833),참조!$C$2:$C$15,"")</f>
        <v/>
      </c>
    </row>
    <row r="1834" hidden="1" s="27">
      <c r="A1834" s="47" t="inlineStr">
        <is>
          <t>이야기모바일</t>
        </is>
      </c>
      <c r="B1834" s="47" t="inlineStr">
        <is>
          <t>이야기 라이트 10GB+</t>
        </is>
      </c>
      <c r="C1834" s="47" t="inlineStr">
        <is>
          <t>무제한</t>
        </is>
      </c>
      <c r="D1834" s="47" t="inlineStr">
        <is>
          <t>무제한</t>
        </is>
      </c>
      <c r="E1834" s="47" t="inlineStr">
        <is>
          <t>월 10GB + 1Mbps</t>
        </is>
      </c>
      <c r="F1834" s="47" t="inlineStr">
        <is>
          <t>LG U+</t>
        </is>
      </c>
      <c r="G1834" s="47" t="inlineStr">
        <is>
          <t>LTE</t>
        </is>
      </c>
      <c r="H1834" s="48" t="n">
        <v>14000</v>
      </c>
      <c r="I1834" s="48" t="n">
        <v>7</v>
      </c>
      <c r="J1834" s="48" t="n">
        <v>26400</v>
      </c>
      <c r="K1834" s="47">
        <f t="array" ref="K1834">_xlfn.XLOOKUP(1,(참조!$B$2:$B$15=E1834)*(참조!$D$2:$D$15=C1834)*(참조!$E$2:$E$15=D1834),참조!$C$2:$C$15,"")</f>
        <v/>
      </c>
    </row>
    <row r="1835" hidden="1" s="27">
      <c r="A1835" s="47" t="inlineStr">
        <is>
          <t>이야기모바일</t>
        </is>
      </c>
      <c r="B1835" s="47" t="inlineStr">
        <is>
          <t>이야기 라이트 10GB+</t>
        </is>
      </c>
      <c r="C1835" s="47" t="inlineStr">
        <is>
          <t>무제한</t>
        </is>
      </c>
      <c r="D1835" s="47" t="inlineStr">
        <is>
          <t>무제한</t>
        </is>
      </c>
      <c r="E1835" s="47" t="inlineStr">
        <is>
          <t>월 10GB + 1Mbps</t>
        </is>
      </c>
      <c r="F1835" s="47" t="inlineStr">
        <is>
          <t>LG U+</t>
        </is>
      </c>
      <c r="G1835" s="47" t="inlineStr">
        <is>
          <t>LTE</t>
        </is>
      </c>
      <c r="H1835" s="48" t="n">
        <v>14000</v>
      </c>
      <c r="I1835" s="48" t="n">
        <v>7</v>
      </c>
      <c r="J1835" s="48" t="n">
        <v>26400</v>
      </c>
      <c r="K1835" s="47">
        <f t="array" ref="K1835">_xlfn.XLOOKUP(1,(참조!$B$2:$B$15=E1835)*(참조!$D$2:$D$15=C1835)*(참조!$E$2:$E$15=D1835),참조!$C$2:$C$15,"")</f>
        <v/>
      </c>
    </row>
    <row r="1836" hidden="1" s="27">
      <c r="A1836" s="47" t="inlineStr">
        <is>
          <t>아이즈모바일</t>
        </is>
      </c>
      <c r="B1836" s="47" t="inlineStr">
        <is>
          <t>[K]다이소 100분/15GB+</t>
        </is>
      </c>
      <c r="C1836" s="47" t="inlineStr">
        <is>
          <t>100분</t>
        </is>
      </c>
      <c r="D1836" s="47" t="inlineStr">
        <is>
          <t>100건</t>
        </is>
      </c>
      <c r="E1836" s="47" t="inlineStr">
        <is>
          <t>월 15GB + 3Mbps</t>
        </is>
      </c>
      <c r="F1836" s="47" t="inlineStr">
        <is>
          <t>KT</t>
        </is>
      </c>
      <c r="G1836" s="47" t="inlineStr">
        <is>
          <t>LTE</t>
        </is>
      </c>
      <c r="H1836" s="48" t="n">
        <v>37400</v>
      </c>
      <c r="I1836" s="48" t="n"/>
      <c r="J1836" s="48" t="n"/>
      <c r="K1836" s="47">
        <f t="array" ref="K1836">_xlfn.XLOOKUP(1,(참조!$B$2:$B$15=E1836)*(참조!$D$2:$D$15=C1836)*(참조!$E$2:$E$15=D1836),참조!$C$2:$C$15,"")</f>
        <v/>
      </c>
    </row>
    <row r="1837" hidden="1" s="27">
      <c r="A1837" s="47" t="inlineStr">
        <is>
          <t>아이즈모바일</t>
        </is>
      </c>
      <c r="B1837" s="47" t="inlineStr">
        <is>
          <t>[K]올리브영 100분/15GB+</t>
        </is>
      </c>
      <c r="C1837" s="47" t="inlineStr">
        <is>
          <t>100분</t>
        </is>
      </c>
      <c r="D1837" s="47" t="inlineStr">
        <is>
          <t>100건</t>
        </is>
      </c>
      <c r="E1837" s="47" t="inlineStr">
        <is>
          <t>월 15GB + 3Mbps</t>
        </is>
      </c>
      <c r="F1837" s="47" t="inlineStr">
        <is>
          <t>KT</t>
        </is>
      </c>
      <c r="G1837" s="47" t="inlineStr">
        <is>
          <t>LTE</t>
        </is>
      </c>
      <c r="H1837" s="48" t="n">
        <v>37400</v>
      </c>
      <c r="I1837" s="48" t="n"/>
      <c r="J1837" s="48" t="n"/>
      <c r="K1837" s="47">
        <f t="array" ref="K1837">_xlfn.XLOOKUP(1,(참조!$B$2:$B$15=E1837)*(참조!$D$2:$D$15=C1837)*(참조!$E$2:$E$15=D1837),참조!$C$2:$C$15,"")</f>
        <v/>
      </c>
    </row>
    <row r="1838" hidden="1" s="27">
      <c r="A1838" s="47" t="inlineStr">
        <is>
          <t>에이모바일</t>
        </is>
      </c>
      <c r="B1838" s="47" t="inlineStr">
        <is>
          <t>A 올라잇 15GB+/100분 네이버페이</t>
        </is>
      </c>
      <c r="C1838" s="47" t="inlineStr">
        <is>
          <t>100분</t>
        </is>
      </c>
      <c r="D1838" s="47" t="inlineStr">
        <is>
          <t>100건</t>
        </is>
      </c>
      <c r="E1838" s="47" t="inlineStr">
        <is>
          <t>월 15GB + 3Mbps</t>
        </is>
      </c>
      <c r="F1838" s="47" t="inlineStr">
        <is>
          <t>KT</t>
        </is>
      </c>
      <c r="G1838" s="47" t="inlineStr">
        <is>
          <t>LTE</t>
        </is>
      </c>
      <c r="H1838" s="48" t="n">
        <v>19500</v>
      </c>
      <c r="I1838" s="48" t="n">
        <v>7</v>
      </c>
      <c r="J1838" s="48" t="n">
        <v>38500</v>
      </c>
      <c r="K1838" s="47">
        <f t="array" ref="K1838">_xlfn.XLOOKUP(1,(참조!$B$2:$B$15=E1838)*(참조!$D$2:$D$15=C1838)*(참조!$E$2:$E$15=D1838),참조!$C$2:$C$15,"")</f>
        <v/>
      </c>
    </row>
    <row r="1839" hidden="1" s="27">
      <c r="A1839" s="47" t="inlineStr">
        <is>
          <t>모빙</t>
        </is>
      </c>
      <c r="B1839" s="47" t="inlineStr">
        <is>
          <t>쏙쏙 매일30분3GB</t>
        </is>
      </c>
      <c r="C1839" s="47" t="inlineStr">
        <is>
          <t>900분</t>
        </is>
      </c>
      <c r="D1839" s="47" t="inlineStr">
        <is>
          <t>100건</t>
        </is>
      </c>
      <c r="E1839" s="47" t="inlineStr">
        <is>
          <t>월 3GB</t>
        </is>
      </c>
      <c r="F1839" s="47" t="inlineStr">
        <is>
          <t>KT</t>
        </is>
      </c>
      <c r="G1839" s="47" t="inlineStr">
        <is>
          <t>LTE</t>
        </is>
      </c>
      <c r="H1839" s="48" t="n">
        <v>5500</v>
      </c>
      <c r="I1839" s="48" t="n"/>
      <c r="J1839" s="48" t="n"/>
      <c r="K1839" s="47">
        <f t="array" ref="K1839">_xlfn.XLOOKUP(1,(참조!$B$2:$B$15=E1839)*(참조!$D$2:$D$15=C1839)*(참조!$E$2:$E$15=D1839),참조!$C$2:$C$15,"")</f>
        <v/>
      </c>
    </row>
    <row r="1840" hidden="1" s="27">
      <c r="A1840" s="47" t="inlineStr">
        <is>
          <t>모빙</t>
        </is>
      </c>
      <c r="B1840" s="47" t="inlineStr">
        <is>
          <t>5G 200GB+ 지니뮤직</t>
        </is>
      </c>
      <c r="C1840" s="47" t="inlineStr">
        <is>
          <t>무제한</t>
        </is>
      </c>
      <c r="D1840" s="47" t="inlineStr">
        <is>
          <t>무제한</t>
        </is>
      </c>
      <c r="E1840" s="47" t="inlineStr">
        <is>
          <t>월 200GB + 10Mbps</t>
        </is>
      </c>
      <c r="F1840" s="47" t="inlineStr">
        <is>
          <t>KT</t>
        </is>
      </c>
      <c r="G1840" s="47" t="inlineStr">
        <is>
          <t>5G</t>
        </is>
      </c>
      <c r="H1840" s="48" t="n">
        <v>44000</v>
      </c>
      <c r="I1840" s="48" t="n">
        <v>12</v>
      </c>
      <c r="J1840" s="48" t="n">
        <v>73700</v>
      </c>
      <c r="K1840" s="47">
        <f t="array" ref="K1840">_xlfn.XLOOKUP(1,(참조!$B$2:$B$15=E1840)*(참조!$D$2:$D$15=C1840)*(참조!$E$2:$E$15=D1840),참조!$C$2:$C$15,"")</f>
        <v/>
      </c>
    </row>
    <row r="1841" hidden="1" s="27">
      <c r="A1841" s="47" t="inlineStr">
        <is>
          <t>아이즈모바일</t>
        </is>
      </c>
      <c r="B1841" s="47" t="inlineStr">
        <is>
          <t>[K]롯시&amp;밀리 10GB+</t>
        </is>
      </c>
      <c r="C1841" s="47" t="inlineStr">
        <is>
          <t>무제한</t>
        </is>
      </c>
      <c r="D1841" s="47" t="inlineStr">
        <is>
          <t>무제한</t>
        </is>
      </c>
      <c r="E1841" s="47" t="inlineStr">
        <is>
          <t>월 10GB + 1Mbps</t>
        </is>
      </c>
      <c r="F1841" s="47" t="inlineStr">
        <is>
          <t>KT</t>
        </is>
      </c>
      <c r="G1841" s="47" t="inlineStr">
        <is>
          <t>LTE</t>
        </is>
      </c>
      <c r="H1841" s="48" t="n">
        <v>6900</v>
      </c>
      <c r="I1841" s="48" t="n">
        <v>7</v>
      </c>
      <c r="J1841" s="48" t="n">
        <v>31900</v>
      </c>
      <c r="K1841" s="47">
        <f t="array" ref="K1841">_xlfn.XLOOKUP(1,(참조!$B$2:$B$15=E1841)*(참조!$D$2:$D$15=C1841)*(참조!$E$2:$E$15=D1841),참조!$C$2:$C$15,"")</f>
        <v/>
      </c>
    </row>
    <row r="1842" hidden="1" s="27">
      <c r="A1842" s="47" t="inlineStr">
        <is>
          <t>모빙</t>
        </is>
      </c>
      <c r="B1842" s="47" t="inlineStr">
        <is>
          <t>[L] 데이터 7GB+</t>
        </is>
      </c>
      <c r="C1842" s="47" t="inlineStr">
        <is>
          <t>무제한</t>
        </is>
      </c>
      <c r="D1842" s="47" t="inlineStr">
        <is>
          <t>무제한</t>
        </is>
      </c>
      <c r="E1842" s="47" t="inlineStr">
        <is>
          <t>월 7GB + 1Mbps</t>
        </is>
      </c>
      <c r="F1842" s="47" t="inlineStr">
        <is>
          <t>LG U+</t>
        </is>
      </c>
      <c r="G1842" s="47" t="inlineStr">
        <is>
          <t>LTE</t>
        </is>
      </c>
      <c r="H1842" s="48" t="n">
        <v>7700</v>
      </c>
      <c r="I1842" s="48" t="n">
        <v>7</v>
      </c>
      <c r="J1842" s="48" t="n">
        <v>26400</v>
      </c>
      <c r="K1842" s="47">
        <f t="array" ref="K1842">_xlfn.XLOOKUP(1,(참조!$B$2:$B$15=E1842)*(참조!$D$2:$D$15=C1842)*(참조!$E$2:$E$15=D1842),참조!$C$2:$C$15,"")</f>
        <v/>
      </c>
    </row>
    <row r="1843" hidden="1" s="27">
      <c r="A1843" s="47" t="inlineStr">
        <is>
          <t>에이모바일</t>
        </is>
      </c>
      <c r="B1843" s="47" t="inlineStr">
        <is>
          <t>A 올라잇 15GB+/300분 네이버페이</t>
        </is>
      </c>
      <c r="C1843" s="47" t="inlineStr">
        <is>
          <t>300분</t>
        </is>
      </c>
      <c r="D1843" s="47" t="inlineStr">
        <is>
          <t>300건</t>
        </is>
      </c>
      <c r="E1843" s="47" t="inlineStr">
        <is>
          <t>월 15GB + 3Mbps</t>
        </is>
      </c>
      <c r="F1843" s="47" t="inlineStr">
        <is>
          <t>KT</t>
        </is>
      </c>
      <c r="G1843" s="47" t="inlineStr">
        <is>
          <t>LTE</t>
        </is>
      </c>
      <c r="H1843" s="48" t="n">
        <v>20500</v>
      </c>
      <c r="I1843" s="48" t="n">
        <v>7</v>
      </c>
      <c r="J1843" s="48" t="n">
        <v>40700</v>
      </c>
      <c r="K1843" s="47">
        <f t="array" ref="K1843">_xlfn.XLOOKUP(1,(참조!$B$2:$B$15=E1843)*(참조!$D$2:$D$15=C1843)*(참조!$E$2:$E$15=D1843),참조!$C$2:$C$15,"")</f>
        <v/>
      </c>
    </row>
    <row r="1844" hidden="1" s="27">
      <c r="A1844" s="47" t="inlineStr">
        <is>
          <t>에이모바일</t>
        </is>
      </c>
      <c r="B1844" s="47" t="inlineStr">
        <is>
          <t>A 넥스트 7GB+(네이버페이 1만x7개월)</t>
        </is>
      </c>
      <c r="C1844" s="47" t="inlineStr">
        <is>
          <t>무제한</t>
        </is>
      </c>
      <c r="D1844" s="47" t="inlineStr">
        <is>
          <t>무제한</t>
        </is>
      </c>
      <c r="E1844" s="47" t="inlineStr">
        <is>
          <t>월 7GB + 1Mbps</t>
        </is>
      </c>
      <c r="F1844" s="47" t="inlineStr">
        <is>
          <t>SKT</t>
        </is>
      </c>
      <c r="G1844" s="47" t="inlineStr">
        <is>
          <t>LTE</t>
        </is>
      </c>
      <c r="H1844" s="48" t="n">
        <v>11000</v>
      </c>
      <c r="I1844" s="48" t="n">
        <v>7</v>
      </c>
      <c r="J1844" s="48" t="n">
        <v>18900</v>
      </c>
      <c r="K1844" s="47">
        <f t="array" ref="K1844">_xlfn.XLOOKUP(1,(참조!$B$2:$B$15=E1844)*(참조!$D$2:$D$15=C1844)*(참조!$E$2:$E$15=D1844),참조!$C$2:$C$15,"")</f>
        <v/>
      </c>
    </row>
    <row r="1845" hidden="1" s="27">
      <c r="A1845" s="47" t="inlineStr">
        <is>
          <t>스마텔</t>
        </is>
      </c>
      <c r="B1845" s="47" t="inlineStr">
        <is>
          <t>5G 스마일 플러스 (100분+3GB)</t>
        </is>
      </c>
      <c r="C1845" s="47" t="inlineStr">
        <is>
          <t>100분</t>
        </is>
      </c>
      <c r="D1845" s="47" t="inlineStr">
        <is>
          <t>100건</t>
        </is>
      </c>
      <c r="E1845" s="47" t="inlineStr">
        <is>
          <t>월 3GB</t>
        </is>
      </c>
      <c r="F1845" s="47" t="inlineStr">
        <is>
          <t>SKT</t>
        </is>
      </c>
      <c r="G1845" s="47" t="inlineStr">
        <is>
          <t>5G</t>
        </is>
      </c>
      <c r="H1845" s="48" t="n">
        <v>2950</v>
      </c>
      <c r="I1845" s="48" t="n">
        <v>5</v>
      </c>
      <c r="J1845" s="48" t="n">
        <v>9000</v>
      </c>
      <c r="K1845" s="47">
        <f t="array" ref="K1845">_xlfn.XLOOKUP(1,(참조!$B$2:$B$15=E1845)*(참조!$D$2:$D$15=C1845)*(참조!$E$2:$E$15=D1845),참조!$C$2:$C$15,"")</f>
        <v/>
      </c>
    </row>
    <row r="1846" hidden="1" s="27">
      <c r="A1846" s="47" t="inlineStr">
        <is>
          <t>아이즈모바일</t>
        </is>
      </c>
      <c r="B1846" s="47" t="inlineStr">
        <is>
          <t>[S]스페셜11GB+</t>
        </is>
      </c>
      <c r="C1846" s="47" t="inlineStr">
        <is>
          <t>무제한</t>
        </is>
      </c>
      <c r="D1846" s="47" t="inlineStr">
        <is>
          <t>무제한</t>
        </is>
      </c>
      <c r="E1846" s="47" t="inlineStr">
        <is>
          <t>월 11GB + 매일 2GB + 3Mbps</t>
        </is>
      </c>
      <c r="F1846" s="47" t="inlineStr">
        <is>
          <t>SKT</t>
        </is>
      </c>
      <c r="G1846" s="47" t="inlineStr">
        <is>
          <t>LTE</t>
        </is>
      </c>
      <c r="H1846" s="48" t="n">
        <v>38600</v>
      </c>
      <c r="I1846" s="48" t="n"/>
      <c r="J1846" s="48" t="n"/>
      <c r="K1846" s="47">
        <f t="array" ref="K1846">_xlfn.XLOOKUP(1,(참조!$B$2:$B$15=E1846)*(참조!$D$2:$D$15=C1846)*(참조!$E$2:$E$15=D1846),참조!$C$2:$C$15,"")</f>
        <v/>
      </c>
    </row>
    <row r="1847" hidden="1" s="27">
      <c r="A1847" s="47" t="inlineStr">
        <is>
          <t>아이즈모바일</t>
        </is>
      </c>
      <c r="B1847" s="47" t="inlineStr">
        <is>
          <t>[K]그란데(100분/6GB)</t>
        </is>
      </c>
      <c r="C1847" s="47" t="inlineStr">
        <is>
          <t>100분</t>
        </is>
      </c>
      <c r="D1847" s="47" t="inlineStr">
        <is>
          <t>100건</t>
        </is>
      </c>
      <c r="E1847" s="47" t="inlineStr">
        <is>
          <t>월 6GB</t>
        </is>
      </c>
      <c r="F1847" s="47" t="inlineStr">
        <is>
          <t>KT</t>
        </is>
      </c>
      <c r="G1847" s="47" t="inlineStr">
        <is>
          <t>LTE</t>
        </is>
      </c>
      <c r="H1847" s="48" t="n">
        <v>15100</v>
      </c>
      <c r="I1847" s="48" t="n"/>
      <c r="J1847" s="48" t="n"/>
      <c r="K1847" s="47">
        <f t="array" ref="K1847">_xlfn.XLOOKUP(1,(참조!$B$2:$B$15=E1847)*(참조!$D$2:$D$15=C1847)*(참조!$E$2:$E$15=D1847),참조!$C$2:$C$15,"")</f>
        <v/>
      </c>
    </row>
    <row r="1848" hidden="1" s="27">
      <c r="A1848" s="47" t="inlineStr">
        <is>
          <t>이야기모바일</t>
        </is>
      </c>
      <c r="B1848" s="47" t="inlineStr">
        <is>
          <t>내맘대로S(100+3GB)</t>
        </is>
      </c>
      <c r="C1848" s="47" t="inlineStr">
        <is>
          <t>100분</t>
        </is>
      </c>
      <c r="D1848" s="47" t="inlineStr">
        <is>
          <t>100건</t>
        </is>
      </c>
      <c r="E1848" s="47" t="inlineStr">
        <is>
          <t>월 3GB</t>
        </is>
      </c>
      <c r="F1848" s="47" t="inlineStr">
        <is>
          <t>SKT</t>
        </is>
      </c>
      <c r="G1848" s="47" t="inlineStr">
        <is>
          <t>LTE</t>
        </is>
      </c>
      <c r="H1848" s="48" t="n">
        <v>3000</v>
      </c>
      <c r="I1848" s="48" t="n">
        <v>4</v>
      </c>
      <c r="J1848" s="48" t="n">
        <v>7700</v>
      </c>
      <c r="K1848" s="47">
        <f t="array" ref="K1848">_xlfn.XLOOKUP(1,(참조!$B$2:$B$15=E1848)*(참조!$D$2:$D$15=C1848)*(참조!$E$2:$E$15=D1848),참조!$C$2:$C$15,"")</f>
        <v/>
      </c>
    </row>
    <row r="1849" hidden="1" s="27">
      <c r="A1849" s="47" t="inlineStr">
        <is>
          <t>인스모바일</t>
        </is>
      </c>
      <c r="B1849" s="47" t="inlineStr">
        <is>
          <t>인스 유심 스피드(5G) 9GB+</t>
        </is>
      </c>
      <c r="C1849" s="47" t="inlineStr">
        <is>
          <t>무제한</t>
        </is>
      </c>
      <c r="D1849" s="47" t="inlineStr">
        <is>
          <t>무제한</t>
        </is>
      </c>
      <c r="E1849" s="47" t="inlineStr">
        <is>
          <t>월 9GB + 1Mbps</t>
        </is>
      </c>
      <c r="F1849" s="47" t="inlineStr">
        <is>
          <t>LG U+</t>
        </is>
      </c>
      <c r="G1849" s="47" t="inlineStr">
        <is>
          <t>5G</t>
        </is>
      </c>
      <c r="H1849" s="48" t="n">
        <v>17000</v>
      </c>
      <c r="I1849" s="48" t="n">
        <v>7</v>
      </c>
      <c r="J1849" s="48" t="n">
        <v>43400</v>
      </c>
      <c r="K1849" s="47">
        <f t="array" ref="K1849">_xlfn.XLOOKUP(1,(참조!$B$2:$B$15=E1849)*(참조!$D$2:$D$15=C1849)*(참조!$E$2:$E$15=D1849),참조!$C$2:$C$15,"")</f>
        <v/>
      </c>
    </row>
    <row r="1850" hidden="1" s="27">
      <c r="A1850" s="47" t="inlineStr">
        <is>
          <t>아이즈모바일</t>
        </is>
      </c>
      <c r="B1850" s="47" t="inlineStr">
        <is>
          <t>[S]OK캐쉬백 10GB+</t>
        </is>
      </c>
      <c r="C1850" s="47" t="inlineStr">
        <is>
          <t>무제한</t>
        </is>
      </c>
      <c r="D1850" s="47" t="inlineStr">
        <is>
          <t>무제한</t>
        </is>
      </c>
      <c r="E1850" s="47" t="inlineStr">
        <is>
          <t>월 10GB + 1Mbps</t>
        </is>
      </c>
      <c r="F1850" s="47" t="inlineStr">
        <is>
          <t>SKT</t>
        </is>
      </c>
      <c r="G1850" s="47" t="inlineStr">
        <is>
          <t>LTE</t>
        </is>
      </c>
      <c r="H1850" s="48" t="n">
        <v>21900</v>
      </c>
      <c r="I1850" s="48" t="n">
        <v>12</v>
      </c>
      <c r="J1850" s="48" t="n">
        <v>31900</v>
      </c>
      <c r="K1850" s="47">
        <f t="array" ref="K1850">_xlfn.XLOOKUP(1,(참조!$B$2:$B$15=E1850)*(참조!$D$2:$D$15=C1850)*(참조!$E$2:$E$15=D1850),참조!$C$2:$C$15,"")</f>
        <v/>
      </c>
    </row>
    <row r="1851" hidden="1" s="27">
      <c r="A1851" s="47" t="inlineStr">
        <is>
          <t>아이즈모바일</t>
        </is>
      </c>
      <c r="B1851" s="47" t="inlineStr">
        <is>
          <t>[K]아이즈특판10GB+</t>
        </is>
      </c>
      <c r="C1851" s="47" t="inlineStr">
        <is>
          <t>무제한</t>
        </is>
      </c>
      <c r="D1851" s="47" t="inlineStr">
        <is>
          <t>무제한</t>
        </is>
      </c>
      <c r="E1851" s="47" t="inlineStr">
        <is>
          <t>월 10GB + 1Mbps</t>
        </is>
      </c>
      <c r="F1851" s="47" t="inlineStr">
        <is>
          <t>KT</t>
        </is>
      </c>
      <c r="G1851" s="47" t="inlineStr">
        <is>
          <t>LTE</t>
        </is>
      </c>
      <c r="H1851" s="48" t="n">
        <v>22000</v>
      </c>
      <c r="I1851" s="48" t="n"/>
      <c r="J1851" s="48" t="n"/>
      <c r="K1851" s="47">
        <f t="array" ref="K1851">_xlfn.XLOOKUP(1,(참조!$B$2:$B$15=E1851)*(참조!$D$2:$D$15=C1851)*(참조!$E$2:$E$15=D1851),참조!$C$2:$C$15,"")</f>
        <v/>
      </c>
    </row>
    <row r="1852" hidden="1" s="27">
      <c r="A1852" s="47" t="inlineStr">
        <is>
          <t>모빙</t>
        </is>
      </c>
      <c r="B1852" s="47" t="inlineStr">
        <is>
          <t>모두다 막힘없이 11GB+ 왓챠</t>
        </is>
      </c>
      <c r="C1852" s="47" t="inlineStr">
        <is>
          <t>무제한</t>
        </is>
      </c>
      <c r="D1852" s="47" t="inlineStr">
        <is>
          <t>무제한</t>
        </is>
      </c>
      <c r="E1852" s="47" t="inlineStr">
        <is>
          <t>월 11GB + 매일 2GB + 3Mbps</t>
        </is>
      </c>
      <c r="F1852" s="47" t="inlineStr">
        <is>
          <t>KT</t>
        </is>
      </c>
      <c r="G1852" s="47" t="inlineStr">
        <is>
          <t>LTE</t>
        </is>
      </c>
      <c r="H1852" s="48" t="n">
        <v>25080</v>
      </c>
      <c r="I1852" s="48" t="n">
        <v>7</v>
      </c>
      <c r="J1852" s="48" t="n">
        <v>49500</v>
      </c>
      <c r="K1852" s="47">
        <f t="array" ref="K1852">_xlfn.XLOOKUP(1,(참조!$B$2:$B$15=E1852)*(참조!$D$2:$D$15=C1852)*(참조!$E$2:$E$15=D1852),참조!$C$2:$C$15,"")</f>
        <v/>
      </c>
    </row>
    <row r="1853" hidden="1" s="27">
      <c r="A1853" s="47" t="inlineStr">
        <is>
          <t>이야기모바일</t>
        </is>
      </c>
      <c r="B1853" s="47" t="inlineStr">
        <is>
          <t>5G 이야기 무한 99GB</t>
        </is>
      </c>
      <c r="C1853" s="47" t="inlineStr">
        <is>
          <t>무제한</t>
        </is>
      </c>
      <c r="D1853" s="47" t="inlineStr">
        <is>
          <t>무제한</t>
        </is>
      </c>
      <c r="E1853" s="47" t="inlineStr">
        <is>
          <t>월 99GB + 1Mbps</t>
        </is>
      </c>
      <c r="F1853" s="47" t="inlineStr">
        <is>
          <t>SKT</t>
        </is>
      </c>
      <c r="G1853" s="47" t="inlineStr">
        <is>
          <t>5G</t>
        </is>
      </c>
      <c r="H1853" s="48" t="n">
        <v>41800</v>
      </c>
      <c r="I1853" s="48" t="n">
        <v>7</v>
      </c>
      <c r="J1853" s="48" t="n">
        <v>47300</v>
      </c>
      <c r="K1853" s="47">
        <f t="array" ref="K1853">_xlfn.XLOOKUP(1,(참조!$B$2:$B$15=E1853)*(참조!$D$2:$D$15=C1853)*(참조!$E$2:$E$15=D1853),참조!$C$2:$C$15,"")</f>
        <v/>
      </c>
    </row>
    <row r="1854" hidden="1" s="27">
      <c r="A1854" s="47" t="inlineStr">
        <is>
          <t>아이즈모바일</t>
        </is>
      </c>
      <c r="B1854" s="47" t="inlineStr">
        <is>
          <t>[K]올리브영 300분/15GB+</t>
        </is>
      </c>
      <c r="C1854" s="47" t="inlineStr">
        <is>
          <t>300분</t>
        </is>
      </c>
      <c r="D1854" s="47" t="inlineStr">
        <is>
          <t>300건</t>
        </is>
      </c>
      <c r="E1854" s="47" t="inlineStr">
        <is>
          <t>월 15GB + 3Mbps</t>
        </is>
      </c>
      <c r="F1854" s="47" t="inlineStr">
        <is>
          <t>KT</t>
        </is>
      </c>
      <c r="G1854" s="47" t="inlineStr">
        <is>
          <t>LTE</t>
        </is>
      </c>
      <c r="H1854" s="48" t="n">
        <v>39600</v>
      </c>
      <c r="I1854" s="48" t="n"/>
      <c r="J1854" s="48" t="n"/>
      <c r="K1854" s="47">
        <f t="array" ref="K1854">_xlfn.XLOOKUP(1,(참조!$B$2:$B$15=E1854)*(참조!$D$2:$D$15=C1854)*(참조!$E$2:$E$15=D1854),참조!$C$2:$C$15,"")</f>
        <v/>
      </c>
    </row>
    <row r="1855" hidden="1" s="27">
      <c r="A1855" s="47" t="inlineStr">
        <is>
          <t>아이즈모바일</t>
        </is>
      </c>
      <c r="B1855" s="47" t="inlineStr">
        <is>
          <t>[K]다이소 300분/15GB+</t>
        </is>
      </c>
      <c r="C1855" s="47" t="inlineStr">
        <is>
          <t>300분</t>
        </is>
      </c>
      <c r="D1855" s="47" t="inlineStr">
        <is>
          <t>300건</t>
        </is>
      </c>
      <c r="E1855" s="47" t="inlineStr">
        <is>
          <t>월 15GB + 3Mbps</t>
        </is>
      </c>
      <c r="F1855" s="47" t="inlineStr">
        <is>
          <t>KT</t>
        </is>
      </c>
      <c r="G1855" s="47" t="inlineStr">
        <is>
          <t>LTE</t>
        </is>
      </c>
      <c r="H1855" s="48" t="n">
        <v>39600</v>
      </c>
      <c r="I1855" s="48" t="n"/>
      <c r="J1855" s="48" t="n"/>
      <c r="K1855" s="47">
        <f t="array" ref="K1855">_xlfn.XLOOKUP(1,(참조!$B$2:$B$15=E1855)*(참조!$D$2:$D$15=C1855)*(참조!$E$2:$E$15=D1855),참조!$C$2:$C$15,"")</f>
        <v/>
      </c>
    </row>
    <row r="1856" hidden="1" s="27">
      <c r="A1856" s="47" t="inlineStr">
        <is>
          <t>고고모바일</t>
        </is>
      </c>
      <c r="B1856" s="47" t="inlineStr">
        <is>
          <t>LTE200분/4GB-데이터소진후 자동차단</t>
        </is>
      </c>
      <c r="C1856" s="47" t="inlineStr">
        <is>
          <t>200분</t>
        </is>
      </c>
      <c r="D1856" s="47" t="inlineStr">
        <is>
          <t>200건</t>
        </is>
      </c>
      <c r="E1856" s="47" t="inlineStr">
        <is>
          <t>월 4GB</t>
        </is>
      </c>
      <c r="F1856" s="47" t="inlineStr">
        <is>
          <t>KT</t>
        </is>
      </c>
      <c r="G1856" s="47" t="inlineStr">
        <is>
          <t>LTE</t>
        </is>
      </c>
      <c r="H1856" s="48" t="n">
        <v>11000</v>
      </c>
      <c r="I1856" s="48" t="n"/>
      <c r="J1856" s="48" t="n"/>
      <c r="K1856" s="47">
        <f t="array" ref="K1856">_xlfn.XLOOKUP(1,(참조!$B$2:$B$15=E1856)*(참조!$D$2:$D$15=C1856)*(참조!$E$2:$E$15=D1856),참조!$C$2:$C$15,"")</f>
        <v/>
      </c>
    </row>
    <row r="1857" hidden="1" s="27">
      <c r="A1857" s="47" t="inlineStr">
        <is>
          <t>리브모바일</t>
        </is>
      </c>
      <c r="B1857" s="47" t="inlineStr">
        <is>
          <t>LTE 든든 5GB</t>
        </is>
      </c>
      <c r="C1857" s="47" t="inlineStr">
        <is>
          <t>무제한</t>
        </is>
      </c>
      <c r="D1857" s="47" t="inlineStr">
        <is>
          <t>무제한</t>
        </is>
      </c>
      <c r="E1857" s="47" t="inlineStr">
        <is>
          <t>월 5GB</t>
        </is>
      </c>
      <c r="F1857" s="47" t="inlineStr">
        <is>
          <t>LG U+</t>
        </is>
      </c>
      <c r="G1857" s="47" t="inlineStr">
        <is>
          <t>LTE</t>
        </is>
      </c>
      <c r="H1857" s="48" t="n">
        <v>10500</v>
      </c>
      <c r="I1857" s="48" t="n">
        <v>12</v>
      </c>
      <c r="J1857" s="48" t="n">
        <v>14900</v>
      </c>
      <c r="K1857" s="47">
        <f t="array" ref="K1857">_xlfn.XLOOKUP(1,(참조!$B$2:$B$15=E1857)*(참조!$D$2:$D$15=C1857)*(참조!$E$2:$E$15=D1857),참조!$C$2:$C$15,"")</f>
        <v/>
      </c>
    </row>
    <row r="1858" hidden="1" s="27">
      <c r="A1858" s="47" t="inlineStr">
        <is>
          <t>모빙</t>
        </is>
      </c>
      <c r="B1858" s="47" t="inlineStr">
        <is>
          <t>[S] 데이터 11GB+_Y</t>
        </is>
      </c>
      <c r="C1858" s="47" t="inlineStr">
        <is>
          <t>무제한</t>
        </is>
      </c>
      <c r="D1858" s="47" t="inlineStr">
        <is>
          <t>무제한</t>
        </is>
      </c>
      <c r="E1858" s="47" t="inlineStr">
        <is>
          <t>월 11GB + 매일 2GB + 3Mbps</t>
        </is>
      </c>
      <c r="F1858" s="47" t="inlineStr">
        <is>
          <t>SKT</t>
        </is>
      </c>
      <c r="G1858" s="47" t="inlineStr">
        <is>
          <t>LTE</t>
        </is>
      </c>
      <c r="H1858" s="48" t="n">
        <v>25900</v>
      </c>
      <c r="I1858" s="48" t="n">
        <v>7</v>
      </c>
      <c r="J1858" s="48" t="n">
        <v>49500</v>
      </c>
      <c r="K1858" s="47">
        <f t="array" ref="K1858">_xlfn.XLOOKUP(1,(참조!$B$2:$B$15=E1858)*(참조!$D$2:$D$15=C1858)*(참조!$E$2:$E$15=D1858),참조!$C$2:$C$15,"")</f>
        <v/>
      </c>
    </row>
    <row r="1859" hidden="1" s="27">
      <c r="A1859" s="47" t="inlineStr">
        <is>
          <t>아이즈모바일</t>
        </is>
      </c>
      <c r="B1859" s="47" t="inlineStr">
        <is>
          <t>[S]스페셜7GB+</t>
        </is>
      </c>
      <c r="C1859" s="47" t="inlineStr">
        <is>
          <t>무제한</t>
        </is>
      </c>
      <c r="D1859" s="47" t="inlineStr">
        <is>
          <t>무제한</t>
        </is>
      </c>
      <c r="E1859" s="47" t="inlineStr">
        <is>
          <t>월 7GB + 1Mbps</t>
        </is>
      </c>
      <c r="F1859" s="47" t="inlineStr">
        <is>
          <t>SKT</t>
        </is>
      </c>
      <c r="G1859" s="47" t="inlineStr">
        <is>
          <t>LTE</t>
        </is>
      </c>
      <c r="H1859" s="48" t="n">
        <v>23600</v>
      </c>
      <c r="I1859" s="48" t="n"/>
      <c r="J1859" s="48" t="n"/>
      <c r="K1859" s="47">
        <f t="array" ref="K1859">_xlfn.XLOOKUP(1,(참조!$B$2:$B$15=E1859)*(참조!$D$2:$D$15=C1859)*(참조!$E$2:$E$15=D1859),참조!$C$2:$C$15,"")</f>
        <v/>
      </c>
    </row>
    <row r="1860" hidden="1" s="27">
      <c r="A1860" s="47" t="inlineStr">
        <is>
          <t>이야기모바일</t>
        </is>
      </c>
      <c r="B1860" s="47" t="inlineStr">
        <is>
          <t>5G 이야기 무한 54GB</t>
        </is>
      </c>
      <c r="C1860" s="47" t="inlineStr">
        <is>
          <t>무제한</t>
        </is>
      </c>
      <c r="D1860" s="47" t="inlineStr">
        <is>
          <t>무제한</t>
        </is>
      </c>
      <c r="E1860" s="47" t="inlineStr">
        <is>
          <t>월 54GB + 1Mbps</t>
        </is>
      </c>
      <c r="F1860" s="47" t="inlineStr">
        <is>
          <t>SKT</t>
        </is>
      </c>
      <c r="G1860" s="47" t="inlineStr">
        <is>
          <t>5G</t>
        </is>
      </c>
      <c r="H1860" s="48" t="n">
        <v>39600</v>
      </c>
      <c r="I1860" s="48" t="n">
        <v>7</v>
      </c>
      <c r="J1860" s="48" t="n">
        <v>45100</v>
      </c>
      <c r="K1860" s="47">
        <f t="array" ref="K1860">_xlfn.XLOOKUP(1,(참조!$B$2:$B$15=E1860)*(참조!$D$2:$D$15=C1860)*(참조!$E$2:$E$15=D1860),참조!$C$2:$C$15,"")</f>
        <v/>
      </c>
    </row>
    <row r="1861" hidden="1" s="27">
      <c r="A1861" s="47" t="inlineStr">
        <is>
          <t>이야기모바일</t>
        </is>
      </c>
      <c r="B1861" s="47" t="inlineStr">
        <is>
          <t>이야기 라이트 200분2.5GB+</t>
        </is>
      </c>
      <c r="C1861" s="47" t="inlineStr">
        <is>
          <t>200분</t>
        </is>
      </c>
      <c r="D1861" s="47" t="inlineStr">
        <is>
          <t>100건</t>
        </is>
      </c>
      <c r="E1861" s="47" t="inlineStr">
        <is>
          <t>월 2.5GB + 1Mbps</t>
        </is>
      </c>
      <c r="F1861" s="47" t="inlineStr">
        <is>
          <t>LG U+</t>
        </is>
      </c>
      <c r="G1861" s="47" t="inlineStr">
        <is>
          <t>LTE</t>
        </is>
      </c>
      <c r="H1861" s="48" t="n">
        <v>3300</v>
      </c>
      <c r="I1861" s="48" t="n">
        <v>6</v>
      </c>
      <c r="J1861" s="48" t="n">
        <v>12100</v>
      </c>
      <c r="K1861" s="47">
        <f t="array" ref="K1861">_xlfn.XLOOKUP(1,(참조!$B$2:$B$15=E1861)*(참조!$D$2:$D$15=C1861)*(참조!$E$2:$E$15=D1861),참조!$C$2:$C$15,"")</f>
        <v/>
      </c>
    </row>
    <row r="1862" hidden="1" s="27">
      <c r="A1862" s="47" t="inlineStr">
        <is>
          <t>모빙</t>
        </is>
      </c>
      <c r="B1862" s="47" t="inlineStr">
        <is>
          <t>모빙 데이터 1.5GB</t>
        </is>
      </c>
      <c r="C1862" s="47" t="inlineStr">
        <is>
          <t>무제한</t>
        </is>
      </c>
      <c r="D1862" s="47" t="inlineStr">
        <is>
          <t>무제한</t>
        </is>
      </c>
      <c r="E1862" s="47" t="inlineStr">
        <is>
          <t>월 1.5GB + 400Kbps</t>
        </is>
      </c>
      <c r="F1862" s="47" t="inlineStr">
        <is>
          <t>SKT</t>
        </is>
      </c>
      <c r="G1862" s="47" t="inlineStr">
        <is>
          <t>LTE</t>
        </is>
      </c>
      <c r="H1862" s="48" t="n">
        <v>15000</v>
      </c>
      <c r="I1862" s="48" t="n"/>
      <c r="J1862" s="48" t="n"/>
      <c r="K1862" s="47">
        <f t="array" ref="K1862">_xlfn.XLOOKUP(1,(참조!$B$2:$B$15=E1862)*(참조!$D$2:$D$15=C1862)*(참조!$E$2:$E$15=D1862),참조!$C$2:$C$15,"")</f>
        <v/>
      </c>
    </row>
    <row r="1863" hidden="1" s="27">
      <c r="A1863" s="47" t="inlineStr">
        <is>
          <t>모빙</t>
        </is>
      </c>
      <c r="B1863" s="47" t="inlineStr">
        <is>
          <t>[S] CU편의점 10GB+</t>
        </is>
      </c>
      <c r="C1863" s="47" t="inlineStr">
        <is>
          <t>무제한</t>
        </is>
      </c>
      <c r="D1863" s="47" t="inlineStr">
        <is>
          <t>무제한</t>
        </is>
      </c>
      <c r="E1863" s="47" t="inlineStr">
        <is>
          <t>월 10GB + 1Mbps</t>
        </is>
      </c>
      <c r="F1863" s="47" t="inlineStr">
        <is>
          <t>SKT</t>
        </is>
      </c>
      <c r="G1863" s="47" t="inlineStr">
        <is>
          <t>LTE</t>
        </is>
      </c>
      <c r="H1863" s="48" t="n">
        <v>11000</v>
      </c>
      <c r="I1863" s="48" t="n">
        <v>7</v>
      </c>
      <c r="J1863" s="48" t="n">
        <v>47300</v>
      </c>
      <c r="K1863" s="47">
        <f t="array" ref="K1863">_xlfn.XLOOKUP(1,(참조!$B$2:$B$15=E1863)*(참조!$D$2:$D$15=C1863)*(참조!$E$2:$E$15=D1863),참조!$C$2:$C$15,"")</f>
        <v/>
      </c>
    </row>
    <row r="1864" hidden="1" s="27">
      <c r="A1864" s="47" t="inlineStr">
        <is>
          <t>스마텔</t>
        </is>
      </c>
      <c r="B1864" s="47" t="inlineStr">
        <is>
          <t>후후 플러스 (100분+3GB)</t>
        </is>
      </c>
      <c r="C1864" s="47" t="inlineStr">
        <is>
          <t>100분</t>
        </is>
      </c>
      <c r="D1864" s="47" t="inlineStr">
        <is>
          <t>100건</t>
        </is>
      </c>
      <c r="E1864" s="47" t="inlineStr">
        <is>
          <t>월 3GB</t>
        </is>
      </c>
      <c r="F1864" s="47" t="inlineStr">
        <is>
          <t>SKT</t>
        </is>
      </c>
      <c r="G1864" s="47" t="inlineStr">
        <is>
          <t>LTE</t>
        </is>
      </c>
      <c r="H1864" s="48" t="n">
        <v>3190</v>
      </c>
      <c r="I1864" s="48" t="n">
        <v>5</v>
      </c>
      <c r="J1864" s="48" t="n">
        <v>5830</v>
      </c>
      <c r="K1864" s="47">
        <f t="array" ref="K1864">_xlfn.XLOOKUP(1,(참조!$B$2:$B$15=E1864)*(참조!$D$2:$D$15=C1864)*(참조!$E$2:$E$15=D1864),참조!$C$2:$C$15,"")</f>
        <v/>
      </c>
    </row>
    <row r="1865" hidden="1" s="27">
      <c r="A1865" s="47" t="inlineStr">
        <is>
          <t>스마텔</t>
        </is>
      </c>
      <c r="B1865" s="47" t="inlineStr">
        <is>
          <t>스마트 프로 10GB+</t>
        </is>
      </c>
      <c r="C1865" s="47" t="inlineStr">
        <is>
          <t>무제한</t>
        </is>
      </c>
      <c r="D1865" s="47" t="inlineStr">
        <is>
          <t>무제한</t>
        </is>
      </c>
      <c r="E1865" s="47" t="inlineStr">
        <is>
          <t>월 10GB + 1Mbps</t>
        </is>
      </c>
      <c r="F1865" s="47" t="inlineStr">
        <is>
          <t>LG U+</t>
        </is>
      </c>
      <c r="G1865" s="47" t="inlineStr">
        <is>
          <t>LTE</t>
        </is>
      </c>
      <c r="H1865" s="48" t="n">
        <v>14940</v>
      </c>
      <c r="I1865" s="48" t="n">
        <v>7</v>
      </c>
      <c r="J1865" s="48" t="n">
        <v>29040</v>
      </c>
      <c r="K1865" s="47">
        <f t="array" ref="K1865">_xlfn.XLOOKUP(1,(참조!$B$2:$B$15=E1865)*(참조!$D$2:$D$15=C1865)*(참조!$E$2:$E$15=D1865),참조!$C$2:$C$15,"")</f>
        <v/>
      </c>
    </row>
    <row r="1866" hidden="1" s="27">
      <c r="A1866" s="47" t="inlineStr">
        <is>
          <t>모빙</t>
        </is>
      </c>
      <c r="B1866" s="47" t="inlineStr">
        <is>
          <t>[K] 지니뮤직 7GB+</t>
        </is>
      </c>
      <c r="C1866" s="47" t="inlineStr">
        <is>
          <t>무제한</t>
        </is>
      </c>
      <c r="D1866" s="47" t="inlineStr">
        <is>
          <t>무제한</t>
        </is>
      </c>
      <c r="E1866" s="47" t="inlineStr">
        <is>
          <t>월 7GB + 1Mbps</t>
        </is>
      </c>
      <c r="F1866" s="47" t="inlineStr">
        <is>
          <t>KT</t>
        </is>
      </c>
      <c r="G1866" s="47" t="inlineStr">
        <is>
          <t>LTE</t>
        </is>
      </c>
      <c r="H1866" s="48" t="n">
        <v>8800</v>
      </c>
      <c r="I1866" s="48" t="n">
        <v>7</v>
      </c>
      <c r="J1866" s="48" t="n">
        <v>28600</v>
      </c>
      <c r="K1866" s="47">
        <f t="array" ref="K1866">_xlfn.XLOOKUP(1,(참조!$B$2:$B$15=E1866)*(참조!$D$2:$D$15=C1866)*(참조!$E$2:$E$15=D1866),참조!$C$2:$C$15,"")</f>
        <v/>
      </c>
    </row>
    <row r="1867" hidden="1" s="27">
      <c r="A1867" s="47" t="inlineStr">
        <is>
          <t>모빙</t>
        </is>
      </c>
      <c r="B1867" s="47" t="inlineStr">
        <is>
          <t>쏙쏙 250분(5GB)</t>
        </is>
      </c>
      <c r="C1867" s="47" t="inlineStr">
        <is>
          <t>250분</t>
        </is>
      </c>
      <c r="D1867" s="47" t="inlineStr">
        <is>
          <t>250건</t>
        </is>
      </c>
      <c r="E1867" s="47" t="inlineStr">
        <is>
          <t>월 5GB</t>
        </is>
      </c>
      <c r="F1867" s="47" t="inlineStr">
        <is>
          <t>KT</t>
        </is>
      </c>
      <c r="G1867" s="47" t="inlineStr">
        <is>
          <t>LTE</t>
        </is>
      </c>
      <c r="H1867" s="48" t="n">
        <v>5200</v>
      </c>
      <c r="I1867" s="48" t="n"/>
      <c r="J1867" s="48" t="n"/>
      <c r="K1867" s="47">
        <f t="array" ref="K1867">_xlfn.XLOOKUP(1,(참조!$B$2:$B$15=E1867)*(참조!$D$2:$D$15=C1867)*(참조!$E$2:$E$15=D1867),참조!$C$2:$C$15,"")</f>
        <v/>
      </c>
    </row>
    <row r="1868" hidden="1" s="27">
      <c r="A1868" s="47" t="inlineStr">
        <is>
          <t>모빙</t>
        </is>
      </c>
      <c r="B1868" s="47" t="inlineStr">
        <is>
          <t>[K] 밀리의 서재 7GB+</t>
        </is>
      </c>
      <c r="C1868" s="47" t="inlineStr">
        <is>
          <t>무제한</t>
        </is>
      </c>
      <c r="D1868" s="47" t="inlineStr">
        <is>
          <t>무제한</t>
        </is>
      </c>
      <c r="E1868" s="47" t="inlineStr">
        <is>
          <t>월 7GB + 1Mbps</t>
        </is>
      </c>
      <c r="F1868" s="47" t="inlineStr">
        <is>
          <t>KT</t>
        </is>
      </c>
      <c r="G1868" s="47" t="inlineStr">
        <is>
          <t>LTE</t>
        </is>
      </c>
      <c r="H1868" s="48" t="n">
        <v>8800</v>
      </c>
      <c r="I1868" s="48" t="n">
        <v>7</v>
      </c>
      <c r="J1868" s="48" t="n">
        <v>26400</v>
      </c>
      <c r="K1868" s="47">
        <f t="array" ref="K1868">_xlfn.XLOOKUP(1,(참조!$B$2:$B$15=E1868)*(참조!$D$2:$D$15=C1868)*(참조!$E$2:$E$15=D1868),참조!$C$2:$C$15,"")</f>
        <v/>
      </c>
    </row>
    <row r="1869" hidden="1" s="27">
      <c r="A1869" s="47" t="inlineStr">
        <is>
          <t>아이즈모바일</t>
        </is>
      </c>
      <c r="B1869" s="47" t="inlineStr">
        <is>
          <t>세이브머니유심(기본제공/1GB+)</t>
        </is>
      </c>
      <c r="C1869" s="47" t="inlineStr">
        <is>
          <t>무제한</t>
        </is>
      </c>
      <c r="D1869" s="47" t="inlineStr">
        <is>
          <t>무제한</t>
        </is>
      </c>
      <c r="E1869" s="47" t="inlineStr">
        <is>
          <t>월 1GB + 1Mbps</t>
        </is>
      </c>
      <c r="F1869" s="47" t="inlineStr">
        <is>
          <t>LG U+</t>
        </is>
      </c>
      <c r="G1869" s="47" t="inlineStr">
        <is>
          <t>LTE</t>
        </is>
      </c>
      <c r="H1869" s="48" t="n">
        <v>8030</v>
      </c>
      <c r="I1869" s="48" t="n"/>
      <c r="J1869" s="48" t="n"/>
      <c r="K1869" s="47">
        <f t="array" ref="K1869">_xlfn.XLOOKUP(1,(참조!$B$2:$B$15=E1869)*(참조!$D$2:$D$15=C1869)*(참조!$E$2:$E$15=D1869),참조!$C$2:$C$15,"")</f>
        <v/>
      </c>
    </row>
    <row r="1870" hidden="1" s="27">
      <c r="A1870" s="47" t="inlineStr">
        <is>
          <t>인스모바일</t>
        </is>
      </c>
      <c r="B1870" s="47" t="inlineStr">
        <is>
          <t>올프리 1GB+(USIM)</t>
        </is>
      </c>
      <c r="C1870" s="47" t="inlineStr">
        <is>
          <t>무제한</t>
        </is>
      </c>
      <c r="D1870" s="47" t="inlineStr">
        <is>
          <t>무제한</t>
        </is>
      </c>
      <c r="E1870" s="47" t="inlineStr">
        <is>
          <t>월 1GB + 1Mbps</t>
        </is>
      </c>
      <c r="F1870" s="47" t="inlineStr">
        <is>
          <t>LG U+</t>
        </is>
      </c>
      <c r="G1870" s="47" t="inlineStr">
        <is>
          <t>LTE</t>
        </is>
      </c>
      <c r="H1870" s="48" t="n">
        <v>9570</v>
      </c>
      <c r="I1870" s="48" t="n">
        <v>6</v>
      </c>
      <c r="J1870" s="48" t="n">
        <v>18700</v>
      </c>
      <c r="K1870" s="47">
        <f t="array" ref="K1870">_xlfn.XLOOKUP(1,(참조!$B$2:$B$15=E1870)*(참조!$D$2:$D$15=C1870)*(참조!$E$2:$E$15=D1870),참조!$C$2:$C$15,"")</f>
        <v/>
      </c>
    </row>
    <row r="1871" hidden="1" s="27">
      <c r="A1871" s="47" t="inlineStr">
        <is>
          <t>모빙</t>
        </is>
      </c>
      <c r="B1871" s="47" t="inlineStr">
        <is>
          <t>[K] 페이포인트 7GB+</t>
        </is>
      </c>
      <c r="C1871" s="47" t="inlineStr">
        <is>
          <t>무제한</t>
        </is>
      </c>
      <c r="D1871" s="47" t="inlineStr">
        <is>
          <t>무제한</t>
        </is>
      </c>
      <c r="E1871" s="47" t="inlineStr">
        <is>
          <t>월 7GB + 1Mbps</t>
        </is>
      </c>
      <c r="F1871" s="47" t="inlineStr">
        <is>
          <t>KT</t>
        </is>
      </c>
      <c r="G1871" s="47" t="inlineStr">
        <is>
          <t>LTE</t>
        </is>
      </c>
      <c r="H1871" s="48" t="n">
        <v>8800</v>
      </c>
      <c r="I1871" s="48" t="n">
        <v>7</v>
      </c>
      <c r="J1871" s="48" t="n">
        <v>40700</v>
      </c>
      <c r="K1871" s="47">
        <f t="array" ref="K1871">_xlfn.XLOOKUP(1,(참조!$B$2:$B$15=E1871)*(참조!$D$2:$D$15=C1871)*(참조!$E$2:$E$15=D1871),참조!$C$2:$C$15,"")</f>
        <v/>
      </c>
    </row>
    <row r="1872" hidden="1" s="27">
      <c r="A1872" s="47" t="inlineStr">
        <is>
          <t>스마텔</t>
        </is>
      </c>
      <c r="B1872" s="47" t="inlineStr">
        <is>
          <t>5G 스마일 플러스 (200분+3GB)</t>
        </is>
      </c>
      <c r="C1872" s="47" t="inlineStr">
        <is>
          <t>200분</t>
        </is>
      </c>
      <c r="D1872" s="47" t="inlineStr">
        <is>
          <t>100건</t>
        </is>
      </c>
      <c r="E1872" s="47" t="inlineStr">
        <is>
          <t>월 3GB</t>
        </is>
      </c>
      <c r="F1872" s="47" t="inlineStr">
        <is>
          <t>SKT</t>
        </is>
      </c>
      <c r="G1872" s="47" t="inlineStr">
        <is>
          <t>5G</t>
        </is>
      </c>
      <c r="H1872" s="48" t="n">
        <v>3300</v>
      </c>
      <c r="I1872" s="48" t="n">
        <v>5</v>
      </c>
      <c r="J1872" s="48" t="n">
        <v>11000</v>
      </c>
      <c r="K1872" s="47">
        <f t="array" ref="K1872">_xlfn.XLOOKUP(1,(참조!$B$2:$B$15=E1872)*(참조!$D$2:$D$15=C1872)*(참조!$E$2:$E$15=D1872),참조!$C$2:$C$15,"")</f>
        <v/>
      </c>
    </row>
    <row r="1873" hidden="1" s="27">
      <c r="A1873" s="47" t="inlineStr">
        <is>
          <t>아이즈모바일</t>
        </is>
      </c>
      <c r="B1873" s="47" t="inlineStr">
        <is>
          <t>[K]다이소 7GB+</t>
        </is>
      </c>
      <c r="C1873" s="47" t="inlineStr">
        <is>
          <t>무제한</t>
        </is>
      </c>
      <c r="D1873" s="47" t="inlineStr">
        <is>
          <t>무제한</t>
        </is>
      </c>
      <c r="E1873" s="47" t="inlineStr">
        <is>
          <t>월 7GB + 1Mbps</t>
        </is>
      </c>
      <c r="F1873" s="47" t="inlineStr">
        <is>
          <t>KT</t>
        </is>
      </c>
      <c r="G1873" s="47" t="inlineStr">
        <is>
          <t>LTE</t>
        </is>
      </c>
      <c r="H1873" s="48" t="n">
        <v>25300</v>
      </c>
      <c r="I1873" s="48" t="n"/>
      <c r="J1873" s="48" t="n"/>
      <c r="K1873" s="47">
        <f t="array" ref="K1873">_xlfn.XLOOKUP(1,(참조!$B$2:$B$15=E1873)*(참조!$D$2:$D$15=C1873)*(참조!$E$2:$E$15=D1873),참조!$C$2:$C$15,"")</f>
        <v/>
      </c>
    </row>
    <row r="1874" hidden="1" s="27">
      <c r="A1874" s="47" t="inlineStr">
        <is>
          <t>찬스모바일</t>
        </is>
      </c>
      <c r="B1874" s="47" t="inlineStr">
        <is>
          <t>음성 100분 1GB+</t>
        </is>
      </c>
      <c r="C1874" s="47" t="inlineStr">
        <is>
          <t>100분</t>
        </is>
      </c>
      <c r="D1874" s="47" t="inlineStr">
        <is>
          <t>100건</t>
        </is>
      </c>
      <c r="E1874" s="47" t="inlineStr">
        <is>
          <t>월 1GB + 1Mbps</t>
        </is>
      </c>
      <c r="F1874" s="47" t="inlineStr">
        <is>
          <t>LG U+</t>
        </is>
      </c>
      <c r="G1874" s="47" t="inlineStr">
        <is>
          <t>LTE</t>
        </is>
      </c>
      <c r="H1874" s="48" t="n">
        <v>5940</v>
      </c>
      <c r="I1874" s="48" t="n">
        <v>6</v>
      </c>
      <c r="J1874" s="48" t="n">
        <v>12210</v>
      </c>
      <c r="K1874" s="47">
        <f t="array" ref="K1874">_xlfn.XLOOKUP(1,(참조!$B$2:$B$15=E1874)*(참조!$D$2:$D$15=C1874)*(참조!$E$2:$E$15=D1874),참조!$C$2:$C$15,"")</f>
        <v/>
      </c>
    </row>
    <row r="1875" hidden="1" s="27">
      <c r="A1875" s="47" t="inlineStr">
        <is>
          <t>모빙</t>
        </is>
      </c>
      <c r="B1875" s="47" t="inlineStr">
        <is>
          <t>모두다 막힘없이 일5GB+ 왓챠</t>
        </is>
      </c>
      <c r="C1875" s="47" t="inlineStr">
        <is>
          <t>무제한</t>
        </is>
      </c>
      <c r="D1875" s="47" t="inlineStr">
        <is>
          <t>무제한</t>
        </is>
      </c>
      <c r="E1875" s="47" t="inlineStr">
        <is>
          <t>매일 5GB + 5Mbps</t>
        </is>
      </c>
      <c r="F1875" s="47" t="inlineStr">
        <is>
          <t>KT</t>
        </is>
      </c>
      <c r="G1875" s="47" t="inlineStr">
        <is>
          <t>LTE</t>
        </is>
      </c>
      <c r="H1875" s="48" t="n">
        <v>27500</v>
      </c>
      <c r="I1875" s="48" t="n">
        <v>7</v>
      </c>
      <c r="J1875" s="48" t="n">
        <v>58300</v>
      </c>
      <c r="K1875" s="47">
        <f t="array" ref="K1875">_xlfn.XLOOKUP(1,(참조!$B$2:$B$15=E1875)*(참조!$D$2:$D$15=C1875)*(참조!$E$2:$E$15=D1875),참조!$C$2:$C$15,"")</f>
        <v/>
      </c>
    </row>
    <row r="1876" hidden="1" s="27">
      <c r="A1876" s="47" t="inlineStr">
        <is>
          <t>리브모바일</t>
        </is>
      </c>
      <c r="B1876" s="47" t="inlineStr">
        <is>
          <t>5G 무제한 50GB+(LGU+망)</t>
        </is>
      </c>
      <c r="C1876" s="47" t="inlineStr">
        <is>
          <t>무제한</t>
        </is>
      </c>
      <c r="D1876" s="47" t="inlineStr">
        <is>
          <t>무제한</t>
        </is>
      </c>
      <c r="E1876" s="47" t="inlineStr">
        <is>
          <t>월 50GB + 1Mbps</t>
        </is>
      </c>
      <c r="F1876" s="47" t="inlineStr">
        <is>
          <t>LG U+</t>
        </is>
      </c>
      <c r="G1876" s="47" t="inlineStr">
        <is>
          <t>5G</t>
        </is>
      </c>
      <c r="H1876" s="48" t="n">
        <v>38000</v>
      </c>
      <c r="I1876" s="48" t="n">
        <v>12</v>
      </c>
      <c r="J1876" s="48" t="n">
        <v>42400</v>
      </c>
      <c r="K1876" s="47">
        <f t="array" ref="K1876">_xlfn.XLOOKUP(1,(참조!$B$2:$B$15=E1876)*(참조!$D$2:$D$15=C1876)*(참조!$E$2:$E$15=D1876),참조!$C$2:$C$15,"")</f>
        <v/>
      </c>
    </row>
    <row r="1877" hidden="1" s="27">
      <c r="A1877" s="47" t="inlineStr">
        <is>
          <t>스마텔</t>
        </is>
      </c>
      <c r="B1877" s="47" t="inlineStr">
        <is>
          <t>후후 심플 (200분 + 5GB)</t>
        </is>
      </c>
      <c r="C1877" s="47" t="inlineStr">
        <is>
          <t>200분</t>
        </is>
      </c>
      <c r="D1877" s="47" t="inlineStr">
        <is>
          <t>100건</t>
        </is>
      </c>
      <c r="E1877" s="47" t="inlineStr">
        <is>
          <t>월 5GB</t>
        </is>
      </c>
      <c r="F1877" s="47" t="inlineStr">
        <is>
          <t>LG U+</t>
        </is>
      </c>
      <c r="G1877" s="47" t="inlineStr">
        <is>
          <t>LTE</t>
        </is>
      </c>
      <c r="H1877" s="48" t="n">
        <v>6230</v>
      </c>
      <c r="I1877" s="48" t="n">
        <v>6</v>
      </c>
      <c r="J1877" s="48" t="n">
        <v>10230</v>
      </c>
      <c r="K1877" s="47">
        <f t="array" ref="K1877">_xlfn.XLOOKUP(1,(참조!$B$2:$B$15=E1877)*(참조!$D$2:$D$15=C1877)*(참조!$E$2:$E$15=D1877),참조!$C$2:$C$15,"")</f>
        <v/>
      </c>
    </row>
    <row r="1878" hidden="1" s="27">
      <c r="A1878" s="47" t="inlineStr">
        <is>
          <t>이야기모바일</t>
        </is>
      </c>
      <c r="B1878" s="47" t="inlineStr">
        <is>
          <t>내맘대로S(200+3GB)</t>
        </is>
      </c>
      <c r="C1878" s="47" t="inlineStr">
        <is>
          <t>200분</t>
        </is>
      </c>
      <c r="D1878" s="47" t="inlineStr">
        <is>
          <t>200건</t>
        </is>
      </c>
      <c r="E1878" s="47" t="inlineStr">
        <is>
          <t>월 3GB</t>
        </is>
      </c>
      <c r="F1878" s="47" t="inlineStr">
        <is>
          <t>SKT</t>
        </is>
      </c>
      <c r="G1878" s="47" t="inlineStr">
        <is>
          <t>LTE</t>
        </is>
      </c>
      <c r="H1878" s="48" t="n">
        <v>3501</v>
      </c>
      <c r="I1878" s="48" t="n">
        <v>4</v>
      </c>
      <c r="J1878" s="48" t="n">
        <v>8800</v>
      </c>
      <c r="K1878" s="47">
        <f t="array" ref="K1878">_xlfn.XLOOKUP(1,(참조!$B$2:$B$15=E1878)*(참조!$D$2:$D$15=C1878)*(참조!$E$2:$E$15=D1878),참조!$C$2:$C$15,"")</f>
        <v/>
      </c>
    </row>
    <row r="1879" hidden="1" s="27">
      <c r="A1879" s="47" t="inlineStr">
        <is>
          <t>모빙</t>
        </is>
      </c>
      <c r="B1879" s="47" t="inlineStr">
        <is>
          <t>쏙쏙 매일30분5GB</t>
        </is>
      </c>
      <c r="C1879" s="47" t="inlineStr">
        <is>
          <t>900분</t>
        </is>
      </c>
      <c r="D1879" s="47" t="inlineStr">
        <is>
          <t>100건</t>
        </is>
      </c>
      <c r="E1879" s="47" t="inlineStr">
        <is>
          <t>월 5GB</t>
        </is>
      </c>
      <c r="F1879" s="47" t="inlineStr">
        <is>
          <t>KT</t>
        </is>
      </c>
      <c r="G1879" s="47" t="inlineStr">
        <is>
          <t>LTE</t>
        </is>
      </c>
      <c r="H1879" s="48" t="n">
        <v>6600</v>
      </c>
      <c r="I1879" s="48" t="n"/>
      <c r="J1879" s="48" t="n"/>
      <c r="K1879" s="47">
        <f t="array" ref="K1879">_xlfn.XLOOKUP(1,(참조!$B$2:$B$15=E1879)*(참조!$D$2:$D$15=C1879)*(참조!$E$2:$E$15=D1879),참조!$C$2:$C$15,"")</f>
        <v/>
      </c>
    </row>
    <row r="1880" hidden="1" s="27">
      <c r="A1880" s="47" t="inlineStr">
        <is>
          <t>모빙</t>
        </is>
      </c>
      <c r="B1880" s="47" t="inlineStr">
        <is>
          <t>[S] 데이터 100GB+_Y</t>
        </is>
      </c>
      <c r="C1880" s="47" t="inlineStr">
        <is>
          <t>무제한</t>
        </is>
      </c>
      <c r="D1880" s="47" t="inlineStr">
        <is>
          <t>무제한</t>
        </is>
      </c>
      <c r="E1880" s="47" t="inlineStr">
        <is>
          <t>월 100GB + 5Mbps</t>
        </is>
      </c>
      <c r="F1880" s="47" t="inlineStr">
        <is>
          <t>SKT</t>
        </is>
      </c>
      <c r="G1880" s="47" t="inlineStr">
        <is>
          <t>LTE</t>
        </is>
      </c>
      <c r="H1880" s="48" t="n">
        <v>29600</v>
      </c>
      <c r="I1880" s="48" t="n">
        <v>7</v>
      </c>
      <c r="J1880" s="48" t="n">
        <v>61600</v>
      </c>
      <c r="K1880" s="47">
        <f t="array" ref="K1880">_xlfn.XLOOKUP(1,(참조!$B$2:$B$15=E1880)*(참조!$D$2:$D$15=C1880)*(참조!$E$2:$E$15=D1880),참조!$C$2:$C$15,"")</f>
        <v/>
      </c>
    </row>
    <row r="1881" hidden="1" s="27">
      <c r="A1881" s="47" t="inlineStr">
        <is>
          <t>리브모바일</t>
        </is>
      </c>
      <c r="B1881" s="47" t="inlineStr">
        <is>
          <t>데이터같이쓰기 240분 (안심차단)(KT망)</t>
        </is>
      </c>
      <c r="C1881" s="47" t="inlineStr">
        <is>
          <t>240분</t>
        </is>
      </c>
      <c r="D1881" s="47" t="inlineStr">
        <is>
          <t>240건</t>
        </is>
      </c>
      <c r="E1881" s="47" t="inlineStr">
        <is>
          <t>데이터 제공안함</t>
        </is>
      </c>
      <c r="F1881" s="47" t="inlineStr">
        <is>
          <t>KT</t>
        </is>
      </c>
      <c r="G1881" s="47" t="inlineStr">
        <is>
          <t>LTE</t>
        </is>
      </c>
      <c r="H1881" s="48" t="n">
        <v>4400</v>
      </c>
      <c r="I1881" s="48" t="n"/>
      <c r="J1881" s="48" t="n"/>
      <c r="K1881" s="47">
        <f t="array" ref="K1881">_xlfn.XLOOKUP(1,(참조!$B$2:$B$15=E1881)*(참조!$D$2:$D$15=C1881)*(참조!$E$2:$E$15=D1881),참조!$C$2:$C$15,"")</f>
        <v/>
      </c>
    </row>
    <row r="1882" hidden="1" s="27">
      <c r="A1882" s="47" t="inlineStr">
        <is>
          <t>아이즈모바일</t>
        </is>
      </c>
      <c r="B1882" s="47" t="inlineStr">
        <is>
          <t>[L]5G 무한125GB+5Mbps</t>
        </is>
      </c>
      <c r="C1882" s="47" t="inlineStr">
        <is>
          <t>무제한</t>
        </is>
      </c>
      <c r="D1882" s="47" t="inlineStr">
        <is>
          <t>무제한</t>
        </is>
      </c>
      <c r="E1882" s="47" t="inlineStr">
        <is>
          <t>월 125GB + 5Mbps</t>
        </is>
      </c>
      <c r="F1882" s="47" t="inlineStr">
        <is>
          <t>LG U+</t>
        </is>
      </c>
      <c r="G1882" s="47" t="inlineStr">
        <is>
          <t>5G</t>
        </is>
      </c>
      <c r="H1882" s="48" t="n">
        <v>64900</v>
      </c>
      <c r="I1882" s="48" t="n"/>
      <c r="J1882" s="48" t="n"/>
      <c r="K1882" s="47">
        <f t="array" ref="K1882">_xlfn.XLOOKUP(1,(참조!$B$2:$B$15=E1882)*(참조!$D$2:$D$15=C1882)*(참조!$E$2:$E$15=D1882),참조!$C$2:$C$15,"")</f>
        <v/>
      </c>
    </row>
    <row r="1883" hidden="1" s="27">
      <c r="A1883" s="47" t="inlineStr">
        <is>
          <t>리브모바일</t>
        </is>
      </c>
      <c r="B1883" s="47" t="inlineStr">
        <is>
          <t>LTE 71GB+(평생)</t>
        </is>
      </c>
      <c r="C1883" s="47" t="inlineStr">
        <is>
          <t>무제한</t>
        </is>
      </c>
      <c r="D1883" s="47" t="inlineStr">
        <is>
          <t>무제한</t>
        </is>
      </c>
      <c r="E1883" s="47" t="inlineStr">
        <is>
          <t>월 11GB + 매일 2GB + 3Mbps</t>
        </is>
      </c>
      <c r="F1883" s="47" t="inlineStr">
        <is>
          <t>LG U+</t>
        </is>
      </c>
      <c r="G1883" s="47" t="inlineStr">
        <is>
          <t>LTE</t>
        </is>
      </c>
      <c r="H1883" s="48" t="n">
        <v>33000</v>
      </c>
      <c r="I1883" s="48" t="n"/>
      <c r="J1883" s="48" t="n"/>
      <c r="K1883" s="47">
        <f t="array" ref="K1883">_xlfn.XLOOKUP(1,(참조!$B$2:$B$15=E1883)*(참조!$D$2:$D$15=C1883)*(참조!$E$2:$E$15=D1883),참조!$C$2:$C$15,"")</f>
        <v/>
      </c>
    </row>
    <row r="1884" hidden="1" s="27">
      <c r="A1884" s="47" t="inlineStr">
        <is>
          <t>에이모바일</t>
        </is>
      </c>
      <c r="B1884" s="47" t="inlineStr">
        <is>
          <t>A 올라잇 10GB+ 밀리의서재</t>
        </is>
      </c>
      <c r="C1884" s="47" t="inlineStr">
        <is>
          <t>무제한</t>
        </is>
      </c>
      <c r="D1884" s="47" t="inlineStr">
        <is>
          <t>무제한</t>
        </is>
      </c>
      <c r="E1884" s="47" t="inlineStr">
        <is>
          <t>월 10GB + 1Mbps</t>
        </is>
      </c>
      <c r="F1884" s="47" t="inlineStr">
        <is>
          <t>KT</t>
        </is>
      </c>
      <c r="G1884" s="47" t="inlineStr">
        <is>
          <t>LTE</t>
        </is>
      </c>
      <c r="H1884" s="48" t="n">
        <v>16001</v>
      </c>
      <c r="I1884" s="48" t="n">
        <v>7</v>
      </c>
      <c r="J1884" s="48" t="n">
        <v>23100</v>
      </c>
      <c r="K1884" s="47">
        <f t="array" ref="K1884">_xlfn.XLOOKUP(1,(참조!$B$2:$B$15=E1884)*(참조!$D$2:$D$15=C1884)*(참조!$E$2:$E$15=D1884),참조!$C$2:$C$15,"")</f>
        <v/>
      </c>
    </row>
    <row r="1885" hidden="1" s="27">
      <c r="A1885" s="47" t="inlineStr">
        <is>
          <t>스마텔</t>
        </is>
      </c>
      <c r="B1885" s="47" t="inlineStr">
        <is>
          <t>스마일플러스 (500분+2GB)</t>
        </is>
      </c>
      <c r="C1885" s="47" t="inlineStr">
        <is>
          <t>500분</t>
        </is>
      </c>
      <c r="D1885" s="47" t="inlineStr">
        <is>
          <t>100건</t>
        </is>
      </c>
      <c r="E1885" s="47" t="inlineStr">
        <is>
          <t>월 2GB</t>
        </is>
      </c>
      <c r="F1885" s="47" t="inlineStr">
        <is>
          <t>SKT</t>
        </is>
      </c>
      <c r="G1885" s="47" t="inlineStr">
        <is>
          <t>LTE</t>
        </is>
      </c>
      <c r="H1885" s="48" t="n">
        <v>3850</v>
      </c>
      <c r="I1885" s="48" t="n">
        <v>5</v>
      </c>
      <c r="J1885" s="48" t="n">
        <v>7700</v>
      </c>
      <c r="K1885" s="47">
        <f t="array" ref="K1885">_xlfn.XLOOKUP(1,(참조!$B$2:$B$15=E1885)*(참조!$D$2:$D$15=C1885)*(참조!$E$2:$E$15=D1885),참조!$C$2:$C$15,"")</f>
        <v/>
      </c>
    </row>
    <row r="1886" hidden="1" s="27">
      <c r="A1886" s="47" t="inlineStr">
        <is>
          <t>리브모바일</t>
        </is>
      </c>
      <c r="B1886" s="47" t="inlineStr">
        <is>
          <t>더블업 LTE 25GB+ (15+10 24개월) / 평생가 22,000원</t>
        </is>
      </c>
      <c r="C1886" s="47" t="inlineStr">
        <is>
          <t>무제한</t>
        </is>
      </c>
      <c r="D1886" s="47" t="inlineStr">
        <is>
          <t>무제한</t>
        </is>
      </c>
      <c r="E1886" s="47" t="inlineStr">
        <is>
          <t>월 25GB + 1Mbps</t>
        </is>
      </c>
      <c r="F1886" s="47" t="inlineStr">
        <is>
          <t>LG U+</t>
        </is>
      </c>
      <c r="G1886" s="47" t="inlineStr">
        <is>
          <t>LTE</t>
        </is>
      </c>
      <c r="H1886" s="48" t="n">
        <v>22000</v>
      </c>
      <c r="I1886" s="48" t="n"/>
      <c r="J1886" s="48" t="n"/>
      <c r="K1886" s="47">
        <f t="array" ref="K1886">_xlfn.XLOOKUP(1,(참조!$B$2:$B$15=E1886)*(참조!$D$2:$D$15=C1886)*(참조!$E$2:$E$15=D1886),참조!$C$2:$C$15,"")</f>
        <v/>
      </c>
    </row>
    <row r="1887" hidden="1" s="27">
      <c r="A1887" s="47" t="inlineStr">
        <is>
          <t>에이모바일</t>
        </is>
      </c>
      <c r="B1887" s="47" t="inlineStr">
        <is>
          <t>A 갓성비 6GB/200분 9</t>
        </is>
      </c>
      <c r="C1887" s="47" t="inlineStr">
        <is>
          <t>200분</t>
        </is>
      </c>
      <c r="D1887" s="47" t="inlineStr">
        <is>
          <t>100건</t>
        </is>
      </c>
      <c r="E1887" s="47" t="inlineStr">
        <is>
          <t>월 6GB</t>
        </is>
      </c>
      <c r="F1887" s="47" t="inlineStr">
        <is>
          <t>LG U+</t>
        </is>
      </c>
      <c r="G1887" s="47" t="inlineStr">
        <is>
          <t>LTE</t>
        </is>
      </c>
      <c r="H1887" s="48" t="n">
        <v>1100</v>
      </c>
      <c r="I1887" s="48" t="n">
        <v>9</v>
      </c>
      <c r="J1887" s="48" t="n">
        <v>9900</v>
      </c>
      <c r="K1887" s="47">
        <f t="array" ref="K1887">_xlfn.XLOOKUP(1,(참조!$B$2:$B$15=E1887)*(참조!$D$2:$D$15=C1887)*(참조!$E$2:$E$15=D1887),참조!$C$2:$C$15,"")</f>
        <v/>
      </c>
    </row>
    <row r="1888" hidden="1" s="27">
      <c r="A1888" s="47" t="inlineStr">
        <is>
          <t>아이즈모바일</t>
        </is>
      </c>
      <c r="B1888" s="47" t="inlineStr">
        <is>
          <t>[K]다이소 10GB+</t>
        </is>
      </c>
      <c r="C1888" s="47" t="inlineStr">
        <is>
          <t>무제한</t>
        </is>
      </c>
      <c r="D1888" s="47" t="inlineStr">
        <is>
          <t>무제한</t>
        </is>
      </c>
      <c r="E1888" s="47" t="inlineStr">
        <is>
          <t>월 10GB + 1Mbps</t>
        </is>
      </c>
      <c r="F1888" s="47" t="inlineStr">
        <is>
          <t>KT</t>
        </is>
      </c>
      <c r="G1888" s="47" t="inlineStr">
        <is>
          <t>LTE</t>
        </is>
      </c>
      <c r="H1888" s="48" t="n">
        <v>28600</v>
      </c>
      <c r="I1888" s="48" t="n"/>
      <c r="J1888" s="48" t="n"/>
      <c r="K1888" s="47">
        <f t="array" ref="K1888">_xlfn.XLOOKUP(1,(참조!$B$2:$B$15=E1888)*(참조!$D$2:$D$15=C1888)*(참조!$E$2:$E$15=D1888),참조!$C$2:$C$15,"")</f>
        <v/>
      </c>
    </row>
    <row r="1889" hidden="1" s="27">
      <c r="A1889" s="47" t="inlineStr">
        <is>
          <t>아이즈모바일</t>
        </is>
      </c>
      <c r="B1889" s="47" t="inlineStr">
        <is>
          <t>[K]올리브영 10GB+</t>
        </is>
      </c>
      <c r="C1889" s="47" t="inlineStr">
        <is>
          <t>무제한</t>
        </is>
      </c>
      <c r="D1889" s="47" t="inlineStr">
        <is>
          <t>무제한</t>
        </is>
      </c>
      <c r="E1889" s="47" t="inlineStr">
        <is>
          <t>월 10GB + 1Mbps</t>
        </is>
      </c>
      <c r="F1889" s="47" t="inlineStr">
        <is>
          <t>KT</t>
        </is>
      </c>
      <c r="G1889" s="47" t="inlineStr">
        <is>
          <t>LTE</t>
        </is>
      </c>
      <c r="H1889" s="48" t="n">
        <v>28600</v>
      </c>
      <c r="I1889" s="48" t="n"/>
      <c r="J1889" s="48" t="n"/>
      <c r="K1889" s="47">
        <f t="array" ref="K1889">_xlfn.XLOOKUP(1,(참조!$B$2:$B$15=E1889)*(참조!$D$2:$D$15=C1889)*(참조!$E$2:$E$15=D1889),참조!$C$2:$C$15,"")</f>
        <v/>
      </c>
    </row>
    <row r="1890" hidden="1" s="27">
      <c r="A1890" s="47" t="inlineStr">
        <is>
          <t>아이즈모바일</t>
        </is>
      </c>
      <c r="B1890" s="47" t="inlineStr">
        <is>
          <t>[L]벤티(300분/8GB)</t>
        </is>
      </c>
      <c r="C1890" s="47" t="inlineStr">
        <is>
          <t>300분</t>
        </is>
      </c>
      <c r="D1890" s="47" t="inlineStr">
        <is>
          <t>100건</t>
        </is>
      </c>
      <c r="E1890" s="47" t="inlineStr">
        <is>
          <t>월 8GB</t>
        </is>
      </c>
      <c r="F1890" s="47" t="inlineStr">
        <is>
          <t>LG U+</t>
        </is>
      </c>
      <c r="G1890" s="47" t="inlineStr">
        <is>
          <t>LTE</t>
        </is>
      </c>
      <c r="H1890" s="48" t="n">
        <v>20300</v>
      </c>
      <c r="I1890" s="48" t="n"/>
      <c r="J1890" s="48" t="n"/>
      <c r="K1890" s="47">
        <f t="array" ref="K1890">_xlfn.XLOOKUP(1,(참조!$B$2:$B$15=E1890)*(참조!$D$2:$D$15=C1890)*(참조!$E$2:$E$15=D1890),참조!$C$2:$C$15,"")</f>
        <v/>
      </c>
    </row>
    <row r="1891" hidden="1" s="27">
      <c r="A1891" s="47" t="inlineStr">
        <is>
          <t>리브모바일</t>
        </is>
      </c>
      <c r="B1891" s="47" t="inlineStr">
        <is>
          <t>5G무제한 200GB+</t>
        </is>
      </c>
      <c r="C1891" s="47" t="inlineStr">
        <is>
          <t>무제한</t>
        </is>
      </c>
      <c r="D1891" s="47" t="inlineStr">
        <is>
          <t>무제한</t>
        </is>
      </c>
      <c r="E1891" s="47" t="inlineStr">
        <is>
          <t>월 200GB + 10Mbps</t>
        </is>
      </c>
      <c r="F1891" s="47" t="inlineStr">
        <is>
          <t>KT</t>
        </is>
      </c>
      <c r="G1891" s="47" t="inlineStr">
        <is>
          <t>5G</t>
        </is>
      </c>
      <c r="H1891" s="48" t="n">
        <v>50500</v>
      </c>
      <c r="I1891" s="48" t="n">
        <v>12</v>
      </c>
      <c r="J1891" s="48" t="n">
        <v>54900</v>
      </c>
      <c r="K1891" s="47">
        <f t="array" ref="K1891">_xlfn.XLOOKUP(1,(참조!$B$2:$B$15=E1891)*(참조!$D$2:$D$15=C1891)*(참조!$E$2:$E$15=D1891),참조!$C$2:$C$15,"")</f>
        <v/>
      </c>
    </row>
    <row r="1892" hidden="1" s="27">
      <c r="A1892" s="47" t="inlineStr">
        <is>
          <t>아이즈모바일</t>
        </is>
      </c>
      <c r="B1892" s="47" t="inlineStr">
        <is>
          <t>[K]올리브영 7GB+</t>
        </is>
      </c>
      <c r="C1892" s="47" t="inlineStr">
        <is>
          <t>무제한</t>
        </is>
      </c>
      <c r="D1892" s="47" t="inlineStr">
        <is>
          <t>무제한</t>
        </is>
      </c>
      <c r="E1892" s="47" t="inlineStr">
        <is>
          <t>월 7GB + 1Mbps</t>
        </is>
      </c>
      <c r="F1892" s="47" t="inlineStr">
        <is>
          <t>KT</t>
        </is>
      </c>
      <c r="G1892" s="47" t="inlineStr">
        <is>
          <t>LTE</t>
        </is>
      </c>
      <c r="H1892" s="48" t="n">
        <v>25300</v>
      </c>
      <c r="I1892" s="48" t="n"/>
      <c r="J1892" s="48" t="n"/>
      <c r="K1892" s="47">
        <f t="array" ref="K1892">_xlfn.XLOOKUP(1,(참조!$B$2:$B$15=E1892)*(참조!$D$2:$D$15=C1892)*(참조!$E$2:$E$15=D1892),참조!$C$2:$C$15,"")</f>
        <v/>
      </c>
    </row>
    <row r="1893" hidden="1" s="27">
      <c r="A1893" s="47" t="inlineStr">
        <is>
          <t>에이모바일</t>
        </is>
      </c>
      <c r="B1893" s="47" t="inlineStr">
        <is>
          <t>A 5G 스페셜 레귤러</t>
        </is>
      </c>
      <c r="C1893" s="47" t="inlineStr">
        <is>
          <t>무제한</t>
        </is>
      </c>
      <c r="D1893" s="47" t="inlineStr">
        <is>
          <t>무제한</t>
        </is>
      </c>
      <c r="E1893" s="47" t="inlineStr">
        <is>
          <t>월 50GB + 1Mbps</t>
        </is>
      </c>
      <c r="F1893" s="47" t="inlineStr">
        <is>
          <t>LG U+</t>
        </is>
      </c>
      <c r="G1893" s="47" t="inlineStr">
        <is>
          <t>5G</t>
        </is>
      </c>
      <c r="H1893" s="48" t="n">
        <v>27800</v>
      </c>
      <c r="I1893" s="48" t="n">
        <v>7</v>
      </c>
      <c r="J1893" s="48" t="n">
        <v>43200</v>
      </c>
      <c r="K1893" s="47">
        <f t="array" ref="K1893">_xlfn.XLOOKUP(1,(참조!$B$2:$B$15=E1893)*(참조!$D$2:$D$15=C1893)*(참조!$E$2:$E$15=D1893),참조!$C$2:$C$15,"")</f>
        <v/>
      </c>
    </row>
    <row r="1894" hidden="1" s="27">
      <c r="A1894" s="47" t="inlineStr">
        <is>
          <t>고고모바일</t>
        </is>
      </c>
      <c r="B1894" s="47" t="inlineStr">
        <is>
          <t>5G200분/6GB-데이터소진후 자동차단</t>
        </is>
      </c>
      <c r="C1894" s="47" t="inlineStr">
        <is>
          <t>200분</t>
        </is>
      </c>
      <c r="D1894" s="47" t="inlineStr">
        <is>
          <t>200건</t>
        </is>
      </c>
      <c r="E1894" s="47" t="inlineStr">
        <is>
          <t>월 6GB</t>
        </is>
      </c>
      <c r="F1894" s="47" t="inlineStr">
        <is>
          <t>KT</t>
        </is>
      </c>
      <c r="G1894" s="47" t="inlineStr">
        <is>
          <t>5G</t>
        </is>
      </c>
      <c r="H1894" s="48" t="n">
        <v>13200</v>
      </c>
      <c r="I1894" s="48" t="n"/>
      <c r="J1894" s="48" t="n"/>
      <c r="K1894" s="47">
        <f t="array" ref="K1894">_xlfn.XLOOKUP(1,(참조!$B$2:$B$15=E1894)*(참조!$D$2:$D$15=C1894)*(참조!$E$2:$E$15=D1894),참조!$C$2:$C$15,"")</f>
        <v/>
      </c>
    </row>
    <row r="1895" hidden="1" s="27">
      <c r="A1895" s="47" t="inlineStr">
        <is>
          <t>스마텔</t>
        </is>
      </c>
      <c r="B1895" s="47" t="inlineStr">
        <is>
          <t>후후 플러스 (500분+2GB)</t>
        </is>
      </c>
      <c r="C1895" s="47" t="inlineStr">
        <is>
          <t>500분</t>
        </is>
      </c>
      <c r="D1895" s="47" t="inlineStr">
        <is>
          <t>100건</t>
        </is>
      </c>
      <c r="E1895" s="47" t="inlineStr">
        <is>
          <t>월 2GB</t>
        </is>
      </c>
      <c r="F1895" s="47" t="inlineStr">
        <is>
          <t>SKT</t>
        </is>
      </c>
      <c r="G1895" s="47" t="inlineStr">
        <is>
          <t>LTE</t>
        </is>
      </c>
      <c r="H1895" s="48" t="n">
        <v>4180</v>
      </c>
      <c r="I1895" s="48" t="n">
        <v>5</v>
      </c>
      <c r="J1895" s="48" t="n">
        <v>8030</v>
      </c>
      <c r="K1895" s="47">
        <f t="array" ref="K1895">_xlfn.XLOOKUP(1,(참조!$B$2:$B$15=E1895)*(참조!$D$2:$D$15=C1895)*(참조!$E$2:$E$15=D1895),참조!$C$2:$C$15,"")</f>
        <v/>
      </c>
    </row>
    <row r="1896" hidden="1" s="27">
      <c r="A1896" s="47" t="inlineStr">
        <is>
          <t>에이모바일</t>
        </is>
      </c>
      <c r="B1896" s="47" t="inlineStr">
        <is>
          <t>A 5G 스페셜</t>
        </is>
      </c>
      <c r="C1896" s="47" t="inlineStr">
        <is>
          <t>무제한</t>
        </is>
      </c>
      <c r="D1896" s="47" t="inlineStr">
        <is>
          <t>무제한</t>
        </is>
      </c>
      <c r="E1896" s="47" t="inlineStr">
        <is>
          <t>월 200GB + 10Mbps</t>
        </is>
      </c>
      <c r="F1896" s="47" t="inlineStr">
        <is>
          <t>KT</t>
        </is>
      </c>
      <c r="G1896" s="47" t="inlineStr">
        <is>
          <t>5G</t>
        </is>
      </c>
      <c r="H1896" s="48" t="n">
        <v>39600</v>
      </c>
      <c r="I1896" s="48" t="n">
        <v>7</v>
      </c>
      <c r="J1896" s="48" t="n">
        <v>55000</v>
      </c>
      <c r="K1896" s="47">
        <f t="array" ref="K1896">_xlfn.XLOOKUP(1,(참조!$B$2:$B$15=E1896)*(참조!$D$2:$D$15=C1896)*(참조!$E$2:$E$15=D1896),참조!$C$2:$C$15,"")</f>
        <v/>
      </c>
    </row>
    <row r="1897" hidden="1" s="27">
      <c r="A1897" s="47" t="inlineStr">
        <is>
          <t>아이즈모바일</t>
        </is>
      </c>
      <c r="B1897" s="47" t="inlineStr">
        <is>
          <t>[S]아이즈특판10GB+1Mbps</t>
        </is>
      </c>
      <c r="C1897" s="47" t="inlineStr">
        <is>
          <t>무제한</t>
        </is>
      </c>
      <c r="D1897" s="47" t="inlineStr">
        <is>
          <t>무제한</t>
        </is>
      </c>
      <c r="E1897" s="47" t="inlineStr">
        <is>
          <t>월 10GB + 1Mbps</t>
        </is>
      </c>
      <c r="F1897" s="47" t="inlineStr">
        <is>
          <t>SKT</t>
        </is>
      </c>
      <c r="G1897" s="47" t="inlineStr">
        <is>
          <t>LTE</t>
        </is>
      </c>
      <c r="H1897" s="48" t="n">
        <v>14000</v>
      </c>
      <c r="I1897" s="48" t="n">
        <v>7</v>
      </c>
      <c r="J1897" s="48" t="n">
        <v>20900</v>
      </c>
      <c r="K1897" s="47">
        <f t="array" ref="K1897">_xlfn.XLOOKUP(1,(참조!$B$2:$B$15=E1897)*(참조!$D$2:$D$15=C1897)*(참조!$E$2:$E$15=D1897),참조!$C$2:$C$15,"")</f>
        <v/>
      </c>
    </row>
    <row r="1898" hidden="1" s="27">
      <c r="A1898" s="47" t="inlineStr">
        <is>
          <t>에이모바일</t>
        </is>
      </c>
      <c r="B1898" s="47" t="inlineStr">
        <is>
          <t>더 빠른 110GB+</t>
        </is>
      </c>
      <c r="C1898" s="47" t="inlineStr">
        <is>
          <t>무제한</t>
        </is>
      </c>
      <c r="D1898" s="47" t="inlineStr">
        <is>
          <t>무제한</t>
        </is>
      </c>
      <c r="E1898" s="47" t="inlineStr">
        <is>
          <t>월 110GB + 5Mbps</t>
        </is>
      </c>
      <c r="F1898" s="47" t="inlineStr">
        <is>
          <t>KT</t>
        </is>
      </c>
      <c r="G1898" s="47" t="inlineStr">
        <is>
          <t>5G</t>
        </is>
      </c>
      <c r="H1898" s="48" t="n">
        <v>34100</v>
      </c>
      <c r="I1898" s="48" t="n">
        <v>7</v>
      </c>
      <c r="J1898" s="48" t="n">
        <v>49500</v>
      </c>
      <c r="K1898" s="47">
        <f t="array" ref="K1898">_xlfn.XLOOKUP(1,(참조!$B$2:$B$15=E1898)*(참조!$D$2:$D$15=C1898)*(참조!$E$2:$E$15=D1898),참조!$C$2:$C$15,"")</f>
        <v/>
      </c>
    </row>
    <row r="1899" hidden="1" s="27">
      <c r="A1899" s="47" t="inlineStr">
        <is>
          <t>리브모바일</t>
        </is>
      </c>
      <c r="B1899" s="47" t="inlineStr">
        <is>
          <t>5G 무제한 31GB+(LGU+망)</t>
        </is>
      </c>
      <c r="C1899" s="47" t="inlineStr">
        <is>
          <t>무제한</t>
        </is>
      </c>
      <c r="D1899" s="47" t="inlineStr">
        <is>
          <t>무제한</t>
        </is>
      </c>
      <c r="E1899" s="47" t="inlineStr">
        <is>
          <t>월 31GB + 1Mbps</t>
        </is>
      </c>
      <c r="F1899" s="47" t="inlineStr">
        <is>
          <t>LG U+</t>
        </is>
      </c>
      <c r="G1899" s="47" t="inlineStr">
        <is>
          <t>5G</t>
        </is>
      </c>
      <c r="H1899" s="48" t="n">
        <v>36500</v>
      </c>
      <c r="I1899" s="48" t="n">
        <v>12</v>
      </c>
      <c r="J1899" s="48" t="n">
        <v>40900</v>
      </c>
      <c r="K1899" s="47">
        <f t="array" ref="K1899">_xlfn.XLOOKUP(1,(참조!$B$2:$B$15=E1899)*(참조!$D$2:$D$15=C1899)*(참조!$E$2:$E$15=D1899),참조!$C$2:$C$15,"")</f>
        <v/>
      </c>
    </row>
    <row r="1900" hidden="1" s="27">
      <c r="A1900" s="47" t="inlineStr">
        <is>
          <t>리브모바일</t>
        </is>
      </c>
      <c r="B1900" s="47" t="inlineStr">
        <is>
          <t>5G 든든 8GB</t>
        </is>
      </c>
      <c r="C1900" s="47" t="inlineStr">
        <is>
          <t>무제한</t>
        </is>
      </c>
      <c r="D1900" s="47" t="inlineStr">
        <is>
          <t>무제한</t>
        </is>
      </c>
      <c r="E1900" s="47" t="inlineStr">
        <is>
          <t>월 8GB</t>
        </is>
      </c>
      <c r="F1900" s="47" t="inlineStr">
        <is>
          <t>LG U+</t>
        </is>
      </c>
      <c r="G1900" s="47" t="inlineStr">
        <is>
          <t>5G</t>
        </is>
      </c>
      <c r="H1900" s="48" t="n">
        <v>20500</v>
      </c>
      <c r="I1900" s="48" t="n">
        <v>12</v>
      </c>
      <c r="J1900" s="48" t="n">
        <v>24900</v>
      </c>
      <c r="K1900" s="47">
        <f t="array" ref="K1900">_xlfn.XLOOKUP(1,(참조!$B$2:$B$15=E1900)*(참조!$D$2:$D$15=C1900)*(참조!$E$2:$E$15=D1900),참조!$C$2:$C$15,"")</f>
        <v/>
      </c>
    </row>
    <row r="1901" hidden="1" s="27">
      <c r="A1901" s="47" t="inlineStr">
        <is>
          <t>리브모바일</t>
        </is>
      </c>
      <c r="B1901" s="47" t="inlineStr">
        <is>
          <t>LTE 7GB+(평생)</t>
        </is>
      </c>
      <c r="C1901" s="47" t="inlineStr">
        <is>
          <t>무제한</t>
        </is>
      </c>
      <c r="D1901" s="47" t="inlineStr">
        <is>
          <t>무제한</t>
        </is>
      </c>
      <c r="E1901" s="47" t="inlineStr">
        <is>
          <t>월 7GB + 1Mbps</t>
        </is>
      </c>
      <c r="F1901" s="47" t="inlineStr">
        <is>
          <t>LG U+</t>
        </is>
      </c>
      <c r="G1901" s="47" t="inlineStr">
        <is>
          <t>LTE</t>
        </is>
      </c>
      <c r="H1901" s="48" t="n">
        <v>15400</v>
      </c>
      <c r="I1901" s="48" t="n"/>
      <c r="J1901" s="48" t="n"/>
      <c r="K1901" s="47">
        <f t="array" ref="K1901">_xlfn.XLOOKUP(1,(참조!$B$2:$B$15=E1901)*(참조!$D$2:$D$15=C1901)*(참조!$E$2:$E$15=D1901),참조!$C$2:$C$15,"")</f>
        <v/>
      </c>
    </row>
    <row r="1902" hidden="1" s="27">
      <c r="A1902" s="47" t="inlineStr">
        <is>
          <t>아이즈모바일</t>
        </is>
      </c>
      <c r="B1902" s="47" t="inlineStr">
        <is>
          <t>[S]스페셜100GB+</t>
        </is>
      </c>
      <c r="C1902" s="47" t="inlineStr">
        <is>
          <t>무제한</t>
        </is>
      </c>
      <c r="D1902" s="47" t="inlineStr">
        <is>
          <t>무제한</t>
        </is>
      </c>
      <c r="E1902" s="47" t="inlineStr">
        <is>
          <t>월 100GB + 5Mbps</t>
        </is>
      </c>
      <c r="F1902" s="47" t="inlineStr">
        <is>
          <t>SKT</t>
        </is>
      </c>
      <c r="G1902" s="47" t="inlineStr">
        <is>
          <t>LTE</t>
        </is>
      </c>
      <c r="H1902" s="48" t="n">
        <v>53000</v>
      </c>
      <c r="I1902" s="48" t="n"/>
      <c r="J1902" s="48" t="n"/>
      <c r="K1902" s="47">
        <f t="array" ref="K1902">_xlfn.XLOOKUP(1,(참조!$B$2:$B$15=E1902)*(참조!$D$2:$D$15=C1902)*(참조!$E$2:$E$15=D1902),참조!$C$2:$C$15,"")</f>
        <v/>
      </c>
    </row>
    <row r="1903" hidden="1" s="27">
      <c r="A1903" s="47" t="inlineStr">
        <is>
          <t>리브모바일</t>
        </is>
      </c>
      <c r="B1903" s="47" t="inlineStr">
        <is>
          <t>5G 든든 6GB</t>
        </is>
      </c>
      <c r="C1903" s="47" t="inlineStr">
        <is>
          <t>무제한</t>
        </is>
      </c>
      <c r="D1903" s="47" t="inlineStr">
        <is>
          <t>무제한</t>
        </is>
      </c>
      <c r="E1903" s="47" t="inlineStr">
        <is>
          <t>월 6GB</t>
        </is>
      </c>
      <c r="F1903" s="47" t="inlineStr">
        <is>
          <t>LG U+</t>
        </is>
      </c>
      <c r="G1903" s="47" t="inlineStr">
        <is>
          <t>5G</t>
        </is>
      </c>
      <c r="H1903" s="48" t="n">
        <v>15500</v>
      </c>
      <c r="I1903" s="48" t="n">
        <v>12</v>
      </c>
      <c r="J1903" s="48" t="n">
        <v>19900</v>
      </c>
      <c r="K1903" s="47">
        <f t="array" ref="K1903">_xlfn.XLOOKUP(1,(참조!$B$2:$B$15=E1903)*(참조!$D$2:$D$15=C1903)*(참조!$E$2:$E$15=D1903),참조!$C$2:$C$15,"")</f>
        <v/>
      </c>
    </row>
    <row r="1904" hidden="1" s="27">
      <c r="A1904" s="47" t="inlineStr">
        <is>
          <t>에이모바일</t>
        </is>
      </c>
      <c r="B1904" s="47" t="inlineStr">
        <is>
          <t>5G 슬림</t>
        </is>
      </c>
      <c r="C1904" s="47" t="inlineStr">
        <is>
          <t>무제한</t>
        </is>
      </c>
      <c r="D1904" s="47" t="inlineStr">
        <is>
          <t>무제한</t>
        </is>
      </c>
      <c r="E1904" s="47" t="inlineStr">
        <is>
          <t>월 10GB + 1Mbps</t>
        </is>
      </c>
      <c r="F1904" s="47" t="inlineStr">
        <is>
          <t>KT</t>
        </is>
      </c>
      <c r="G1904" s="47" t="inlineStr">
        <is>
          <t>5G</t>
        </is>
      </c>
      <c r="H1904" s="48" t="n">
        <v>24200</v>
      </c>
      <c r="I1904" s="48" t="n">
        <v>7</v>
      </c>
      <c r="J1904" s="48" t="n">
        <v>39600</v>
      </c>
      <c r="K1904" s="47">
        <f t="array" ref="K1904">_xlfn.XLOOKUP(1,(참조!$B$2:$B$15=E1904)*(참조!$D$2:$D$15=C1904)*(참조!$E$2:$E$15=D1904),참조!$C$2:$C$15,"")</f>
        <v/>
      </c>
    </row>
    <row r="1905" hidden="1" s="27">
      <c r="A1905" s="47" t="inlineStr">
        <is>
          <t>모빙</t>
        </is>
      </c>
      <c r="B1905" s="47" t="inlineStr">
        <is>
          <t>[S] CU편의점 7GB+</t>
        </is>
      </c>
      <c r="C1905" s="47" t="inlineStr">
        <is>
          <t>무제한</t>
        </is>
      </c>
      <c r="D1905" s="47" t="inlineStr">
        <is>
          <t>무제한</t>
        </is>
      </c>
      <c r="E1905" s="47" t="inlineStr">
        <is>
          <t>월 7GB + 1Mbps</t>
        </is>
      </c>
      <c r="F1905" s="47" t="inlineStr">
        <is>
          <t>SKT</t>
        </is>
      </c>
      <c r="G1905" s="47" t="inlineStr">
        <is>
          <t>LTE</t>
        </is>
      </c>
      <c r="H1905" s="48" t="n">
        <v>9900</v>
      </c>
      <c r="I1905" s="48" t="n">
        <v>7</v>
      </c>
      <c r="J1905" s="48" t="n">
        <v>31900</v>
      </c>
      <c r="K1905" s="47">
        <f t="array" ref="K1905">_xlfn.XLOOKUP(1,(참조!$B$2:$B$15=E1905)*(참조!$D$2:$D$15=C1905)*(참조!$E$2:$E$15=D1905),참조!$C$2:$C$15,"")</f>
        <v/>
      </c>
    </row>
    <row r="1906" hidden="1" s="27">
      <c r="A1906" s="47" t="inlineStr">
        <is>
          <t>모빙</t>
        </is>
      </c>
      <c r="B1906" s="47" t="inlineStr">
        <is>
          <t>[K] 다이소 7GB+</t>
        </is>
      </c>
      <c r="C1906" s="47" t="inlineStr">
        <is>
          <t>무제한</t>
        </is>
      </c>
      <c r="D1906" s="47" t="inlineStr">
        <is>
          <t>무제한</t>
        </is>
      </c>
      <c r="E1906" s="47" t="inlineStr">
        <is>
          <t>월 7GB + 1Mbps</t>
        </is>
      </c>
      <c r="F1906" s="47" t="inlineStr">
        <is>
          <t>KT</t>
        </is>
      </c>
      <c r="G1906" s="47" t="inlineStr">
        <is>
          <t>LTE</t>
        </is>
      </c>
      <c r="H1906" s="48" t="n">
        <v>9900</v>
      </c>
      <c r="I1906" s="48" t="n">
        <v>7</v>
      </c>
      <c r="J1906" s="48" t="n">
        <v>27500</v>
      </c>
      <c r="K1906" s="47">
        <f t="array" ref="K1906">_xlfn.XLOOKUP(1,(참조!$B$2:$B$15=E1906)*(참조!$D$2:$D$15=C1906)*(참조!$E$2:$E$15=D1906),참조!$C$2:$C$15,"")</f>
        <v/>
      </c>
    </row>
    <row r="1907" hidden="1" s="27">
      <c r="A1907" s="47" t="inlineStr">
        <is>
          <t>스마텔</t>
        </is>
      </c>
      <c r="B1907" s="47" t="inlineStr">
        <is>
          <t>후후 플러스 (500분+1GB)</t>
        </is>
      </c>
      <c r="C1907" s="47" t="inlineStr">
        <is>
          <t>500분</t>
        </is>
      </c>
      <c r="D1907" s="47" t="inlineStr">
        <is>
          <t>100건</t>
        </is>
      </c>
      <c r="E1907" s="47" t="inlineStr">
        <is>
          <t>월 1GB</t>
        </is>
      </c>
      <c r="F1907" s="47" t="inlineStr">
        <is>
          <t>SKT</t>
        </is>
      </c>
      <c r="G1907" s="47" t="inlineStr">
        <is>
          <t>LTE</t>
        </is>
      </c>
      <c r="H1907" s="48" t="n">
        <v>3300</v>
      </c>
      <c r="I1907" s="48" t="n">
        <v>5</v>
      </c>
      <c r="J1907" s="48" t="n">
        <v>6930</v>
      </c>
      <c r="K1907" s="47">
        <f t="array" ref="K1907">_xlfn.XLOOKUP(1,(참조!$B$2:$B$15=E1907)*(참조!$D$2:$D$15=C1907)*(참조!$E$2:$E$15=D1907),참조!$C$2:$C$15,"")</f>
        <v/>
      </c>
    </row>
    <row r="1908" hidden="1" s="27">
      <c r="A1908" s="47" t="inlineStr">
        <is>
          <t>리브모바일</t>
        </is>
      </c>
      <c r="B1908" s="47" t="inlineStr">
        <is>
          <t>5G 무제한 50GB+</t>
        </is>
      </c>
      <c r="C1908" s="47" t="inlineStr">
        <is>
          <t>무제한</t>
        </is>
      </c>
      <c r="D1908" s="47" t="inlineStr">
        <is>
          <t>무제한</t>
        </is>
      </c>
      <c r="E1908" s="47" t="inlineStr">
        <is>
          <t>월 50GB + 1Mbps</t>
        </is>
      </c>
      <c r="F1908" s="47" t="inlineStr">
        <is>
          <t>KT</t>
        </is>
      </c>
      <c r="G1908" s="47" t="inlineStr">
        <is>
          <t>5G</t>
        </is>
      </c>
      <c r="H1908" s="48" t="n">
        <v>39500</v>
      </c>
      <c r="I1908" s="48" t="n">
        <v>12</v>
      </c>
      <c r="J1908" s="48" t="n">
        <v>43900</v>
      </c>
      <c r="K1908" s="47">
        <f t="array" ref="K1908">_xlfn.XLOOKUP(1,(참조!$B$2:$B$15=E1908)*(참조!$D$2:$D$15=C1908)*(참조!$E$2:$E$15=D1908),참조!$C$2:$C$15,"")</f>
        <v/>
      </c>
    </row>
    <row r="1909" hidden="1" s="27">
      <c r="A1909" s="47" t="inlineStr">
        <is>
          <t>아이즈모바일</t>
        </is>
      </c>
      <c r="B1909" s="47" t="inlineStr">
        <is>
          <t>세이브머니유심(250분/2.5GB+)</t>
        </is>
      </c>
      <c r="C1909" s="47" t="inlineStr">
        <is>
          <t>250분</t>
        </is>
      </c>
      <c r="D1909" s="47" t="inlineStr">
        <is>
          <t>250건</t>
        </is>
      </c>
      <c r="E1909" s="47" t="inlineStr">
        <is>
          <t>월 2.5GB + 1Mbps</t>
        </is>
      </c>
      <c r="F1909" s="47" t="inlineStr">
        <is>
          <t>LG U+</t>
        </is>
      </c>
      <c r="G1909" s="47" t="inlineStr">
        <is>
          <t>LTE</t>
        </is>
      </c>
      <c r="H1909" s="48" t="n">
        <v>12100</v>
      </c>
      <c r="I1909" s="48" t="n"/>
      <c r="J1909" s="48" t="n"/>
      <c r="K1909" s="47">
        <f t="array" ref="K1909">_xlfn.XLOOKUP(1,(참조!$B$2:$B$15=E1909)*(참조!$D$2:$D$15=C1909)*(참조!$E$2:$E$15=D1909),참조!$C$2:$C$15,"")</f>
        <v/>
      </c>
    </row>
    <row r="1910" hidden="1" s="27">
      <c r="A1910" s="47" t="inlineStr">
        <is>
          <t>에이모바일</t>
        </is>
      </c>
      <c r="B1910" s="47" t="inlineStr">
        <is>
          <t>A 갓성비 7GB/100분 9</t>
        </is>
      </c>
      <c r="C1910" s="47" t="inlineStr">
        <is>
          <t>100분</t>
        </is>
      </c>
      <c r="D1910" s="47" t="inlineStr">
        <is>
          <t>100건</t>
        </is>
      </c>
      <c r="E1910" s="47" t="inlineStr">
        <is>
          <t>월 7GB</t>
        </is>
      </c>
      <c r="F1910" s="47" t="inlineStr">
        <is>
          <t>LG U+</t>
        </is>
      </c>
      <c r="G1910" s="47" t="inlineStr">
        <is>
          <t>LTE</t>
        </is>
      </c>
      <c r="H1910" s="48" t="n">
        <v>2200</v>
      </c>
      <c r="I1910" s="48" t="n">
        <v>9</v>
      </c>
      <c r="J1910" s="48" t="n">
        <v>9900</v>
      </c>
      <c r="K1910" s="47">
        <f t="array" ref="K1910">_xlfn.XLOOKUP(1,(참조!$B$2:$B$15=E1910)*(참조!$D$2:$D$15=C1910)*(참조!$E$2:$E$15=D1910),참조!$C$2:$C$15,"")</f>
        <v/>
      </c>
    </row>
    <row r="1911" hidden="1" s="27">
      <c r="A1911" s="47" t="inlineStr">
        <is>
          <t>리브모바일</t>
        </is>
      </c>
      <c r="B1911" s="47" t="inlineStr">
        <is>
          <t>LTE 71GB+(청년미래)</t>
        </is>
      </c>
      <c r="C1911" s="47" t="inlineStr">
        <is>
          <t>무제한</t>
        </is>
      </c>
      <c r="D1911" s="47" t="inlineStr">
        <is>
          <t>무제한</t>
        </is>
      </c>
      <c r="E1911" s="47" t="inlineStr">
        <is>
          <t>월 11GB + 매일 2GB + 3Mbps</t>
        </is>
      </c>
      <c r="F1911" s="47" t="inlineStr">
        <is>
          <t>LG U+</t>
        </is>
      </c>
      <c r="G1911" s="47" t="inlineStr">
        <is>
          <t>LTE</t>
        </is>
      </c>
      <c r="H1911" s="48" t="n">
        <v>33000</v>
      </c>
      <c r="I1911" s="48" t="n"/>
      <c r="J1911" s="48" t="n"/>
      <c r="K1911" s="47">
        <f t="array" ref="K1911">_xlfn.XLOOKUP(1,(참조!$B$2:$B$15=E1911)*(참조!$D$2:$D$15=C1911)*(참조!$E$2:$E$15=D1911),참조!$C$2:$C$15,"")</f>
        <v/>
      </c>
    </row>
    <row r="1912" hidden="1" s="27">
      <c r="A1912" s="47" t="inlineStr">
        <is>
          <t>위너스텔</t>
        </is>
      </c>
      <c r="B1912" s="47" t="inlineStr">
        <is>
          <t>WELL200분+10GB</t>
        </is>
      </c>
      <c r="C1912" s="47" t="inlineStr">
        <is>
          <t>200분</t>
        </is>
      </c>
      <c r="D1912" s="47" t="inlineStr">
        <is>
          <t>50건</t>
        </is>
      </c>
      <c r="E1912" s="47" t="inlineStr">
        <is>
          <t>월 10GB</t>
        </is>
      </c>
      <c r="F1912" s="47" t="inlineStr">
        <is>
          <t>KT</t>
        </is>
      </c>
      <c r="G1912" s="47" t="inlineStr">
        <is>
          <t>LTE</t>
        </is>
      </c>
      <c r="H1912" s="48" t="n">
        <v>16500</v>
      </c>
      <c r="I1912" s="48" t="n"/>
      <c r="J1912" s="48" t="n"/>
      <c r="K1912" s="47">
        <f t="array" ref="K1912">_xlfn.XLOOKUP(1,(참조!$B$2:$B$15=E1912)*(참조!$D$2:$D$15=C1912)*(참조!$E$2:$E$15=D1912),참조!$C$2:$C$15,"")</f>
        <v/>
      </c>
    </row>
    <row r="1913" hidden="1" s="27">
      <c r="A1913" s="47" t="inlineStr">
        <is>
          <t>위너스텔</t>
        </is>
      </c>
      <c r="B1913" s="47" t="inlineStr">
        <is>
          <t>7GB+1Mbps(네이버페이 5,000P)</t>
        </is>
      </c>
      <c r="C1913" s="47" t="inlineStr">
        <is>
          <t>무제한</t>
        </is>
      </c>
      <c r="D1913" s="47" t="inlineStr">
        <is>
          <t>무제한</t>
        </is>
      </c>
      <c r="E1913" s="47" t="inlineStr">
        <is>
          <t>월 7GB + 1Mbps</t>
        </is>
      </c>
      <c r="F1913" s="47" t="inlineStr">
        <is>
          <t>KT</t>
        </is>
      </c>
      <c r="G1913" s="47" t="inlineStr">
        <is>
          <t>LTE</t>
        </is>
      </c>
      <c r="H1913" s="48" t="n">
        <v>19800</v>
      </c>
      <c r="I1913" s="48" t="n"/>
      <c r="J1913" s="48" t="n"/>
      <c r="K1913" s="47">
        <f t="array" ref="K1913">_xlfn.XLOOKUP(1,(참조!$B$2:$B$15=E1913)*(참조!$D$2:$D$15=C1913)*(참조!$E$2:$E$15=D1913),참조!$C$2:$C$15,"")</f>
        <v/>
      </c>
    </row>
    <row r="1914" hidden="1" s="27">
      <c r="A1914" s="47" t="inlineStr">
        <is>
          <t>모빙</t>
        </is>
      </c>
      <c r="B1914" s="47" t="inlineStr">
        <is>
          <t>5G 모빙 데이터 24GB+</t>
        </is>
      </c>
      <c r="C1914" s="47" t="inlineStr">
        <is>
          <t>무제한</t>
        </is>
      </c>
      <c r="D1914" s="47" t="inlineStr">
        <is>
          <t>무제한</t>
        </is>
      </c>
      <c r="E1914" s="47" t="inlineStr">
        <is>
          <t>월 24GB + 1Mbps</t>
        </is>
      </c>
      <c r="F1914" s="47" t="inlineStr">
        <is>
          <t>SKT</t>
        </is>
      </c>
      <c r="G1914" s="47" t="inlineStr">
        <is>
          <t>5G</t>
        </is>
      </c>
      <c r="H1914" s="48" t="n">
        <v>36600</v>
      </c>
      <c r="I1914" s="48" t="n">
        <v>24</v>
      </c>
      <c r="J1914" s="48" t="n">
        <v>49500</v>
      </c>
      <c r="K1914" s="47">
        <f t="array" ref="K1914">_xlfn.XLOOKUP(1,(참조!$B$2:$B$15=E1914)*(참조!$D$2:$D$15=C1914)*(참조!$E$2:$E$15=D1914),참조!$C$2:$C$15,"")</f>
        <v/>
      </c>
    </row>
    <row r="1915" hidden="1" s="27">
      <c r="A1915" s="47" t="inlineStr">
        <is>
          <t>이야기모바일</t>
        </is>
      </c>
      <c r="B1915" s="47" t="inlineStr">
        <is>
          <t>내맘대로 차단형 (200분+1GB)</t>
        </is>
      </c>
      <c r="C1915" s="47" t="inlineStr">
        <is>
          <t>200분</t>
        </is>
      </c>
      <c r="D1915" s="47" t="inlineStr">
        <is>
          <t>50건</t>
        </is>
      </c>
      <c r="E1915" s="47" t="inlineStr">
        <is>
          <t>월 1GB</t>
        </is>
      </c>
      <c r="F1915" s="47" t="inlineStr">
        <is>
          <t>LG U+</t>
        </is>
      </c>
      <c r="G1915" s="47" t="inlineStr">
        <is>
          <t>LTE</t>
        </is>
      </c>
      <c r="H1915" s="48" t="n">
        <v>11000</v>
      </c>
      <c r="I1915" s="48" t="n"/>
      <c r="J1915" s="48" t="n"/>
      <c r="K1915" s="47">
        <f t="array" ref="K1915">_xlfn.XLOOKUP(1,(참조!$B$2:$B$15=E1915)*(참조!$D$2:$D$15=C1915)*(참조!$E$2:$E$15=D1915),참조!$C$2:$C$15,"")</f>
        <v/>
      </c>
    </row>
    <row r="1916" hidden="1" s="27">
      <c r="A1916" s="47" t="inlineStr">
        <is>
          <t>모빙</t>
        </is>
      </c>
      <c r="B1916" s="47" t="inlineStr">
        <is>
          <t>[L] 데이터 10GB+</t>
        </is>
      </c>
      <c r="C1916" s="47" t="inlineStr">
        <is>
          <t>무제한</t>
        </is>
      </c>
      <c r="D1916" s="47" t="inlineStr">
        <is>
          <t>무제한</t>
        </is>
      </c>
      <c r="E1916" s="47" t="inlineStr">
        <is>
          <t>월 10GB + 1Mbps</t>
        </is>
      </c>
      <c r="F1916" s="47" t="inlineStr">
        <is>
          <t>LG U+</t>
        </is>
      </c>
      <c r="G1916" s="47" t="inlineStr">
        <is>
          <t>LTE</t>
        </is>
      </c>
      <c r="H1916" s="48" t="n">
        <v>9900</v>
      </c>
      <c r="I1916" s="48" t="n">
        <v>7</v>
      </c>
      <c r="J1916" s="48" t="n">
        <v>30800</v>
      </c>
      <c r="K1916" s="47">
        <f t="array" ref="K1916">_xlfn.XLOOKUP(1,(참조!$B$2:$B$15=E1916)*(참조!$D$2:$D$15=C1916)*(참조!$E$2:$E$15=D1916),참조!$C$2:$C$15,"")</f>
        <v/>
      </c>
    </row>
    <row r="1917" hidden="1" s="27">
      <c r="A1917" s="47" t="inlineStr">
        <is>
          <t>아이즈모바일</t>
        </is>
      </c>
      <c r="B1917" s="47" t="inlineStr">
        <is>
          <t>[S]스페셜10GB+</t>
        </is>
      </c>
      <c r="C1917" s="47" t="inlineStr">
        <is>
          <t>무제한</t>
        </is>
      </c>
      <c r="D1917" s="47" t="inlineStr">
        <is>
          <t>무제한</t>
        </is>
      </c>
      <c r="E1917" s="47" t="inlineStr">
        <is>
          <t>월 10GB + 1Mbps</t>
        </is>
      </c>
      <c r="F1917" s="47" t="inlineStr">
        <is>
          <t>SKT</t>
        </is>
      </c>
      <c r="G1917" s="47" t="inlineStr">
        <is>
          <t>LTE</t>
        </is>
      </c>
      <c r="H1917" s="48" t="n">
        <v>27500</v>
      </c>
      <c r="I1917" s="48" t="n"/>
      <c r="J1917" s="48" t="n"/>
      <c r="K1917" s="47">
        <f t="array" ref="K1917">_xlfn.XLOOKUP(1,(참조!$B$2:$B$15=E1917)*(참조!$D$2:$D$15=C1917)*(참조!$E$2:$E$15=D1917),참조!$C$2:$C$15,"")</f>
        <v/>
      </c>
    </row>
    <row r="1918" hidden="1" s="27">
      <c r="A1918" s="47" t="inlineStr">
        <is>
          <t>모빙</t>
        </is>
      </c>
      <c r="B1918" s="47" t="inlineStr">
        <is>
          <t>5G U모빙 200GB+</t>
        </is>
      </c>
      <c r="C1918" s="47" t="inlineStr">
        <is>
          <t>무제한</t>
        </is>
      </c>
      <c r="D1918" s="47" t="inlineStr">
        <is>
          <t>무제한</t>
        </is>
      </c>
      <c r="E1918" s="47" t="inlineStr">
        <is>
          <t>월 200GB + 5Mbps</t>
        </is>
      </c>
      <c r="F1918" s="47" t="inlineStr">
        <is>
          <t>SKT</t>
        </is>
      </c>
      <c r="G1918" s="47" t="inlineStr">
        <is>
          <t>5G</t>
        </is>
      </c>
      <c r="H1918" s="48" t="n">
        <v>47700</v>
      </c>
      <c r="I1918" s="48" t="n">
        <v>24</v>
      </c>
      <c r="J1918" s="48" t="n">
        <v>60100</v>
      </c>
      <c r="K1918" s="47">
        <f t="array" ref="K1918">_xlfn.XLOOKUP(1,(참조!$B$2:$B$15=E1918)*(참조!$D$2:$D$15=C1918)*(참조!$E$2:$E$15=D1918),참조!$C$2:$C$15,"")</f>
        <v/>
      </c>
    </row>
    <row r="1919" hidden="1" s="27">
      <c r="A1919" s="47" t="inlineStr">
        <is>
          <t>리브모바일</t>
        </is>
      </c>
      <c r="B1919" s="47" t="inlineStr">
        <is>
          <t>ESG LTE 3GB+(100분)</t>
        </is>
      </c>
      <c r="C1919" s="47" t="inlineStr">
        <is>
          <t>100분</t>
        </is>
      </c>
      <c r="D1919" s="47" t="inlineStr">
        <is>
          <t>100건</t>
        </is>
      </c>
      <c r="E1919" s="47" t="inlineStr">
        <is>
          <t>월 3GB + 1Mbps</t>
        </is>
      </c>
      <c r="F1919" s="47" t="inlineStr">
        <is>
          <t>LG U+</t>
        </is>
      </c>
      <c r="G1919" s="47" t="inlineStr">
        <is>
          <t>LTE</t>
        </is>
      </c>
      <c r="H1919" s="48" t="n">
        <v>7600</v>
      </c>
      <c r="I1919" s="48" t="n">
        <v>12</v>
      </c>
      <c r="J1919" s="48" t="n">
        <v>10900</v>
      </c>
      <c r="K1919" s="47">
        <f t="array" ref="K1919">_xlfn.XLOOKUP(1,(참조!$B$2:$B$15=E1919)*(참조!$D$2:$D$15=C1919)*(참조!$E$2:$E$15=D1919),참조!$C$2:$C$15,"")</f>
        <v/>
      </c>
    </row>
    <row r="1920" hidden="1" s="27">
      <c r="A1920" s="47" t="inlineStr">
        <is>
          <t>티플러스</t>
        </is>
      </c>
      <c r="B1920" s="47" t="inlineStr">
        <is>
          <t>5G 통화안심 6GB</t>
        </is>
      </c>
      <c r="C1920" s="47" t="inlineStr">
        <is>
          <t>무제한</t>
        </is>
      </c>
      <c r="D1920" s="47" t="inlineStr">
        <is>
          <t>100건</t>
        </is>
      </c>
      <c r="E1920" s="47" t="inlineStr">
        <is>
          <t>월 6GB</t>
        </is>
      </c>
      <c r="F1920" s="47" t="inlineStr">
        <is>
          <t>SKT</t>
        </is>
      </c>
      <c r="G1920" s="47" t="inlineStr">
        <is>
          <t>5G</t>
        </is>
      </c>
      <c r="H1920" s="48" t="n">
        <v>4900</v>
      </c>
      <c r="I1920" s="48" t="n">
        <v>4</v>
      </c>
      <c r="J1920" s="48" t="n">
        <v>14300</v>
      </c>
      <c r="K1920" s="47">
        <f t="array" ref="K1920">_xlfn.XLOOKUP(1,(참조!$B$2:$B$15=E1920)*(참조!$D$2:$D$15=C1920)*(참조!$E$2:$E$15=D1920),참조!$C$2:$C$15,"")</f>
        <v/>
      </c>
    </row>
    <row r="1921" hidden="1" s="27">
      <c r="A1921" s="47" t="inlineStr">
        <is>
          <t>에이모바일</t>
        </is>
      </c>
      <c r="B1921" s="47" t="inlineStr">
        <is>
          <t>A 갓성비 10GB+/200분</t>
        </is>
      </c>
      <c r="C1921" s="47" t="inlineStr">
        <is>
          <t>200분</t>
        </is>
      </c>
      <c r="D1921" s="47" t="inlineStr">
        <is>
          <t>100건</t>
        </is>
      </c>
      <c r="E1921" s="47" t="inlineStr">
        <is>
          <t>월 10GB + 1Mbps</t>
        </is>
      </c>
      <c r="F1921" s="47" t="inlineStr">
        <is>
          <t>LG U+</t>
        </is>
      </c>
      <c r="G1921" s="47" t="inlineStr">
        <is>
          <t>LTE</t>
        </is>
      </c>
      <c r="H1921" s="48" t="n">
        <v>8800</v>
      </c>
      <c r="I1921" s="48" t="n">
        <v>7</v>
      </c>
      <c r="J1921" s="48" t="n">
        <v>25300</v>
      </c>
      <c r="K1921" s="47">
        <f t="array" ref="K1921">_xlfn.XLOOKUP(1,(참조!$B$2:$B$15=E1921)*(참조!$D$2:$D$15=C1921)*(참조!$E$2:$E$15=D1921),참조!$C$2:$C$15,"")</f>
        <v/>
      </c>
    </row>
    <row r="1922" hidden="1" s="27">
      <c r="A1922" s="47" t="inlineStr">
        <is>
          <t>에이모바일</t>
        </is>
      </c>
      <c r="B1922" s="47" t="inlineStr">
        <is>
          <t>A 갓성비 5GB/230분 9</t>
        </is>
      </c>
      <c r="C1922" s="47" t="inlineStr">
        <is>
          <t>230분</t>
        </is>
      </c>
      <c r="D1922" s="47" t="inlineStr">
        <is>
          <t>100건</t>
        </is>
      </c>
      <c r="E1922" s="47" t="inlineStr">
        <is>
          <t>월 5GB</t>
        </is>
      </c>
      <c r="F1922" s="47" t="inlineStr">
        <is>
          <t>LG U+</t>
        </is>
      </c>
      <c r="G1922" s="47" t="inlineStr">
        <is>
          <t>LTE</t>
        </is>
      </c>
      <c r="H1922" s="48" t="n">
        <v>990</v>
      </c>
      <c r="I1922" s="48" t="n">
        <v>9</v>
      </c>
      <c r="J1922" s="48" t="n">
        <v>9350</v>
      </c>
      <c r="K1922" s="47">
        <f t="array" ref="K1922">_xlfn.XLOOKUP(1,(참조!$B$2:$B$15=E1922)*(참조!$D$2:$D$15=C1922)*(참조!$E$2:$E$15=D1922),참조!$C$2:$C$15,"")</f>
        <v/>
      </c>
    </row>
    <row r="1923" hidden="1" s="27">
      <c r="A1923" s="47" t="inlineStr">
        <is>
          <t>아이즈모바일</t>
        </is>
      </c>
      <c r="B1923" s="47" t="inlineStr">
        <is>
          <t>아이즈(100분/1GB+)</t>
        </is>
      </c>
      <c r="C1923" s="47" t="inlineStr">
        <is>
          <t>100분</t>
        </is>
      </c>
      <c r="D1923" s="47" t="inlineStr">
        <is>
          <t>100건</t>
        </is>
      </c>
      <c r="E1923" s="47" t="inlineStr">
        <is>
          <t>월 1GB + 1Mbps</t>
        </is>
      </c>
      <c r="F1923" s="47" t="inlineStr">
        <is>
          <t>LG U+</t>
        </is>
      </c>
      <c r="G1923" s="47" t="inlineStr">
        <is>
          <t>LTE</t>
        </is>
      </c>
      <c r="H1923" s="48" t="n">
        <v>8200</v>
      </c>
      <c r="I1923" s="48" t="n"/>
      <c r="J1923" s="48" t="n"/>
      <c r="K1923" s="47">
        <f t="array" ref="K1923">_xlfn.XLOOKUP(1,(참조!$B$2:$B$15=E1923)*(참조!$D$2:$D$15=C1923)*(참조!$E$2:$E$15=D1923),참조!$C$2:$C$15,"")</f>
        <v/>
      </c>
    </row>
    <row r="1924" hidden="1" s="27">
      <c r="A1924" s="47" t="inlineStr">
        <is>
          <t>모빙</t>
        </is>
      </c>
      <c r="B1924" s="47" t="inlineStr">
        <is>
          <t>쏙쏙 청소년 300분 1GB+</t>
        </is>
      </c>
      <c r="C1924" s="47" t="inlineStr">
        <is>
          <t>300분</t>
        </is>
      </c>
      <c r="D1924" s="47" t="inlineStr">
        <is>
          <t>300건</t>
        </is>
      </c>
      <c r="E1924" s="47" t="inlineStr">
        <is>
          <t>월 1GB + 1Mbps</t>
        </is>
      </c>
      <c r="F1924" s="47" t="inlineStr">
        <is>
          <t>KT</t>
        </is>
      </c>
      <c r="G1924" s="47" t="inlineStr">
        <is>
          <t>LTE</t>
        </is>
      </c>
      <c r="H1924" s="48" t="n">
        <v>18700</v>
      </c>
      <c r="I1924" s="48" t="n"/>
      <c r="J1924" s="48" t="n"/>
      <c r="K1924" s="47">
        <f t="array" ref="K1924">_xlfn.XLOOKUP(1,(참조!$B$2:$B$15=E1924)*(참조!$D$2:$D$15=C1924)*(참조!$E$2:$E$15=D1924),참조!$C$2:$C$15,"")</f>
        <v/>
      </c>
    </row>
    <row r="1925" hidden="1" s="27">
      <c r="A1925" s="47" t="inlineStr">
        <is>
          <t>리브모바일</t>
        </is>
      </c>
      <c r="B1925" s="47" t="inlineStr">
        <is>
          <t>5G 무제한 30GB+</t>
        </is>
      </c>
      <c r="C1925" s="47" t="inlineStr">
        <is>
          <t>무제한</t>
        </is>
      </c>
      <c r="D1925" s="47" t="inlineStr">
        <is>
          <t>무제한</t>
        </is>
      </c>
      <c r="E1925" s="47" t="inlineStr">
        <is>
          <t>월 30GB + 1Mbps</t>
        </is>
      </c>
      <c r="F1925" s="47" t="inlineStr">
        <is>
          <t>KT</t>
        </is>
      </c>
      <c r="G1925" s="47" t="inlineStr">
        <is>
          <t>5G</t>
        </is>
      </c>
      <c r="H1925" s="48" t="n">
        <v>38000</v>
      </c>
      <c r="I1925" s="48" t="n">
        <v>12</v>
      </c>
      <c r="J1925" s="48" t="n">
        <v>42400</v>
      </c>
      <c r="K1925" s="47">
        <f t="array" ref="K1925">_xlfn.XLOOKUP(1,(참조!$B$2:$B$15=E1925)*(참조!$D$2:$D$15=C1925)*(참조!$E$2:$E$15=D1925),참조!$C$2:$C$15,"")</f>
        <v/>
      </c>
    </row>
    <row r="1926" hidden="1" s="27">
      <c r="A1926" s="47" t="inlineStr">
        <is>
          <t>모빙</t>
        </is>
      </c>
      <c r="B1926" s="47" t="inlineStr">
        <is>
          <t>[S] 컬쳐랜드 7GB+</t>
        </is>
      </c>
      <c r="C1926" s="47" t="inlineStr">
        <is>
          <t>무제한</t>
        </is>
      </c>
      <c r="D1926" s="47" t="inlineStr">
        <is>
          <t>무제한</t>
        </is>
      </c>
      <c r="E1926" s="47" t="inlineStr">
        <is>
          <t>월 7GB + 1Mbps</t>
        </is>
      </c>
      <c r="F1926" s="47" t="inlineStr">
        <is>
          <t>SKT</t>
        </is>
      </c>
      <c r="G1926" s="47" t="inlineStr">
        <is>
          <t>LTE</t>
        </is>
      </c>
      <c r="H1926" s="48" t="n">
        <v>9900</v>
      </c>
      <c r="I1926" s="48" t="n">
        <v>7</v>
      </c>
      <c r="J1926" s="48" t="n">
        <v>31900</v>
      </c>
      <c r="K1926" s="47">
        <f t="array" ref="K1926">_xlfn.XLOOKUP(1,(참조!$B$2:$B$15=E1926)*(참조!$D$2:$D$15=C1926)*(참조!$E$2:$E$15=D1926),참조!$C$2:$C$15,"")</f>
        <v/>
      </c>
    </row>
    <row r="1927" hidden="1" s="27">
      <c r="A1927" s="47" t="inlineStr">
        <is>
          <t>아이즈모바일</t>
        </is>
      </c>
      <c r="B1927" s="47" t="inlineStr">
        <is>
          <t>[S]아이즈팩 10GB+</t>
        </is>
      </c>
      <c r="C1927" s="47" t="inlineStr">
        <is>
          <t>무제한</t>
        </is>
      </c>
      <c r="D1927" s="47" t="inlineStr">
        <is>
          <t>무제한</t>
        </is>
      </c>
      <c r="E1927" s="47" t="inlineStr">
        <is>
          <t>월 10GB + 1Mbps</t>
        </is>
      </c>
      <c r="F1927" s="47" t="inlineStr">
        <is>
          <t>SKT</t>
        </is>
      </c>
      <c r="G1927" s="47" t="inlineStr">
        <is>
          <t>LTE</t>
        </is>
      </c>
      <c r="H1927" s="48" t="n">
        <v>9500</v>
      </c>
      <c r="I1927" s="48" t="n">
        <v>7</v>
      </c>
      <c r="J1927" s="48" t="n">
        <v>30800</v>
      </c>
      <c r="K1927" s="47">
        <f t="array" ref="K1927">_xlfn.XLOOKUP(1,(참조!$B$2:$B$15=E1927)*(참조!$D$2:$D$15=C1927)*(참조!$E$2:$E$15=D1927),참조!$C$2:$C$15,"")</f>
        <v/>
      </c>
    </row>
    <row r="1928" hidden="1" s="27">
      <c r="A1928" s="47" t="inlineStr">
        <is>
          <t>모빙</t>
        </is>
      </c>
      <c r="B1928" s="47" t="inlineStr">
        <is>
          <t>[L] 5G 데이터 3GB+</t>
        </is>
      </c>
      <c r="C1928" s="47" t="inlineStr">
        <is>
          <t>무제한</t>
        </is>
      </c>
      <c r="D1928" s="47" t="inlineStr">
        <is>
          <t>100건</t>
        </is>
      </c>
      <c r="E1928" s="47" t="inlineStr">
        <is>
          <t>월 3GB + 1Mbps</t>
        </is>
      </c>
      <c r="F1928" s="47" t="inlineStr">
        <is>
          <t>LG U+</t>
        </is>
      </c>
      <c r="G1928" s="47" t="inlineStr">
        <is>
          <t>5G</t>
        </is>
      </c>
      <c r="H1928" s="48" t="n">
        <v>7700</v>
      </c>
      <c r="I1928" s="48" t="n"/>
      <c r="J1928" s="48" t="n"/>
      <c r="K1928" s="47">
        <f t="array" ref="K1928">_xlfn.XLOOKUP(1,(참조!$B$2:$B$15=E1928)*(참조!$D$2:$D$15=C1928)*(참조!$E$2:$E$15=D1928),참조!$C$2:$C$15,"")</f>
        <v/>
      </c>
    </row>
    <row r="1929" hidden="1" s="27">
      <c r="A1929" s="47" t="inlineStr">
        <is>
          <t>리브모바일</t>
        </is>
      </c>
      <c r="B1929" s="47" t="inlineStr">
        <is>
          <t>LTE 71GB+(라이더)</t>
        </is>
      </c>
      <c r="C1929" s="47" t="inlineStr">
        <is>
          <t>무제한</t>
        </is>
      </c>
      <c r="D1929" s="47" t="inlineStr">
        <is>
          <t>무제한</t>
        </is>
      </c>
      <c r="E1929" s="47" t="inlineStr">
        <is>
          <t>월 11GB + 매일 2GB + 3Mbps</t>
        </is>
      </c>
      <c r="F1929" s="47" t="inlineStr">
        <is>
          <t>LG U+</t>
        </is>
      </c>
      <c r="G1929" s="47" t="inlineStr">
        <is>
          <t>LTE</t>
        </is>
      </c>
      <c r="H1929" s="48" t="n">
        <v>32990</v>
      </c>
      <c r="I1929" s="48" t="n"/>
      <c r="J1929" s="48" t="n"/>
      <c r="K1929" s="47">
        <f t="array" ref="K1929">_xlfn.XLOOKUP(1,(참조!$B$2:$B$15=E1929)*(참조!$D$2:$D$15=C1929)*(참조!$E$2:$E$15=D1929),참조!$C$2:$C$15,"")</f>
        <v/>
      </c>
    </row>
    <row r="1930" hidden="1" s="27">
      <c r="A1930" s="47" t="inlineStr">
        <is>
          <t>에이모바일</t>
        </is>
      </c>
      <c r="B1930" s="47" t="inlineStr">
        <is>
          <t>A 갓성비 6GB/300분 9</t>
        </is>
      </c>
      <c r="C1930" s="47" t="inlineStr">
        <is>
          <t>300분</t>
        </is>
      </c>
      <c r="D1930" s="47" t="inlineStr">
        <is>
          <t>100건</t>
        </is>
      </c>
      <c r="E1930" s="47" t="inlineStr">
        <is>
          <t>월 6GB</t>
        </is>
      </c>
      <c r="F1930" s="47" t="inlineStr">
        <is>
          <t>LG U+</t>
        </is>
      </c>
      <c r="G1930" s="47" t="inlineStr">
        <is>
          <t>LTE</t>
        </is>
      </c>
      <c r="H1930" s="48" t="n">
        <v>1100</v>
      </c>
      <c r="I1930" s="48" t="n">
        <v>9</v>
      </c>
      <c r="J1930" s="48" t="n">
        <v>11000</v>
      </c>
      <c r="K1930" s="47">
        <f t="array" ref="K1930">_xlfn.XLOOKUP(1,(참조!$B$2:$B$15=E1930)*(참조!$D$2:$D$15=C1930)*(참조!$E$2:$E$15=D1930),참조!$C$2:$C$15,"")</f>
        <v/>
      </c>
    </row>
    <row r="1931" hidden="1" s="27">
      <c r="A1931" s="47" t="inlineStr">
        <is>
          <t>인스모바일</t>
        </is>
      </c>
      <c r="B1931" s="47" t="inlineStr">
        <is>
          <t>데이터 안심 2.5GB+(USIM)</t>
        </is>
      </c>
      <c r="C1931" s="47" t="inlineStr">
        <is>
          <t>200분</t>
        </is>
      </c>
      <c r="D1931" s="47" t="inlineStr">
        <is>
          <t>100건</t>
        </is>
      </c>
      <c r="E1931" s="47" t="inlineStr">
        <is>
          <t>월 2.5GB + 1Mbps</t>
        </is>
      </c>
      <c r="F1931" s="47" t="inlineStr">
        <is>
          <t>LG U+</t>
        </is>
      </c>
      <c r="G1931" s="47" t="inlineStr">
        <is>
          <t>LTE</t>
        </is>
      </c>
      <c r="H1931" s="48" t="n">
        <v>5280</v>
      </c>
      <c r="I1931" s="48" t="n">
        <v>6</v>
      </c>
      <c r="J1931" s="48" t="n">
        <v>16500</v>
      </c>
      <c r="K1931" s="47">
        <f t="array" ref="K1931">_xlfn.XLOOKUP(1,(참조!$B$2:$B$15=E1931)*(참조!$D$2:$D$15=C1931)*(참조!$E$2:$E$15=D1931),참조!$C$2:$C$15,"")</f>
        <v/>
      </c>
    </row>
    <row r="1932" hidden="1" s="27">
      <c r="A1932" s="47" t="inlineStr">
        <is>
          <t>리브모바일</t>
        </is>
      </c>
      <c r="B1932" s="47" t="inlineStr">
        <is>
          <t>LTE 71GB+(혜택형)</t>
        </is>
      </c>
      <c r="C1932" s="47" t="inlineStr">
        <is>
          <t>무제한</t>
        </is>
      </c>
      <c r="D1932" s="47" t="inlineStr">
        <is>
          <t>무제한</t>
        </is>
      </c>
      <c r="E1932" s="47" t="inlineStr">
        <is>
          <t>월 11GB + 매일 2GB + 3Mbps</t>
        </is>
      </c>
      <c r="F1932" s="47" t="inlineStr">
        <is>
          <t>LG U+</t>
        </is>
      </c>
      <c r="G1932" s="47" t="inlineStr">
        <is>
          <t>LTE</t>
        </is>
      </c>
      <c r="H1932" s="48" t="n">
        <v>33000</v>
      </c>
      <c r="I1932" s="48" t="n"/>
      <c r="J1932" s="48" t="n"/>
      <c r="K1932" s="47">
        <f t="array" ref="K1932">_xlfn.XLOOKUP(1,(참조!$B$2:$B$15=E1932)*(참조!$D$2:$D$15=C1932)*(참조!$E$2:$E$15=D1932),참조!$C$2:$C$15,"")</f>
        <v/>
      </c>
    </row>
    <row r="1933" hidden="1" s="27">
      <c r="A1933" s="47" t="inlineStr">
        <is>
          <t>에이모바일</t>
        </is>
      </c>
      <c r="B1933" s="47" t="inlineStr">
        <is>
          <t>A 5G 스페셜 플러스</t>
        </is>
      </c>
      <c r="C1933" s="47" t="inlineStr">
        <is>
          <t>무제한</t>
        </is>
      </c>
      <c r="D1933" s="47" t="inlineStr">
        <is>
          <t>무제한</t>
        </is>
      </c>
      <c r="E1933" s="47" t="inlineStr">
        <is>
          <t>월 80GB + 1Mbps</t>
        </is>
      </c>
      <c r="F1933" s="47" t="inlineStr">
        <is>
          <t>LG U+</t>
        </is>
      </c>
      <c r="G1933" s="47" t="inlineStr">
        <is>
          <t>5G</t>
        </is>
      </c>
      <c r="H1933" s="48" t="n">
        <v>29700</v>
      </c>
      <c r="I1933" s="48" t="n">
        <v>7</v>
      </c>
      <c r="J1933" s="48" t="n">
        <v>46200</v>
      </c>
      <c r="K1933" s="47">
        <f t="array" ref="K1933">_xlfn.XLOOKUP(1,(참조!$B$2:$B$15=E1933)*(참조!$D$2:$D$15=C1933)*(참조!$E$2:$E$15=D1933),참조!$C$2:$C$15,"")</f>
        <v/>
      </c>
    </row>
    <row r="1934" hidden="1" s="27">
      <c r="A1934" s="47" t="inlineStr">
        <is>
          <t>아이즈모바일</t>
        </is>
      </c>
      <c r="B1934" s="47" t="inlineStr">
        <is>
          <t>[L]아이즈특판11GB+일2GB</t>
        </is>
      </c>
      <c r="C1934" s="47" t="inlineStr">
        <is>
          <t>무제한</t>
        </is>
      </c>
      <c r="D1934" s="47" t="inlineStr">
        <is>
          <t>무제한</t>
        </is>
      </c>
      <c r="E1934" s="47" t="inlineStr">
        <is>
          <t>월 11GB + 3Mbps</t>
        </is>
      </c>
      <c r="F1934" s="47" t="inlineStr">
        <is>
          <t>LG U+</t>
        </is>
      </c>
      <c r="G1934" s="47" t="inlineStr">
        <is>
          <t>LTE</t>
        </is>
      </c>
      <c r="H1934" s="48" t="n">
        <v>37400</v>
      </c>
      <c r="I1934" s="48" t="n"/>
      <c r="J1934" s="48" t="n"/>
      <c r="K1934" s="47">
        <f t="array" ref="K1934">_xlfn.XLOOKUP(1,(참조!$B$2:$B$15=E1934)*(참조!$D$2:$D$15=C1934)*(참조!$E$2:$E$15=D1934),참조!$C$2:$C$15,"")</f>
        <v/>
      </c>
    </row>
    <row r="1935" hidden="1" s="27">
      <c r="A1935" s="47" t="inlineStr">
        <is>
          <t>모빙</t>
        </is>
      </c>
      <c r="B1935" s="47" t="inlineStr">
        <is>
          <t>5G 홈결합 12GB+</t>
        </is>
      </c>
      <c r="C1935" s="47" t="inlineStr">
        <is>
          <t>무제한</t>
        </is>
      </c>
      <c r="D1935" s="47" t="inlineStr">
        <is>
          <t>무제한</t>
        </is>
      </c>
      <c r="E1935" s="47" t="inlineStr">
        <is>
          <t>월 12GB + 1Mbps</t>
        </is>
      </c>
      <c r="F1935" s="47" t="inlineStr">
        <is>
          <t>LG U+</t>
        </is>
      </c>
      <c r="G1935" s="47" t="inlineStr">
        <is>
          <t>5G</t>
        </is>
      </c>
      <c r="H1935" s="48" t="n">
        <v>27000</v>
      </c>
      <c r="I1935" s="48" t="n">
        <v>12</v>
      </c>
      <c r="J1935" s="48" t="n">
        <v>46500</v>
      </c>
      <c r="K1935" s="47">
        <f t="array" ref="K1935">_xlfn.XLOOKUP(1,(참조!$B$2:$B$15=E1935)*(참조!$D$2:$D$15=C1935)*(참조!$E$2:$E$15=D1935),참조!$C$2:$C$15,"")</f>
        <v/>
      </c>
    </row>
    <row r="1936" hidden="1" s="27">
      <c r="A1936" s="47" t="inlineStr">
        <is>
          <t>아이즈모바일</t>
        </is>
      </c>
      <c r="B1936" s="47" t="inlineStr">
        <is>
          <t>아이즈 6GB+</t>
        </is>
      </c>
      <c r="C1936" s="47" t="inlineStr">
        <is>
          <t>무제한</t>
        </is>
      </c>
      <c r="D1936" s="47" t="inlineStr">
        <is>
          <t>무제한</t>
        </is>
      </c>
      <c r="E1936" s="47" t="inlineStr">
        <is>
          <t>월 6GB + 1Mbps</t>
        </is>
      </c>
      <c r="F1936" s="47" t="inlineStr">
        <is>
          <t>LG U+</t>
        </is>
      </c>
      <c r="G1936" s="47" t="inlineStr">
        <is>
          <t>LTE</t>
        </is>
      </c>
      <c r="H1936" s="48" t="n">
        <v>16800</v>
      </c>
      <c r="I1936" s="48" t="n"/>
      <c r="J1936" s="48" t="n"/>
      <c r="K1936" s="47">
        <f t="array" ref="K1936">_xlfn.XLOOKUP(1,(참조!$B$2:$B$15=E1936)*(참조!$D$2:$D$15=C1936)*(참조!$E$2:$E$15=D1936),참조!$C$2:$C$15,"")</f>
        <v/>
      </c>
    </row>
    <row r="1937" hidden="1" s="27">
      <c r="A1937" s="47" t="inlineStr">
        <is>
          <t>에이모바일</t>
        </is>
      </c>
      <c r="B1937" s="47" t="inlineStr">
        <is>
          <t>A 5G 라이트</t>
        </is>
      </c>
      <c r="C1937" s="47" t="inlineStr">
        <is>
          <t>무제한</t>
        </is>
      </c>
      <c r="D1937" s="47" t="inlineStr">
        <is>
          <t>무제한</t>
        </is>
      </c>
      <c r="E1937" s="47" t="inlineStr">
        <is>
          <t>월 9GB + 1Mbps</t>
        </is>
      </c>
      <c r="F1937" s="47" t="inlineStr">
        <is>
          <t>LG U+</t>
        </is>
      </c>
      <c r="G1937" s="47" t="inlineStr">
        <is>
          <t>5G</t>
        </is>
      </c>
      <c r="H1937" s="48" t="n">
        <v>23100</v>
      </c>
      <c r="I1937" s="48" t="n">
        <v>7</v>
      </c>
      <c r="J1937" s="48" t="n">
        <v>38500</v>
      </c>
      <c r="K1937" s="47">
        <f t="array" ref="K1937">_xlfn.XLOOKUP(1,(참조!$B$2:$B$15=E1937)*(참조!$D$2:$D$15=C1937)*(참조!$E$2:$E$15=D1937),참조!$C$2:$C$15,"")</f>
        <v/>
      </c>
    </row>
    <row r="1938" hidden="1" s="27">
      <c r="A1938" s="47" t="inlineStr">
        <is>
          <t>아이즈모바일</t>
        </is>
      </c>
      <c r="B1938" s="47" t="inlineStr">
        <is>
          <t>[S]그란데(500분/6GB)</t>
        </is>
      </c>
      <c r="C1938" s="47" t="inlineStr">
        <is>
          <t>500분</t>
        </is>
      </c>
      <c r="D1938" s="47" t="inlineStr">
        <is>
          <t>100건</t>
        </is>
      </c>
      <c r="E1938" s="47" t="inlineStr">
        <is>
          <t>월 6GB</t>
        </is>
      </c>
      <c r="F1938" s="47" t="inlineStr">
        <is>
          <t>SKT</t>
        </is>
      </c>
      <c r="G1938" s="47" t="inlineStr">
        <is>
          <t>LTE</t>
        </is>
      </c>
      <c r="H1938" s="48" t="n">
        <v>18300</v>
      </c>
      <c r="I1938" s="48" t="n"/>
      <c r="J1938" s="48" t="n"/>
      <c r="K1938" s="47">
        <f t="array" ref="K1938">_xlfn.XLOOKUP(1,(참조!$B$2:$B$15=E1938)*(참조!$D$2:$D$15=C1938)*(참조!$E$2:$E$15=D1938),참조!$C$2:$C$15,"")</f>
        <v/>
      </c>
    </row>
    <row r="1939" hidden="1" s="27">
      <c r="A1939" s="47" t="inlineStr">
        <is>
          <t>리브모바일</t>
        </is>
      </c>
      <c r="B1939" s="47" t="inlineStr">
        <is>
          <t>5G무제한 14GB+(KT망)</t>
        </is>
      </c>
      <c r="C1939" s="47" t="inlineStr">
        <is>
          <t>무제한</t>
        </is>
      </c>
      <c r="D1939" s="47" t="inlineStr">
        <is>
          <t>무제한</t>
        </is>
      </c>
      <c r="E1939" s="47" t="inlineStr">
        <is>
          <t>월 14GB + 1Mbps</t>
        </is>
      </c>
      <c r="F1939" s="47" t="inlineStr">
        <is>
          <t>KT</t>
        </is>
      </c>
      <c r="G1939" s="47" t="inlineStr">
        <is>
          <t>5G</t>
        </is>
      </c>
      <c r="H1939" s="48" t="n">
        <v>33100</v>
      </c>
      <c r="I1939" s="48" t="n">
        <v>12</v>
      </c>
      <c r="J1939" s="48" t="n">
        <v>37500</v>
      </c>
      <c r="K1939" s="47">
        <f t="array" ref="K1939">_xlfn.XLOOKUP(1,(참조!$B$2:$B$15=E1939)*(참조!$D$2:$D$15=C1939)*(참조!$E$2:$E$15=D1939),참조!$C$2:$C$15,"")</f>
        <v/>
      </c>
    </row>
    <row r="1940" hidden="1" s="27">
      <c r="A1940" s="47" t="inlineStr">
        <is>
          <t>인스모바일</t>
        </is>
      </c>
      <c r="B1940" s="47" t="inlineStr">
        <is>
          <t>데이터 안심 250분+2.5GB+(USIM)</t>
        </is>
      </c>
      <c r="C1940" s="47" t="inlineStr">
        <is>
          <t>250분</t>
        </is>
      </c>
      <c r="D1940" s="47" t="inlineStr">
        <is>
          <t>250건</t>
        </is>
      </c>
      <c r="E1940" s="47" t="inlineStr">
        <is>
          <t>월 2.5GB + 1Mbps</t>
        </is>
      </c>
      <c r="F1940" s="47" t="inlineStr">
        <is>
          <t>LG U+</t>
        </is>
      </c>
      <c r="G1940" s="47" t="inlineStr">
        <is>
          <t>LTE</t>
        </is>
      </c>
      <c r="H1940" s="48" t="n">
        <v>6050</v>
      </c>
      <c r="I1940" s="48" t="n">
        <v>6</v>
      </c>
      <c r="J1940" s="48" t="n">
        <v>17600</v>
      </c>
      <c r="K1940" s="47">
        <f t="array" ref="K1940">_xlfn.XLOOKUP(1,(참조!$B$2:$B$15=E1940)*(참조!$D$2:$D$15=C1940)*(참조!$E$2:$E$15=D1940),참조!$C$2:$C$15,"")</f>
        <v/>
      </c>
    </row>
    <row r="1941" hidden="1" s="27">
      <c r="A1941" s="47" t="inlineStr">
        <is>
          <t>리브모바일</t>
        </is>
      </c>
      <c r="B1941" s="47" t="inlineStr">
        <is>
          <t>LTE 15GB+(100분)(청년미래)</t>
        </is>
      </c>
      <c r="C1941" s="47" t="inlineStr">
        <is>
          <t>100분</t>
        </is>
      </c>
      <c r="D1941" s="47" t="inlineStr">
        <is>
          <t>100건</t>
        </is>
      </c>
      <c r="E1941" s="47" t="inlineStr">
        <is>
          <t>월 15GB + 3Mbps</t>
        </is>
      </c>
      <c r="F1941" s="47" t="inlineStr">
        <is>
          <t>LG U+</t>
        </is>
      </c>
      <c r="G1941" s="47" t="inlineStr">
        <is>
          <t>LTE</t>
        </is>
      </c>
      <c r="H1941" s="48" t="n">
        <v>25300</v>
      </c>
      <c r="I1941" s="48" t="n"/>
      <c r="J1941" s="48" t="n"/>
      <c r="K1941" s="47">
        <f t="array" ref="K1941">_xlfn.XLOOKUP(1,(참조!$B$2:$B$15=E1941)*(참조!$D$2:$D$15=C1941)*(참조!$E$2:$E$15=D1941),참조!$C$2:$C$15,"")</f>
        <v/>
      </c>
    </row>
    <row r="1942" hidden="1" s="27">
      <c r="A1942" s="47" t="inlineStr">
        <is>
          <t>리브모바일</t>
        </is>
      </c>
      <c r="B1942" s="47" t="inlineStr">
        <is>
          <t>5G 든든무제한 12GB+</t>
        </is>
      </c>
      <c r="C1942" s="47" t="inlineStr">
        <is>
          <t>무제한</t>
        </is>
      </c>
      <c r="D1942" s="47" t="inlineStr">
        <is>
          <t>무제한</t>
        </is>
      </c>
      <c r="E1942" s="47" t="inlineStr">
        <is>
          <t>월 12GB + 1Mbps</t>
        </is>
      </c>
      <c r="F1942" s="47" t="inlineStr">
        <is>
          <t>LG U+</t>
        </is>
      </c>
      <c r="G1942" s="47" t="inlineStr">
        <is>
          <t>5G</t>
        </is>
      </c>
      <c r="H1942" s="48" t="n">
        <v>30500</v>
      </c>
      <c r="I1942" s="48" t="n">
        <v>12</v>
      </c>
      <c r="J1942" s="48" t="n">
        <v>34900</v>
      </c>
      <c r="K1942" s="47">
        <f t="array" ref="K1942">_xlfn.XLOOKUP(1,(참조!$B$2:$B$15=E1942)*(참조!$D$2:$D$15=C1942)*(참조!$E$2:$E$15=D1942),참조!$C$2:$C$15,"")</f>
        <v/>
      </c>
    </row>
    <row r="1943" hidden="1" s="27">
      <c r="A1943" s="47" t="inlineStr">
        <is>
          <t>모빙</t>
        </is>
      </c>
      <c r="B1943" s="47" t="inlineStr">
        <is>
          <t>쏙쏙 시니어 4GB+</t>
        </is>
      </c>
      <c r="C1943" s="47" t="inlineStr">
        <is>
          <t>무제한</t>
        </is>
      </c>
      <c r="D1943" s="47" t="inlineStr">
        <is>
          <t>무제한</t>
        </is>
      </c>
      <c r="E1943" s="47" t="inlineStr">
        <is>
          <t>월 4GB + 1Mbps</t>
        </is>
      </c>
      <c r="F1943" s="47" t="inlineStr">
        <is>
          <t>KT</t>
        </is>
      </c>
      <c r="G1943" s="47" t="inlineStr">
        <is>
          <t>LTE</t>
        </is>
      </c>
      <c r="H1943" s="48" t="n">
        <v>9900</v>
      </c>
      <c r="I1943" s="48" t="n">
        <v>24</v>
      </c>
      <c r="J1943" s="48" t="n">
        <v>11000</v>
      </c>
      <c r="K1943" s="47">
        <f t="array" ref="K1943">_xlfn.XLOOKUP(1,(참조!$B$2:$B$15=E1943)*(참조!$D$2:$D$15=C1943)*(참조!$E$2:$E$15=D1943),참조!$C$2:$C$15,"")</f>
        <v/>
      </c>
    </row>
    <row r="1944" hidden="1" s="27">
      <c r="A1944" s="47" t="inlineStr">
        <is>
          <t>티플러스</t>
        </is>
      </c>
      <c r="B1944" s="47" t="inlineStr">
        <is>
          <t>데이터안심 5GB＋(100분)</t>
        </is>
      </c>
      <c r="C1944" s="47" t="inlineStr">
        <is>
          <t>100분</t>
        </is>
      </c>
      <c r="D1944" s="47" t="inlineStr">
        <is>
          <t>100건</t>
        </is>
      </c>
      <c r="E1944" s="47" t="inlineStr">
        <is>
          <t>월 5GB + 400Kbps</t>
        </is>
      </c>
      <c r="F1944" s="47" t="inlineStr">
        <is>
          <t>SKT</t>
        </is>
      </c>
      <c r="G1944" s="47" t="inlineStr">
        <is>
          <t>LTE</t>
        </is>
      </c>
      <c r="H1944" s="48" t="n">
        <v>7700</v>
      </c>
      <c r="I1944" s="48" t="n">
        <v>7</v>
      </c>
      <c r="J1944" s="48" t="n">
        <v>13200</v>
      </c>
      <c r="K1944" s="47">
        <f t="array" ref="K1944">_xlfn.XLOOKUP(1,(참조!$B$2:$B$15=E1944)*(참조!$D$2:$D$15=C1944)*(참조!$E$2:$E$15=D1944),참조!$C$2:$C$15,"")</f>
        <v/>
      </c>
    </row>
    <row r="1945" hidden="1" s="27">
      <c r="A1945" s="47" t="inlineStr">
        <is>
          <t>아이즈모바일</t>
        </is>
      </c>
      <c r="B1945" s="47" t="inlineStr">
        <is>
          <t>아이즈포스트(500분/5G)</t>
        </is>
      </c>
      <c r="C1945" s="47" t="inlineStr">
        <is>
          <t>500분</t>
        </is>
      </c>
      <c r="D1945" s="47" t="inlineStr">
        <is>
          <t>500건</t>
        </is>
      </c>
      <c r="E1945" s="47" t="inlineStr">
        <is>
          <t>월 5GB</t>
        </is>
      </c>
      <c r="F1945" s="47" t="inlineStr">
        <is>
          <t>SKT</t>
        </is>
      </c>
      <c r="G1945" s="47" t="inlineStr">
        <is>
          <t>LTE</t>
        </is>
      </c>
      <c r="H1945" s="48" t="n">
        <v>9900</v>
      </c>
      <c r="I1945" s="48" t="n"/>
      <c r="J1945" s="48" t="n"/>
      <c r="K1945" s="47">
        <f t="array" ref="K1945">_xlfn.XLOOKUP(1,(참조!$B$2:$B$15=E1945)*(참조!$D$2:$D$15=C1945)*(참조!$E$2:$E$15=D1945),참조!$C$2:$C$15,"")</f>
        <v/>
      </c>
    </row>
    <row r="1946" hidden="1" s="27">
      <c r="A1946" s="47" t="inlineStr">
        <is>
          <t>티플러스</t>
        </is>
      </c>
      <c r="B1946" s="47" t="inlineStr">
        <is>
          <t>데이터통화안심 5GB+</t>
        </is>
      </c>
      <c r="C1946" s="47" t="inlineStr">
        <is>
          <t>무제한</t>
        </is>
      </c>
      <c r="D1946" s="47" t="inlineStr">
        <is>
          <t>100건</t>
        </is>
      </c>
      <c r="E1946" s="47" t="inlineStr">
        <is>
          <t>월 5GB + 400Kbps</t>
        </is>
      </c>
      <c r="F1946" s="47" t="inlineStr">
        <is>
          <t>KT</t>
        </is>
      </c>
      <c r="G1946" s="47" t="inlineStr">
        <is>
          <t>LTE</t>
        </is>
      </c>
      <c r="H1946" s="48" t="n">
        <v>9900</v>
      </c>
      <c r="I1946" s="48" t="n">
        <v>6</v>
      </c>
      <c r="J1946" s="48" t="n">
        <v>15400</v>
      </c>
      <c r="K1946" s="47">
        <f t="array" ref="K1946">_xlfn.XLOOKUP(1,(참조!$B$2:$B$15=E1946)*(참조!$D$2:$D$15=C1946)*(참조!$E$2:$E$15=D1946),참조!$C$2:$C$15,"")</f>
        <v/>
      </c>
    </row>
    <row r="1947" hidden="1" s="27">
      <c r="A1947" s="47" t="inlineStr">
        <is>
          <t>리브모바일</t>
        </is>
      </c>
      <c r="B1947" s="47" t="inlineStr">
        <is>
          <t>LTE 실속 15GB+(100분)(SKT망)</t>
        </is>
      </c>
      <c r="C1947" s="47" t="inlineStr">
        <is>
          <t>100분</t>
        </is>
      </c>
      <c r="D1947" s="47" t="inlineStr">
        <is>
          <t>100건</t>
        </is>
      </c>
      <c r="E1947" s="47" t="inlineStr">
        <is>
          <t>월 15GB + 3Mbps</t>
        </is>
      </c>
      <c r="F1947" s="47" t="inlineStr">
        <is>
          <t>SKT</t>
        </is>
      </c>
      <c r="G1947" s="47" t="inlineStr">
        <is>
          <t>LTE</t>
        </is>
      </c>
      <c r="H1947" s="48" t="n">
        <v>29700</v>
      </c>
      <c r="I1947" s="48" t="n"/>
      <c r="J1947" s="48" t="n"/>
      <c r="K1947" s="47">
        <f t="array" ref="K1947">_xlfn.XLOOKUP(1,(참조!$B$2:$B$15=E1947)*(참조!$D$2:$D$15=C1947)*(참조!$E$2:$E$15=D1947),참조!$C$2:$C$15,"")</f>
        <v/>
      </c>
    </row>
    <row r="1948" hidden="1" s="27">
      <c r="A1948" s="47" t="inlineStr">
        <is>
          <t>리브모바일</t>
        </is>
      </c>
      <c r="B1948" s="47" t="inlineStr">
        <is>
          <t>LTE 실속 15GB+ (100분)(SKT망)</t>
        </is>
      </c>
      <c r="C1948" s="47" t="inlineStr">
        <is>
          <t>100분</t>
        </is>
      </c>
      <c r="D1948" s="47" t="inlineStr">
        <is>
          <t>100건</t>
        </is>
      </c>
      <c r="E1948" s="47" t="inlineStr">
        <is>
          <t>월 15GB + 3Mbps</t>
        </is>
      </c>
      <c r="F1948" s="47" t="inlineStr">
        <is>
          <t>SKT</t>
        </is>
      </c>
      <c r="G1948" s="47" t="inlineStr">
        <is>
          <t>LTE</t>
        </is>
      </c>
      <c r="H1948" s="48" t="n">
        <v>29700</v>
      </c>
      <c r="I1948" s="48" t="n"/>
      <c r="J1948" s="48" t="n"/>
      <c r="K1948" s="47">
        <f t="array" ref="K1948">_xlfn.XLOOKUP(1,(참조!$B$2:$B$15=E1948)*(참조!$D$2:$D$15=C1948)*(참조!$E$2:$E$15=D1948),참조!$C$2:$C$15,"")</f>
        <v/>
      </c>
    </row>
    <row r="1949" hidden="1" s="27">
      <c r="A1949" s="47" t="inlineStr">
        <is>
          <t>리브모바일</t>
        </is>
      </c>
      <c r="B1949" s="47" t="inlineStr">
        <is>
          <t>LTE 무제한 11GB+</t>
        </is>
      </c>
      <c r="C1949" s="47" t="inlineStr">
        <is>
          <t>무제한</t>
        </is>
      </c>
      <c r="D1949" s="47" t="inlineStr">
        <is>
          <t>무제한</t>
        </is>
      </c>
      <c r="E1949" s="47" t="inlineStr">
        <is>
          <t>월 11GB + 매일 2GB + 3Mbps</t>
        </is>
      </c>
      <c r="F1949" s="47" t="inlineStr">
        <is>
          <t>SKT</t>
        </is>
      </c>
      <c r="G1949" s="47" t="inlineStr">
        <is>
          <t>LTE</t>
        </is>
      </c>
      <c r="H1949" s="48" t="n">
        <v>38500</v>
      </c>
      <c r="I1949" s="48" t="n"/>
      <c r="J1949" s="48" t="n"/>
      <c r="K1949" s="47">
        <f t="array" ref="K1949">_xlfn.XLOOKUP(1,(참조!$B$2:$B$15=E1949)*(참조!$D$2:$D$15=C1949)*(참조!$E$2:$E$15=D1949),참조!$C$2:$C$15,"")</f>
        <v/>
      </c>
    </row>
    <row r="1950" hidden="1" s="27">
      <c r="A1950" s="47" t="inlineStr">
        <is>
          <t>리브모바일</t>
        </is>
      </c>
      <c r="B1950" s="47" t="inlineStr">
        <is>
          <t>LTE 15GB+(CU)</t>
        </is>
      </c>
      <c r="C1950" s="47" t="inlineStr">
        <is>
          <t>무제한</t>
        </is>
      </c>
      <c r="D1950" s="47" t="inlineStr">
        <is>
          <t>무제한</t>
        </is>
      </c>
      <c r="E1950" s="47" t="inlineStr">
        <is>
          <t>월 15GB + 1Mbps</t>
        </is>
      </c>
      <c r="F1950" s="47" t="inlineStr">
        <is>
          <t>KT</t>
        </is>
      </c>
      <c r="G1950" s="47" t="inlineStr">
        <is>
          <t>LTE</t>
        </is>
      </c>
      <c r="H1950" s="48" t="n">
        <v>28900</v>
      </c>
      <c r="I1950" s="48" t="n"/>
      <c r="J1950" s="48" t="n"/>
      <c r="K1950" s="47">
        <f t="array" ref="K1950">_xlfn.XLOOKUP(1,(참조!$B$2:$B$15=E1950)*(참조!$D$2:$D$15=C1950)*(참조!$E$2:$E$15=D1950),참조!$C$2:$C$15,"")</f>
        <v/>
      </c>
    </row>
    <row r="1951" hidden="1" s="27">
      <c r="A1951" s="47" t="inlineStr">
        <is>
          <t>리브모바일</t>
        </is>
      </c>
      <c r="B1951" s="47" t="inlineStr">
        <is>
          <t>LTE 15GB+(밀리의서재)</t>
        </is>
      </c>
      <c r="C1951" s="47" t="inlineStr">
        <is>
          <t>무제한</t>
        </is>
      </c>
      <c r="D1951" s="47" t="inlineStr">
        <is>
          <t>무제한</t>
        </is>
      </c>
      <c r="E1951" s="47" t="inlineStr">
        <is>
          <t>월 15GB + 1Mbps</t>
        </is>
      </c>
      <c r="F1951" s="47" t="inlineStr">
        <is>
          <t>KT</t>
        </is>
      </c>
      <c r="G1951" s="47" t="inlineStr">
        <is>
          <t>LTE</t>
        </is>
      </c>
      <c r="H1951" s="48" t="n">
        <v>28900</v>
      </c>
      <c r="I1951" s="48" t="n"/>
      <c r="J1951" s="48" t="n"/>
      <c r="K1951" s="47">
        <f t="array" ref="K1951">_xlfn.XLOOKUP(1,(참조!$B$2:$B$15=E1951)*(참조!$D$2:$D$15=C1951)*(참조!$E$2:$E$15=D1951),참조!$C$2:$C$15,"")</f>
        <v/>
      </c>
    </row>
    <row r="1952" hidden="1" s="27">
      <c r="A1952" s="47" t="inlineStr">
        <is>
          <t>위너스텔</t>
        </is>
      </c>
      <c r="B1952" s="47" t="inlineStr">
        <is>
          <t>WELL200분+5GB</t>
        </is>
      </c>
      <c r="C1952" s="47" t="inlineStr">
        <is>
          <t>200분</t>
        </is>
      </c>
      <c r="D1952" s="47" t="inlineStr">
        <is>
          <t>50건</t>
        </is>
      </c>
      <c r="E1952" s="47" t="inlineStr">
        <is>
          <t>월 5GB</t>
        </is>
      </c>
      <c r="F1952" s="47" t="inlineStr">
        <is>
          <t>KT</t>
        </is>
      </c>
      <c r="G1952" s="47" t="inlineStr">
        <is>
          <t>LTE</t>
        </is>
      </c>
      <c r="H1952" s="48" t="n">
        <v>11000</v>
      </c>
      <c r="I1952" s="48" t="n"/>
      <c r="J1952" s="48" t="n"/>
      <c r="K1952" s="47">
        <f t="array" ref="K1952">_xlfn.XLOOKUP(1,(참조!$B$2:$B$15=E1952)*(참조!$D$2:$D$15=C1952)*(참조!$E$2:$E$15=D1952),참조!$C$2:$C$15,"")</f>
        <v/>
      </c>
    </row>
    <row r="1953" hidden="1" s="27">
      <c r="A1953" s="47" t="inlineStr">
        <is>
          <t>리브모바일</t>
        </is>
      </c>
      <c r="B1953" s="47" t="inlineStr">
        <is>
          <t>LTE 실속 10GB(100분)</t>
        </is>
      </c>
      <c r="C1953" s="47" t="inlineStr">
        <is>
          <t>100분</t>
        </is>
      </c>
      <c r="D1953" s="47" t="inlineStr">
        <is>
          <t>100건</t>
        </is>
      </c>
      <c r="E1953" s="47" t="inlineStr">
        <is>
          <t>월 10GB</t>
        </is>
      </c>
      <c r="F1953" s="47" t="inlineStr">
        <is>
          <t>SKT</t>
        </is>
      </c>
      <c r="G1953" s="47" t="inlineStr">
        <is>
          <t>LTE</t>
        </is>
      </c>
      <c r="H1953" s="48" t="n">
        <v>19800</v>
      </c>
      <c r="I1953" s="48" t="n"/>
      <c r="J1953" s="48" t="n"/>
      <c r="K1953" s="47">
        <f t="array" ref="K1953">_xlfn.XLOOKUP(1,(참조!$B$2:$B$15=E1953)*(참조!$D$2:$D$15=C1953)*(참조!$E$2:$E$15=D1953),참조!$C$2:$C$15,"")</f>
        <v/>
      </c>
    </row>
    <row r="1954" hidden="1" s="27">
      <c r="A1954" s="47" t="inlineStr">
        <is>
          <t>에이모바일</t>
        </is>
      </c>
      <c r="B1954" s="47" t="inlineStr">
        <is>
          <t>A 갓성비 10GB/100분 9</t>
        </is>
      </c>
      <c r="C1954" s="47" t="inlineStr">
        <is>
          <t>100분</t>
        </is>
      </c>
      <c r="D1954" s="47" t="inlineStr">
        <is>
          <t>100건</t>
        </is>
      </c>
      <c r="E1954" s="47" t="inlineStr">
        <is>
          <t>월 10GB</t>
        </is>
      </c>
      <c r="F1954" s="47" t="inlineStr">
        <is>
          <t>LG U+</t>
        </is>
      </c>
      <c r="G1954" s="47" t="inlineStr">
        <is>
          <t>LTE</t>
        </is>
      </c>
      <c r="H1954" s="48" t="n">
        <v>2750</v>
      </c>
      <c r="I1954" s="48" t="n">
        <v>9</v>
      </c>
      <c r="J1954" s="48" t="n">
        <v>12100</v>
      </c>
      <c r="K1954" s="47">
        <f t="array" ref="K1954">_xlfn.XLOOKUP(1,(참조!$B$2:$B$15=E1954)*(참조!$D$2:$D$15=C1954)*(참조!$E$2:$E$15=D1954),참조!$C$2:$C$15,"")</f>
        <v/>
      </c>
    </row>
    <row r="1955" hidden="1" s="27">
      <c r="A1955" s="47" t="inlineStr">
        <is>
          <t>리브모바일</t>
        </is>
      </c>
      <c r="B1955" s="47" t="inlineStr">
        <is>
          <t>LTE 무제한 11GB+(SKT망)</t>
        </is>
      </c>
      <c r="C1955" s="47" t="inlineStr">
        <is>
          <t>무제한</t>
        </is>
      </c>
      <c r="D1955" s="47" t="inlineStr">
        <is>
          <t>무제한</t>
        </is>
      </c>
      <c r="E1955" s="47" t="inlineStr">
        <is>
          <t>월 11GB + 매일 2GB + 3Mbps</t>
        </is>
      </c>
      <c r="F1955" s="47" t="inlineStr">
        <is>
          <t>SKT</t>
        </is>
      </c>
      <c r="G1955" s="47" t="inlineStr">
        <is>
          <t>LTE</t>
        </is>
      </c>
      <c r="H1955" s="48" t="n">
        <v>38500</v>
      </c>
      <c r="I1955" s="48" t="n"/>
      <c r="J1955" s="48" t="n"/>
      <c r="K1955" s="47">
        <f t="array" ref="K1955">_xlfn.XLOOKUP(1,(참조!$B$2:$B$15=E1955)*(참조!$D$2:$D$15=C1955)*(참조!$E$2:$E$15=D1955),참조!$C$2:$C$15,"")</f>
        <v/>
      </c>
    </row>
    <row r="1956" hidden="1" s="27">
      <c r="A1956" s="47" t="inlineStr">
        <is>
          <t>리브모바일</t>
        </is>
      </c>
      <c r="B1956" s="47" t="inlineStr">
        <is>
          <t>LTE 무제한 7GB+</t>
        </is>
      </c>
      <c r="C1956" s="47" t="inlineStr">
        <is>
          <t>무제한</t>
        </is>
      </c>
      <c r="D1956" s="47" t="inlineStr">
        <is>
          <t>무제한</t>
        </is>
      </c>
      <c r="E1956" s="47" t="inlineStr">
        <is>
          <t>월 7GB + 1Mbps</t>
        </is>
      </c>
      <c r="F1956" s="47" t="inlineStr">
        <is>
          <t>SKT</t>
        </is>
      </c>
      <c r="G1956" s="47" t="inlineStr">
        <is>
          <t>LTE</t>
        </is>
      </c>
      <c r="H1956" s="48" t="n">
        <v>22000</v>
      </c>
      <c r="I1956" s="48" t="n"/>
      <c r="J1956" s="48" t="n"/>
      <c r="K1956" s="47">
        <f t="array" ref="K1956">_xlfn.XLOOKUP(1,(참조!$B$2:$B$15=E1956)*(참조!$D$2:$D$15=C1956)*(참조!$E$2:$E$15=D1956),참조!$C$2:$C$15,"")</f>
        <v/>
      </c>
    </row>
    <row r="1957" hidden="1" s="27">
      <c r="A1957" s="47" t="inlineStr">
        <is>
          <t>리브모바일</t>
        </is>
      </c>
      <c r="B1957" s="47" t="inlineStr">
        <is>
          <t>LTE 71GB+(CU)</t>
        </is>
      </c>
      <c r="C1957" s="47" t="inlineStr">
        <is>
          <t>무제한</t>
        </is>
      </c>
      <c r="D1957" s="47" t="inlineStr">
        <is>
          <t>무제한</t>
        </is>
      </c>
      <c r="E1957" s="47" t="inlineStr">
        <is>
          <t>월 11GB + 매일 2GB + 3Mbps</t>
        </is>
      </c>
      <c r="F1957" s="47" t="inlineStr">
        <is>
          <t>KT</t>
        </is>
      </c>
      <c r="G1957" s="47" t="inlineStr">
        <is>
          <t>LTE</t>
        </is>
      </c>
      <c r="H1957" s="48" t="n">
        <v>39900</v>
      </c>
      <c r="I1957" s="48" t="n"/>
      <c r="J1957" s="48" t="n"/>
      <c r="K1957" s="47">
        <f t="array" ref="K1957">_xlfn.XLOOKUP(1,(참조!$B$2:$B$15=E1957)*(참조!$D$2:$D$15=C1957)*(참조!$E$2:$E$15=D1957),참조!$C$2:$C$15,"")</f>
        <v/>
      </c>
    </row>
    <row r="1958" hidden="1" s="27">
      <c r="A1958" s="47" t="inlineStr">
        <is>
          <t>리브모바일</t>
        </is>
      </c>
      <c r="B1958" s="47" t="inlineStr">
        <is>
          <t>홈쇼핑 스페셜 71GB+</t>
        </is>
      </c>
      <c r="C1958" s="47" t="inlineStr">
        <is>
          <t>무제한</t>
        </is>
      </c>
      <c r="D1958" s="47" t="inlineStr">
        <is>
          <t>무제한</t>
        </is>
      </c>
      <c r="E1958" s="47" t="inlineStr">
        <is>
          <t>월 11GB + 매일 2GB + 3Mbps</t>
        </is>
      </c>
      <c r="F1958" s="47" t="inlineStr">
        <is>
          <t>LG U+</t>
        </is>
      </c>
      <c r="G1958" s="47" t="inlineStr">
        <is>
          <t>LTE</t>
        </is>
      </c>
      <c r="H1958" s="48" t="n">
        <v>39900</v>
      </c>
      <c r="I1958" s="48" t="n"/>
      <c r="J1958" s="48" t="n"/>
      <c r="K1958" s="47">
        <f t="array" ref="K1958">_xlfn.XLOOKUP(1,(참조!$B$2:$B$15=E1958)*(참조!$D$2:$D$15=C1958)*(참조!$E$2:$E$15=D1958),참조!$C$2:$C$15,"")</f>
        <v/>
      </c>
    </row>
    <row r="1959" hidden="1" s="27">
      <c r="A1959" s="47" t="inlineStr">
        <is>
          <t>리브모바일</t>
        </is>
      </c>
      <c r="B1959" s="47" t="inlineStr">
        <is>
          <t>홈쇼핑 스페셜 7GB+</t>
        </is>
      </c>
      <c r="C1959" s="47" t="inlineStr">
        <is>
          <t>무제한</t>
        </is>
      </c>
      <c r="D1959" s="47" t="inlineStr">
        <is>
          <t>무제한</t>
        </is>
      </c>
      <c r="E1959" s="47" t="inlineStr">
        <is>
          <t>월 7GB + 1Mbps</t>
        </is>
      </c>
      <c r="F1959" s="47" t="inlineStr">
        <is>
          <t>LG U+</t>
        </is>
      </c>
      <c r="G1959" s="47" t="inlineStr">
        <is>
          <t>LTE</t>
        </is>
      </c>
      <c r="H1959" s="48" t="n">
        <v>19900</v>
      </c>
      <c r="I1959" s="48" t="n"/>
      <c r="J1959" s="48" t="n"/>
      <c r="K1959" s="47">
        <f t="array" ref="K1959">_xlfn.XLOOKUP(1,(참조!$B$2:$B$15=E1959)*(참조!$D$2:$D$15=C1959)*(참조!$E$2:$E$15=D1959),참조!$C$2:$C$15,"")</f>
        <v/>
      </c>
    </row>
    <row r="1960" hidden="1" s="27">
      <c r="A1960" s="47" t="inlineStr">
        <is>
          <t>리브모바일</t>
        </is>
      </c>
      <c r="B1960" s="47" t="inlineStr">
        <is>
          <t>LTE 71GB+(초알뜰)</t>
        </is>
      </c>
      <c r="C1960" s="47" t="inlineStr">
        <is>
          <t>무제한</t>
        </is>
      </c>
      <c r="D1960" s="47" t="inlineStr">
        <is>
          <t>무제한</t>
        </is>
      </c>
      <c r="E1960" s="47" t="inlineStr">
        <is>
          <t>월 11GB + 매일 2GB + 3Mbps</t>
        </is>
      </c>
      <c r="F1960" s="47" t="inlineStr">
        <is>
          <t>LG U+</t>
        </is>
      </c>
      <c r="G1960" s="47" t="inlineStr">
        <is>
          <t>LTE</t>
        </is>
      </c>
      <c r="H1960" s="48" t="n">
        <v>39900</v>
      </c>
      <c r="I1960" s="48" t="n"/>
      <c r="J1960" s="48" t="n"/>
      <c r="K1960" s="47">
        <f t="array" ref="K1960">_xlfn.XLOOKUP(1,(참조!$B$2:$B$15=E1960)*(참조!$D$2:$D$15=C1960)*(참조!$E$2:$E$15=D1960),참조!$C$2:$C$15,"")</f>
        <v/>
      </c>
    </row>
    <row r="1961" hidden="1" s="27">
      <c r="A1961" s="47" t="inlineStr">
        <is>
          <t>리브모바일</t>
        </is>
      </c>
      <c r="B1961" s="47" t="inlineStr">
        <is>
          <t>5G 95GB+(혜택형)</t>
        </is>
      </c>
      <c r="C1961" s="47" t="inlineStr">
        <is>
          <t>무제한</t>
        </is>
      </c>
      <c r="D1961" s="47" t="inlineStr">
        <is>
          <t>무제한</t>
        </is>
      </c>
      <c r="E1961" s="47" t="inlineStr">
        <is>
          <t>월 95GB + 3Mbps</t>
        </is>
      </c>
      <c r="F1961" s="47" t="inlineStr">
        <is>
          <t>LG U+</t>
        </is>
      </c>
      <c r="G1961" s="47" t="inlineStr">
        <is>
          <t>5G</t>
        </is>
      </c>
      <c r="H1961" s="48" t="n">
        <v>40900</v>
      </c>
      <c r="I1961" s="48" t="n"/>
      <c r="J1961" s="48" t="n"/>
      <c r="K1961" s="47">
        <f t="array" ref="K1961">_xlfn.XLOOKUP(1,(참조!$B$2:$B$15=E1961)*(참조!$D$2:$D$15=C1961)*(참조!$E$2:$E$15=D1961),참조!$C$2:$C$15,"")</f>
        <v/>
      </c>
    </row>
    <row r="1962" hidden="1" s="27">
      <c r="A1962" s="47" t="inlineStr">
        <is>
          <t>리브모바일</t>
        </is>
      </c>
      <c r="B1962" s="47" t="inlineStr">
        <is>
          <t>LTE 7GB+(CU)</t>
        </is>
      </c>
      <c r="C1962" s="47" t="inlineStr">
        <is>
          <t>무제한</t>
        </is>
      </c>
      <c r="D1962" s="47" t="inlineStr">
        <is>
          <t>무제한</t>
        </is>
      </c>
      <c r="E1962" s="47" t="inlineStr">
        <is>
          <t>월 7GB + 1Mbps</t>
        </is>
      </c>
      <c r="F1962" s="47" t="inlineStr">
        <is>
          <t>KT</t>
        </is>
      </c>
      <c r="G1962" s="47" t="inlineStr">
        <is>
          <t>LTE</t>
        </is>
      </c>
      <c r="H1962" s="48" t="n">
        <v>22900</v>
      </c>
      <c r="I1962" s="48" t="n"/>
      <c r="J1962" s="48" t="n"/>
      <c r="K1962" s="47">
        <f t="array" ref="K1962">_xlfn.XLOOKUP(1,(참조!$B$2:$B$15=E1962)*(참조!$D$2:$D$15=C1962)*(참조!$E$2:$E$15=D1962),참조!$C$2:$C$15,"")</f>
        <v/>
      </c>
    </row>
    <row r="1963" hidden="1" s="27">
      <c r="A1963" s="47" t="inlineStr">
        <is>
          <t>리브모바일</t>
        </is>
      </c>
      <c r="B1963" s="47" t="inlineStr">
        <is>
          <t>5G 95GB+(평생)</t>
        </is>
      </c>
      <c r="C1963" s="47" t="inlineStr">
        <is>
          <t>무제한</t>
        </is>
      </c>
      <c r="D1963" s="47" t="inlineStr">
        <is>
          <t>무제한</t>
        </is>
      </c>
      <c r="E1963" s="47" t="inlineStr">
        <is>
          <t>월 95GB + 3Mbps</t>
        </is>
      </c>
      <c r="F1963" s="47" t="inlineStr">
        <is>
          <t>LG U+</t>
        </is>
      </c>
      <c r="G1963" s="47" t="inlineStr">
        <is>
          <t>5G</t>
        </is>
      </c>
      <c r="H1963" s="48" t="n">
        <v>40900</v>
      </c>
      <c r="I1963" s="48" t="n"/>
      <c r="J1963" s="48" t="n"/>
      <c r="K1963" s="47">
        <f t="array" ref="K1963">_xlfn.XLOOKUP(1,(참조!$B$2:$B$15=E1963)*(참조!$D$2:$D$15=C1963)*(참조!$E$2:$E$15=D1963),참조!$C$2:$C$15,"")</f>
        <v/>
      </c>
    </row>
    <row r="1964" hidden="1" s="27">
      <c r="A1964" s="47" t="inlineStr">
        <is>
          <t>리브모바일</t>
        </is>
      </c>
      <c r="B1964" s="47" t="inlineStr">
        <is>
          <t>LTE 7GB+(밀리의서재)</t>
        </is>
      </c>
      <c r="C1964" s="47" t="inlineStr">
        <is>
          <t>무제한</t>
        </is>
      </c>
      <c r="D1964" s="47" t="inlineStr">
        <is>
          <t>무제한</t>
        </is>
      </c>
      <c r="E1964" s="47" t="inlineStr">
        <is>
          <t>월 7GB + 1Mbps</t>
        </is>
      </c>
      <c r="F1964" s="47" t="inlineStr">
        <is>
          <t>KT</t>
        </is>
      </c>
      <c r="G1964" s="47" t="inlineStr">
        <is>
          <t>LTE</t>
        </is>
      </c>
      <c r="H1964" s="48" t="n">
        <v>22900</v>
      </c>
      <c r="I1964" s="48" t="n"/>
      <c r="J1964" s="48" t="n"/>
      <c r="K1964" s="47">
        <f t="array" ref="K1964">_xlfn.XLOOKUP(1,(참조!$B$2:$B$15=E1964)*(참조!$D$2:$D$15=C1964)*(참조!$E$2:$E$15=D1964),참조!$C$2:$C$15,"")</f>
        <v/>
      </c>
    </row>
    <row r="1965" hidden="1" s="27">
      <c r="A1965" s="47" t="inlineStr">
        <is>
          <t>리브모바일</t>
        </is>
      </c>
      <c r="B1965" s="47" t="inlineStr">
        <is>
          <t>LTE 무제한 100GB+</t>
        </is>
      </c>
      <c r="C1965" s="47" t="inlineStr">
        <is>
          <t>무제한</t>
        </is>
      </c>
      <c r="D1965" s="47" t="inlineStr">
        <is>
          <t>무제한</t>
        </is>
      </c>
      <c r="E1965" s="47" t="inlineStr">
        <is>
          <t>월 100GB + 5Mbps</t>
        </is>
      </c>
      <c r="F1965" s="47" t="inlineStr">
        <is>
          <t>SKT</t>
        </is>
      </c>
      <c r="G1965" s="47" t="inlineStr">
        <is>
          <t>LTE</t>
        </is>
      </c>
      <c r="H1965" s="48" t="n">
        <v>47300</v>
      </c>
      <c r="I1965" s="48" t="n"/>
      <c r="J1965" s="48" t="n"/>
      <c r="K1965" s="47">
        <f t="array" ref="K1965">_xlfn.XLOOKUP(1,(참조!$B$2:$B$15=E1965)*(참조!$D$2:$D$15=C1965)*(참조!$E$2:$E$15=D1965),참조!$C$2:$C$15,"")</f>
        <v/>
      </c>
    </row>
    <row r="1966" hidden="1" s="27">
      <c r="A1966" s="47" t="inlineStr">
        <is>
          <t>리브모바일</t>
        </is>
      </c>
      <c r="B1966" s="47" t="inlineStr">
        <is>
          <t>5G 95GB+(라이더)</t>
        </is>
      </c>
      <c r="C1966" s="47" t="inlineStr">
        <is>
          <t>무제한</t>
        </is>
      </c>
      <c r="D1966" s="47" t="inlineStr">
        <is>
          <t>무제한</t>
        </is>
      </c>
      <c r="E1966" s="47" t="inlineStr">
        <is>
          <t>월 95GB + 3Mbps</t>
        </is>
      </c>
      <c r="F1966" s="47" t="inlineStr">
        <is>
          <t>LG U+</t>
        </is>
      </c>
      <c r="G1966" s="47" t="inlineStr">
        <is>
          <t>5G</t>
        </is>
      </c>
      <c r="H1966" s="48" t="n">
        <v>40900</v>
      </c>
      <c r="I1966" s="48" t="n"/>
      <c r="J1966" s="48" t="n"/>
      <c r="K1966" s="47">
        <f t="array" ref="K1966">_xlfn.XLOOKUP(1,(참조!$B$2:$B$15=E1966)*(참조!$D$2:$D$15=C1966)*(참조!$E$2:$E$15=D1966),참조!$C$2:$C$15,"")</f>
        <v/>
      </c>
    </row>
    <row r="1967" hidden="1" s="27">
      <c r="A1967" s="47" t="inlineStr">
        <is>
          <t>리브모바일</t>
        </is>
      </c>
      <c r="B1967" s="47" t="inlineStr">
        <is>
          <t>5G 무제한 15GB+</t>
        </is>
      </c>
      <c r="C1967" s="47" t="inlineStr">
        <is>
          <t>무제한</t>
        </is>
      </c>
      <c r="D1967" s="47" t="inlineStr">
        <is>
          <t>무제한</t>
        </is>
      </c>
      <c r="E1967" s="47" t="inlineStr">
        <is>
          <t>월 15GB + 1Mbps</t>
        </is>
      </c>
      <c r="F1967" s="47" t="inlineStr">
        <is>
          <t>SKT</t>
        </is>
      </c>
      <c r="G1967" s="47" t="inlineStr">
        <is>
          <t>5G</t>
        </is>
      </c>
      <c r="H1967" s="48" t="n">
        <v>39600</v>
      </c>
      <c r="I1967" s="48" t="n"/>
      <c r="J1967" s="48" t="n"/>
      <c r="K1967" s="47">
        <f t="array" ref="K1967">_xlfn.XLOOKUP(1,(참조!$B$2:$B$15=E1967)*(참조!$D$2:$D$15=C1967)*(참조!$E$2:$E$15=D1967),참조!$C$2:$C$15,"")</f>
        <v/>
      </c>
    </row>
    <row r="1968" hidden="1" s="27">
      <c r="A1968" s="47" t="inlineStr">
        <is>
          <t>리브모바일</t>
        </is>
      </c>
      <c r="B1968" s="47" t="inlineStr">
        <is>
          <t>LTE 무제한 100GB+(SKT망)</t>
        </is>
      </c>
      <c r="C1968" s="47" t="inlineStr">
        <is>
          <t>무제한</t>
        </is>
      </c>
      <c r="D1968" s="47" t="inlineStr">
        <is>
          <t>무제한</t>
        </is>
      </c>
      <c r="E1968" s="47" t="inlineStr">
        <is>
          <t>월 100GB + 5Mbps</t>
        </is>
      </c>
      <c r="F1968" s="47" t="inlineStr">
        <is>
          <t>SKT</t>
        </is>
      </c>
      <c r="G1968" s="47" t="inlineStr">
        <is>
          <t>LTE</t>
        </is>
      </c>
      <c r="H1968" s="48" t="n">
        <v>47300</v>
      </c>
      <c r="I1968" s="48" t="n"/>
      <c r="J1968" s="48" t="n"/>
      <c r="K1968" s="47">
        <f t="array" ref="K1968">_xlfn.XLOOKUP(1,(참조!$B$2:$B$15=E1968)*(참조!$D$2:$D$15=C1968)*(참조!$E$2:$E$15=D1968),참조!$C$2:$C$15,"")</f>
        <v/>
      </c>
    </row>
    <row r="1969" hidden="1" s="27">
      <c r="A1969" s="47" t="inlineStr">
        <is>
          <t>리브모바일</t>
        </is>
      </c>
      <c r="B1969" s="47" t="inlineStr">
        <is>
          <t>LTE 무제한 7GB+(SKT망)</t>
        </is>
      </c>
      <c r="C1969" s="47" t="inlineStr">
        <is>
          <t>무제한</t>
        </is>
      </c>
      <c r="D1969" s="47" t="inlineStr">
        <is>
          <t>무제한</t>
        </is>
      </c>
      <c r="E1969" s="47" t="inlineStr">
        <is>
          <t>월 7GB + 1Mbps</t>
        </is>
      </c>
      <c r="F1969" s="47" t="inlineStr">
        <is>
          <t>SKT</t>
        </is>
      </c>
      <c r="G1969" s="47" t="inlineStr">
        <is>
          <t>LTE</t>
        </is>
      </c>
      <c r="H1969" s="48" t="n">
        <v>22000</v>
      </c>
      <c r="I1969" s="48" t="n"/>
      <c r="J1969" s="48" t="n"/>
      <c r="K1969" s="47">
        <f t="array" ref="K1969">_xlfn.XLOOKUP(1,(참조!$B$2:$B$15=E1969)*(참조!$D$2:$D$15=C1969)*(참조!$E$2:$E$15=D1969),참조!$C$2:$C$15,"")</f>
        <v/>
      </c>
    </row>
    <row r="1970" hidden="1" s="27">
      <c r="A1970" s="47" t="inlineStr">
        <is>
          <t>리브모바일</t>
        </is>
      </c>
      <c r="B1970" s="47" t="inlineStr">
        <is>
          <t>LTE 71GB+(밀리의서재)</t>
        </is>
      </c>
      <c r="C1970" s="47" t="inlineStr">
        <is>
          <t>무제한</t>
        </is>
      </c>
      <c r="D1970" s="47" t="inlineStr">
        <is>
          <t>무제한</t>
        </is>
      </c>
      <c r="E1970" s="47" t="inlineStr">
        <is>
          <t>월 11GB + 매일 2GB + 3Mbps</t>
        </is>
      </c>
      <c r="F1970" s="47" t="inlineStr">
        <is>
          <t>KT</t>
        </is>
      </c>
      <c r="G1970" s="47" t="inlineStr">
        <is>
          <t>LTE</t>
        </is>
      </c>
      <c r="H1970" s="48" t="n">
        <v>39900</v>
      </c>
      <c r="I1970" s="48" t="n"/>
      <c r="J1970" s="48" t="n"/>
      <c r="K1970" s="47">
        <f t="array" ref="K1970">_xlfn.XLOOKUP(1,(참조!$B$2:$B$15=E1970)*(참조!$D$2:$D$15=C1970)*(참조!$E$2:$E$15=D1970),참조!$C$2:$C$15,"")</f>
        <v/>
      </c>
    </row>
    <row r="1971" hidden="1" s="27">
      <c r="A1971" s="47" t="inlineStr">
        <is>
          <t>리브모바일</t>
        </is>
      </c>
      <c r="B1971" s="47" t="inlineStr">
        <is>
          <t>5G 95GB+(청년미래)</t>
        </is>
      </c>
      <c r="C1971" s="47" t="inlineStr">
        <is>
          <t>무제한</t>
        </is>
      </c>
      <c r="D1971" s="47" t="inlineStr">
        <is>
          <t>무제한</t>
        </is>
      </c>
      <c r="E1971" s="47" t="inlineStr">
        <is>
          <t>월 95GB + 3Mbps</t>
        </is>
      </c>
      <c r="F1971" s="47" t="inlineStr">
        <is>
          <t>LG U+</t>
        </is>
      </c>
      <c r="G1971" s="47" t="inlineStr">
        <is>
          <t>5G</t>
        </is>
      </c>
      <c r="H1971" s="48" t="n">
        <v>40900</v>
      </c>
      <c r="I1971" s="48" t="n"/>
      <c r="J1971" s="48" t="n"/>
      <c r="K1971" s="47">
        <f t="array" ref="K1971">_xlfn.XLOOKUP(1,(참조!$B$2:$B$15=E1971)*(참조!$D$2:$D$15=C1971)*(참조!$E$2:$E$15=D1971),참조!$C$2:$C$15,"")</f>
        <v/>
      </c>
    </row>
    <row r="1972" hidden="1" s="27">
      <c r="A1972" s="47" t="inlineStr">
        <is>
          <t>리브모바일</t>
        </is>
      </c>
      <c r="B1972" s="47" t="inlineStr">
        <is>
          <t>LTE 150GB+(CU)</t>
        </is>
      </c>
      <c r="C1972" s="47" t="inlineStr">
        <is>
          <t>무제한</t>
        </is>
      </c>
      <c r="D1972" s="47" t="inlineStr">
        <is>
          <t>무제한</t>
        </is>
      </c>
      <c r="E1972" s="47" t="inlineStr">
        <is>
          <t>매일 5GB + 5Mbps</t>
        </is>
      </c>
      <c r="F1972" s="47" t="inlineStr">
        <is>
          <t>KT</t>
        </is>
      </c>
      <c r="G1972" s="47" t="inlineStr">
        <is>
          <t>LTE</t>
        </is>
      </c>
      <c r="H1972" s="48" t="n">
        <v>49900</v>
      </c>
      <c r="I1972" s="48" t="n"/>
      <c r="J1972" s="48" t="n"/>
      <c r="K1972" s="47">
        <f t="array" ref="K1972">_xlfn.XLOOKUP(1,(참조!$B$2:$B$15=E1972)*(참조!$D$2:$D$15=C1972)*(참조!$E$2:$E$15=D1972),참조!$C$2:$C$15,"")</f>
        <v/>
      </c>
    </row>
    <row r="1973" hidden="1" s="27">
      <c r="A1973" s="47" t="inlineStr">
        <is>
          <t>리브모바일</t>
        </is>
      </c>
      <c r="B1973" s="47" t="inlineStr">
        <is>
          <t>LTE 실속 5GB(200분)</t>
        </is>
      </c>
      <c r="C1973" s="47" t="inlineStr">
        <is>
          <t>200분</t>
        </is>
      </c>
      <c r="D1973" s="47" t="inlineStr">
        <is>
          <t>100건</t>
        </is>
      </c>
      <c r="E1973" s="47" t="inlineStr">
        <is>
          <t>월 5GB</t>
        </is>
      </c>
      <c r="F1973" s="47" t="inlineStr">
        <is>
          <t>SKT</t>
        </is>
      </c>
      <c r="G1973" s="47" t="inlineStr">
        <is>
          <t>LTE</t>
        </is>
      </c>
      <c r="H1973" s="48" t="n">
        <v>14300</v>
      </c>
      <c r="I1973" s="48" t="n"/>
      <c r="J1973" s="48" t="n"/>
      <c r="K1973" s="47">
        <f t="array" ref="K1973">_xlfn.XLOOKUP(1,(참조!$B$2:$B$15=E1973)*(참조!$D$2:$D$15=C1973)*(참조!$E$2:$E$15=D1973),참조!$C$2:$C$15,"")</f>
        <v/>
      </c>
    </row>
    <row r="1974" hidden="1" s="27">
      <c r="A1974" s="47" t="inlineStr">
        <is>
          <t>리브모바일</t>
        </is>
      </c>
      <c r="B1974" s="47" t="inlineStr">
        <is>
          <t>LTE 실속 5GB+(200분)</t>
        </is>
      </c>
      <c r="C1974" s="47" t="inlineStr">
        <is>
          <t>200분</t>
        </is>
      </c>
      <c r="D1974" s="47" t="inlineStr">
        <is>
          <t>100건</t>
        </is>
      </c>
      <c r="E1974" s="47" t="inlineStr">
        <is>
          <t>월 5GB + 1Mbps</t>
        </is>
      </c>
      <c r="F1974" s="47" t="inlineStr">
        <is>
          <t>SKT</t>
        </is>
      </c>
      <c r="G1974" s="47" t="inlineStr">
        <is>
          <t>LTE</t>
        </is>
      </c>
      <c r="H1974" s="48" t="n">
        <v>17600</v>
      </c>
      <c r="I1974" s="48" t="n"/>
      <c r="J1974" s="48" t="n"/>
      <c r="K1974" s="47">
        <f t="array" ref="K1974">_xlfn.XLOOKUP(1,(참조!$B$2:$B$15=E1974)*(참조!$D$2:$D$15=C1974)*(참조!$E$2:$E$15=D1974),참조!$C$2:$C$15,"")</f>
        <v/>
      </c>
    </row>
    <row r="1975" hidden="1" s="27">
      <c r="A1975" s="47" t="inlineStr">
        <is>
          <t>리브모바일</t>
        </is>
      </c>
      <c r="B1975" s="47" t="inlineStr">
        <is>
          <t>5G 95GB+(초알뜰)</t>
        </is>
      </c>
      <c r="C1975" s="47" t="inlineStr">
        <is>
          <t>무제한</t>
        </is>
      </c>
      <c r="D1975" s="47" t="inlineStr">
        <is>
          <t>무제한</t>
        </is>
      </c>
      <c r="E1975" s="47" t="inlineStr">
        <is>
          <t>월 95GB + 3Mbps</t>
        </is>
      </c>
      <c r="F1975" s="47" t="inlineStr">
        <is>
          <t>LG U+</t>
        </is>
      </c>
      <c r="G1975" s="47" t="inlineStr">
        <is>
          <t>5G</t>
        </is>
      </c>
      <c r="H1975" s="48" t="n">
        <v>49900</v>
      </c>
      <c r="I1975" s="48" t="n"/>
      <c r="J1975" s="48" t="n"/>
      <c r="K1975" s="47">
        <f t="array" ref="K1975">_xlfn.XLOOKUP(1,(참조!$B$2:$B$15=E1975)*(참조!$D$2:$D$15=C1975)*(참조!$E$2:$E$15=D1975),참조!$C$2:$C$15,"")</f>
        <v/>
      </c>
    </row>
    <row r="1976" hidden="1" s="27">
      <c r="A1976" s="47" t="inlineStr">
        <is>
          <t>리브모바일</t>
        </is>
      </c>
      <c r="B1976" s="47" t="inlineStr">
        <is>
          <t>LTE 150GB+(밀리의서재)</t>
        </is>
      </c>
      <c r="C1976" s="47" t="inlineStr">
        <is>
          <t>무제한</t>
        </is>
      </c>
      <c r="D1976" s="47" t="inlineStr">
        <is>
          <t>무제한</t>
        </is>
      </c>
      <c r="E1976" s="47" t="inlineStr">
        <is>
          <t>매일 5GB + 5Mbps</t>
        </is>
      </c>
      <c r="F1976" s="47" t="inlineStr">
        <is>
          <t>KT</t>
        </is>
      </c>
      <c r="G1976" s="47" t="inlineStr">
        <is>
          <t>LTE</t>
        </is>
      </c>
      <c r="H1976" s="48" t="n">
        <v>49900</v>
      </c>
      <c r="I1976" s="48" t="n"/>
      <c r="J1976" s="48" t="n"/>
      <c r="K1976" s="47">
        <f t="array" ref="K1976">_xlfn.XLOOKUP(1,(참조!$B$2:$B$15=E1976)*(참조!$D$2:$D$15=C1976)*(참조!$E$2:$E$15=D1976),참조!$C$2:$C$15,"")</f>
        <v/>
      </c>
    </row>
    <row r="1977" hidden="1" s="27">
      <c r="A1977" s="47" t="inlineStr">
        <is>
          <t>리브모바일</t>
        </is>
      </c>
      <c r="B1977" s="47" t="inlineStr">
        <is>
          <t>5G 무제한 110GB+</t>
        </is>
      </c>
      <c r="C1977" s="47" t="inlineStr">
        <is>
          <t>무제한</t>
        </is>
      </c>
      <c r="D1977" s="47" t="inlineStr">
        <is>
          <t>무제한</t>
        </is>
      </c>
      <c r="E1977" s="47" t="inlineStr">
        <is>
          <t>월 110GB + 5Mbps</t>
        </is>
      </c>
      <c r="F1977" s="47" t="inlineStr">
        <is>
          <t>SKT</t>
        </is>
      </c>
      <c r="G1977" s="47" t="inlineStr">
        <is>
          <t>5G</t>
        </is>
      </c>
      <c r="H1977" s="48" t="n">
        <v>49500</v>
      </c>
      <c r="I1977" s="48" t="n"/>
      <c r="J1977" s="48" t="n"/>
      <c r="K1977" s="47">
        <f t="array" ref="K1977">_xlfn.XLOOKUP(1,(참조!$B$2:$B$15=E1977)*(참조!$D$2:$D$15=C1977)*(참조!$E$2:$E$15=D1977),참조!$C$2:$C$15,"")</f>
        <v/>
      </c>
    </row>
    <row r="1978" hidden="1" s="27">
      <c r="A1978" s="47" t="inlineStr">
        <is>
          <t>리브모바일</t>
        </is>
      </c>
      <c r="B1978" s="47" t="inlineStr">
        <is>
          <t>홈쇼핑 스페셜 5G 95GB+</t>
        </is>
      </c>
      <c r="C1978" s="47" t="inlineStr">
        <is>
          <t>무제한</t>
        </is>
      </c>
      <c r="D1978" s="47" t="inlineStr">
        <is>
          <t>무제한</t>
        </is>
      </c>
      <c r="E1978" s="47" t="inlineStr">
        <is>
          <t>월 95GB + 3Mbps</t>
        </is>
      </c>
      <c r="F1978" s="47" t="inlineStr">
        <is>
          <t>LG U+</t>
        </is>
      </c>
      <c r="G1978" s="47" t="inlineStr">
        <is>
          <t>5G</t>
        </is>
      </c>
      <c r="H1978" s="48" t="n">
        <v>49900</v>
      </c>
      <c r="I1978" s="48" t="n"/>
      <c r="J1978" s="48" t="n"/>
      <c r="K1978" s="47">
        <f t="array" ref="K1978">_xlfn.XLOOKUP(1,(참조!$B$2:$B$15=E1978)*(참조!$D$2:$D$15=C1978)*(참조!$E$2:$E$15=D1978),참조!$C$2:$C$15,"")</f>
        <v/>
      </c>
    </row>
    <row r="1979" hidden="1" s="27">
      <c r="A1979" s="47" t="inlineStr">
        <is>
          <t>리브모바일</t>
        </is>
      </c>
      <c r="B1979" s="47" t="inlineStr">
        <is>
          <t>LTE 실속 2GB(200분)</t>
        </is>
      </c>
      <c r="C1979" s="47" t="inlineStr">
        <is>
          <t>200분</t>
        </is>
      </c>
      <c r="D1979" s="47" t="inlineStr">
        <is>
          <t>100건</t>
        </is>
      </c>
      <c r="E1979" s="47" t="inlineStr">
        <is>
          <t>월 2GB</t>
        </is>
      </c>
      <c r="F1979" s="47" t="inlineStr">
        <is>
          <t>SKT</t>
        </is>
      </c>
      <c r="G1979" s="47" t="inlineStr">
        <is>
          <t>LTE</t>
        </is>
      </c>
      <c r="H1979" s="48" t="n">
        <v>11000</v>
      </c>
      <c r="I1979" s="48" t="n"/>
      <c r="J1979" s="48" t="n"/>
      <c r="K1979" s="47">
        <f t="array" ref="K1979">_xlfn.XLOOKUP(1,(참조!$B$2:$B$15=E1979)*(참조!$D$2:$D$15=C1979)*(참조!$E$2:$E$15=D1979),참조!$C$2:$C$15,"")</f>
        <v/>
      </c>
    </row>
    <row r="1980" hidden="1" s="27">
      <c r="A1980" s="47" t="inlineStr">
        <is>
          <t>리브모바일</t>
        </is>
      </c>
      <c r="B1980" s="47" t="inlineStr">
        <is>
          <t>5G 든든무제한 150GB+</t>
        </is>
      </c>
      <c r="C1980" s="47" t="inlineStr">
        <is>
          <t>무제한</t>
        </is>
      </c>
      <c r="D1980" s="47" t="inlineStr">
        <is>
          <t>무제한</t>
        </is>
      </c>
      <c r="E1980" s="47" t="inlineStr">
        <is>
          <t>월 150GB + 5Mbps</t>
        </is>
      </c>
      <c r="F1980" s="47" t="inlineStr">
        <is>
          <t>LG U+</t>
        </is>
      </c>
      <c r="G1980" s="47" t="inlineStr">
        <is>
          <t>5G</t>
        </is>
      </c>
      <c r="H1980" s="48" t="n">
        <v>48900</v>
      </c>
      <c r="I1980" s="48" t="n"/>
      <c r="J1980" s="48" t="n"/>
      <c r="K1980" s="47">
        <f t="array" ref="K1980">_xlfn.XLOOKUP(1,(참조!$B$2:$B$15=E1980)*(참조!$D$2:$D$15=C1980)*(참조!$E$2:$E$15=D1980),참조!$C$2:$C$15,"")</f>
        <v/>
      </c>
    </row>
    <row r="1981" hidden="1" s="27">
      <c r="A1981" s="47" t="inlineStr">
        <is>
          <t>리브모바일</t>
        </is>
      </c>
      <c r="B1981" s="47" t="inlineStr">
        <is>
          <t>LTE 실속 3GB(200분)</t>
        </is>
      </c>
      <c r="C1981" s="47" t="inlineStr">
        <is>
          <t>200분</t>
        </is>
      </c>
      <c r="D1981" s="47" t="inlineStr">
        <is>
          <t>100건</t>
        </is>
      </c>
      <c r="E1981" s="47" t="inlineStr">
        <is>
          <t>월 3GB</t>
        </is>
      </c>
      <c r="F1981" s="47" t="inlineStr">
        <is>
          <t>SKT</t>
        </is>
      </c>
      <c r="G1981" s="47" t="inlineStr">
        <is>
          <t>LTE</t>
        </is>
      </c>
      <c r="H1981" s="48" t="n">
        <v>12100</v>
      </c>
      <c r="I1981" s="48" t="n"/>
      <c r="J1981" s="48" t="n"/>
      <c r="K1981" s="47">
        <f t="array" ref="K1981">_xlfn.XLOOKUP(1,(참조!$B$2:$B$15=E1981)*(참조!$D$2:$D$15=C1981)*(참조!$E$2:$E$15=D1981),참조!$C$2:$C$15,"")</f>
        <v/>
      </c>
    </row>
    <row r="1982" hidden="1" s="27">
      <c r="A1982" s="47" t="inlineStr">
        <is>
          <t>리브모바일</t>
        </is>
      </c>
      <c r="B1982" s="47" t="inlineStr">
        <is>
          <t>LTE 실속 3GB+(200분)</t>
        </is>
      </c>
      <c r="C1982" s="47" t="inlineStr">
        <is>
          <t>200분</t>
        </is>
      </c>
      <c r="D1982" s="47" t="inlineStr">
        <is>
          <t>100건</t>
        </is>
      </c>
      <c r="E1982" s="47" t="inlineStr">
        <is>
          <t>월 3GB + 1Mbps</t>
        </is>
      </c>
      <c r="F1982" s="47" t="inlineStr">
        <is>
          <t>SKT</t>
        </is>
      </c>
      <c r="G1982" s="47" t="inlineStr">
        <is>
          <t>LTE</t>
        </is>
      </c>
      <c r="H1982" s="48" t="n">
        <v>15400</v>
      </c>
      <c r="I1982" s="48" t="n"/>
      <c r="J1982" s="48" t="n"/>
      <c r="K1982" s="47">
        <f t="array" ref="K1982">_xlfn.XLOOKUP(1,(참조!$B$2:$B$15=E1982)*(참조!$D$2:$D$15=C1982)*(참조!$E$2:$E$15=D1982),참조!$C$2:$C$15,"")</f>
        <v/>
      </c>
    </row>
    <row r="1983" hidden="1" s="27">
      <c r="A1983" s="47" t="inlineStr">
        <is>
          <t>리브모바일</t>
        </is>
      </c>
      <c r="B1983" s="47" t="inlineStr">
        <is>
          <t>5G 무제한 24GB+</t>
        </is>
      </c>
      <c r="C1983" s="47" t="inlineStr">
        <is>
          <t>무제한</t>
        </is>
      </c>
      <c r="D1983" s="47" t="inlineStr">
        <is>
          <t>무제한</t>
        </is>
      </c>
      <c r="E1983" s="47" t="inlineStr">
        <is>
          <t>월 24GB + 1Mbps</t>
        </is>
      </c>
      <c r="F1983" s="47" t="inlineStr">
        <is>
          <t>SKT</t>
        </is>
      </c>
      <c r="G1983" s="47" t="inlineStr">
        <is>
          <t>5G</t>
        </is>
      </c>
      <c r="H1983" s="48" t="n">
        <v>43400</v>
      </c>
      <c r="I1983" s="48" t="n"/>
      <c r="J1983" s="48" t="n"/>
      <c r="K1983" s="47">
        <f t="array" ref="K1983">_xlfn.XLOOKUP(1,(참조!$B$2:$B$15=E1983)*(참조!$D$2:$D$15=C1983)*(참조!$E$2:$E$15=D1983),참조!$C$2:$C$15,"")</f>
        <v/>
      </c>
    </row>
    <row r="1984" hidden="1" s="27">
      <c r="A1984" s="47" t="inlineStr">
        <is>
          <t>리브모바일</t>
        </is>
      </c>
      <c r="B1984" s="47" t="inlineStr">
        <is>
          <t>5G 무제한 54GB+</t>
        </is>
      </c>
      <c r="C1984" s="47" t="inlineStr">
        <is>
          <t>무제한</t>
        </is>
      </c>
      <c r="D1984" s="47" t="inlineStr">
        <is>
          <t>무제한</t>
        </is>
      </c>
      <c r="E1984" s="47" t="inlineStr">
        <is>
          <t>월 54GB + 1Mbps</t>
        </is>
      </c>
      <c r="F1984" s="47" t="inlineStr">
        <is>
          <t>SKT</t>
        </is>
      </c>
      <c r="G1984" s="47" t="inlineStr">
        <is>
          <t>5G</t>
        </is>
      </c>
      <c r="H1984" s="48" t="n">
        <v>46400</v>
      </c>
      <c r="I1984" s="48" t="n"/>
      <c r="J1984" s="48" t="n"/>
      <c r="K1984" s="47">
        <f t="array" ref="K1984">_xlfn.XLOOKUP(1,(참조!$B$2:$B$15=E1984)*(참조!$D$2:$D$15=C1984)*(참조!$E$2:$E$15=D1984),참조!$C$2:$C$15,"")</f>
        <v/>
      </c>
    </row>
    <row r="1985" hidden="1" s="27">
      <c r="A1985" s="47" t="inlineStr">
        <is>
          <t>리브모바일</t>
        </is>
      </c>
      <c r="B1985" s="47" t="inlineStr">
        <is>
          <t>5G 무제한 200GB+</t>
        </is>
      </c>
      <c r="C1985" s="47" t="inlineStr">
        <is>
          <t>무제한</t>
        </is>
      </c>
      <c r="D1985" s="47" t="inlineStr">
        <is>
          <t>무제한</t>
        </is>
      </c>
      <c r="E1985" s="47" t="inlineStr">
        <is>
          <t>월 200GB + 5Mbps</t>
        </is>
      </c>
      <c r="F1985" s="47" t="inlineStr">
        <is>
          <t>SKT</t>
        </is>
      </c>
      <c r="G1985" s="47" t="inlineStr">
        <is>
          <t>5G</t>
        </is>
      </c>
      <c r="H1985" s="48" t="n">
        <v>53900</v>
      </c>
      <c r="I1985" s="48" t="n"/>
      <c r="J1985" s="48" t="n"/>
      <c r="K1985" s="47">
        <f t="array" ref="K1985">_xlfn.XLOOKUP(1,(참조!$B$2:$B$15=E1985)*(참조!$D$2:$D$15=C1985)*(참조!$E$2:$E$15=D1985),참조!$C$2:$C$15,"")</f>
        <v/>
      </c>
    </row>
    <row r="1986" hidden="1" s="27">
      <c r="A1986" s="47" t="inlineStr">
        <is>
          <t>리브모바일</t>
        </is>
      </c>
      <c r="B1986" s="47" t="inlineStr">
        <is>
          <t>5G 무제한 250GB+</t>
        </is>
      </c>
      <c r="C1986" s="47" t="inlineStr">
        <is>
          <t>무제한</t>
        </is>
      </c>
      <c r="D1986" s="47" t="inlineStr">
        <is>
          <t>무제한</t>
        </is>
      </c>
      <c r="E1986" s="47" t="inlineStr">
        <is>
          <t>월 250GB + 5Mbps</t>
        </is>
      </c>
      <c r="F1986" s="47" t="inlineStr">
        <is>
          <t>SKT</t>
        </is>
      </c>
      <c r="G1986" s="47" t="inlineStr">
        <is>
          <t>5G</t>
        </is>
      </c>
      <c r="H1986" s="48" t="n">
        <v>56100</v>
      </c>
      <c r="I1986" s="48" t="n"/>
      <c r="J1986" s="48" t="n"/>
      <c r="K1986" s="47">
        <f t="array" ref="K1986">_xlfn.XLOOKUP(1,(참조!$B$2:$B$15=E1986)*(참조!$D$2:$D$15=C1986)*(참조!$E$2:$E$15=D1986),참조!$C$2:$C$15,"")</f>
        <v/>
      </c>
    </row>
    <row r="1987" hidden="1" s="27">
      <c r="A1987" s="47" t="inlineStr">
        <is>
          <t>프리티</t>
        </is>
      </c>
      <c r="B1987" s="47" t="inlineStr">
        <is>
          <t>월간Pick 15G+</t>
        </is>
      </c>
      <c r="C1987" s="47" t="inlineStr">
        <is>
          <t>100분</t>
        </is>
      </c>
      <c r="D1987" s="47" t="inlineStr">
        <is>
          <t>100건</t>
        </is>
      </c>
      <c r="E1987" s="47" t="inlineStr">
        <is>
          <t>월 15GB + 3Mbps</t>
        </is>
      </c>
      <c r="F1987" s="47" t="inlineStr">
        <is>
          <t>LG U+</t>
        </is>
      </c>
      <c r="G1987" s="47" t="inlineStr">
        <is>
          <t>LTE</t>
        </is>
      </c>
      <c r="H1987" s="48" t="n">
        <v>22000</v>
      </c>
      <c r="I1987" s="48" t="n">
        <v>7</v>
      </c>
      <c r="J1987" s="48" t="n">
        <v>36740</v>
      </c>
      <c r="K1987" s="47">
        <f t="array" ref="K1987">_xlfn.XLOOKUP(1,(참조!$B$2:$B$15=E1987)*(참조!$D$2:$D$15=C1987)*(참조!$E$2:$E$15=D1987),참조!$C$2:$C$15,"")</f>
        <v/>
      </c>
    </row>
    <row r="1988" hidden="1" s="27">
      <c r="A1988" s="47" t="n"/>
      <c r="B1988" s="47" t="n"/>
      <c r="C1988" s="47" t="n"/>
      <c r="D1988" s="47" t="n"/>
      <c r="E1988" s="47" t="n"/>
      <c r="F1988" s="47" t="n"/>
      <c r="G1988" s="47" t="n"/>
      <c r="H1988" s="48" t="n"/>
      <c r="I1988" s="48" t="n"/>
      <c r="J1988" s="48" t="n"/>
      <c r="K1988" s="47" t="n"/>
    </row>
    <row r="1989" hidden="1" s="27">
      <c r="A1989" s="47" t="n"/>
      <c r="B1989" s="47" t="n"/>
      <c r="C1989" s="47" t="n"/>
      <c r="D1989" s="47" t="n"/>
      <c r="E1989" s="47" t="n"/>
      <c r="F1989" s="47" t="n"/>
      <c r="G1989" s="47" t="n"/>
      <c r="H1989" s="48" t="n"/>
      <c r="I1989" s="48" t="n"/>
      <c r="J1989" s="48" t="n"/>
      <c r="K1989" s="47" t="n"/>
    </row>
    <row r="1990" hidden="1" s="27">
      <c r="A1990" s="47" t="n"/>
      <c r="B1990" s="47" t="n"/>
      <c r="C1990" s="47" t="n"/>
      <c r="D1990" s="47" t="n"/>
      <c r="E1990" s="47" t="n"/>
      <c r="F1990" s="47" t="n"/>
      <c r="G1990" s="47" t="n"/>
      <c r="H1990" s="48" t="n"/>
      <c r="I1990" s="48" t="n"/>
      <c r="J1990" s="48" t="n"/>
      <c r="K1990" s="47" t="n"/>
    </row>
    <row r="1991" hidden="1" s="27">
      <c r="A1991" s="47" t="n"/>
      <c r="B1991" s="47" t="n"/>
      <c r="C1991" s="47" t="n"/>
      <c r="D1991" s="47" t="n"/>
      <c r="E1991" s="47" t="n"/>
      <c r="F1991" s="47" t="n"/>
      <c r="G1991" s="47" t="n"/>
      <c r="H1991" s="48" t="n"/>
      <c r="I1991" s="48" t="n"/>
      <c r="J1991" s="48" t="n"/>
      <c r="K1991" s="47" t="n"/>
    </row>
    <row r="1992" hidden="1" s="27">
      <c r="A1992" s="47" t="n"/>
      <c r="B1992" s="47" t="n"/>
      <c r="C1992" s="47" t="n"/>
      <c r="D1992" s="47" t="n"/>
      <c r="E1992" s="47" t="n"/>
      <c r="F1992" s="47" t="n"/>
      <c r="G1992" s="47" t="n"/>
      <c r="H1992" s="48" t="n"/>
      <c r="I1992" s="48" t="n"/>
      <c r="J1992" s="48" t="n"/>
      <c r="K1992" s="47" t="n"/>
    </row>
    <row r="1993" hidden="1" s="27">
      <c r="A1993" s="47" t="n"/>
      <c r="B1993" s="47" t="n"/>
      <c r="C1993" s="47" t="n"/>
      <c r="D1993" s="47" t="n"/>
      <c r="E1993" s="47" t="n"/>
      <c r="F1993" s="47" t="n"/>
      <c r="G1993" s="47" t="n"/>
      <c r="H1993" s="48" t="n"/>
      <c r="I1993" s="48" t="n"/>
      <c r="J1993" s="48" t="n"/>
      <c r="K1993" s="47" t="n"/>
    </row>
    <row r="1994" hidden="1" s="27">
      <c r="A1994" s="47" t="n"/>
      <c r="B1994" s="47" t="n"/>
      <c r="C1994" s="47" t="n"/>
      <c r="D1994" s="47" t="n"/>
      <c r="E1994" s="47" t="n"/>
      <c r="F1994" s="47" t="n"/>
      <c r="G1994" s="47" t="n"/>
      <c r="H1994" s="48" t="n"/>
      <c r="I1994" s="48" t="n"/>
      <c r="J1994" s="48" t="n"/>
      <c r="K1994" s="47" t="n"/>
    </row>
    <row r="1995">
      <c r="A1995" s="47" t="n"/>
      <c r="B1995" s="47" t="n"/>
      <c r="C1995" s="47" t="n"/>
      <c r="D1995" s="47" t="n"/>
      <c r="E1995" s="47" t="n"/>
      <c r="F1995" s="47" t="n"/>
      <c r="G1995" s="47" t="n"/>
      <c r="H1995" s="48" t="n"/>
      <c r="I1995" s="48" t="n"/>
      <c r="J1995" s="48" t="n"/>
      <c r="K1995" s="47" t="n"/>
    </row>
    <row r="1996" hidden="1" s="27">
      <c r="A1996" s="47" t="n"/>
      <c r="B1996" s="47" t="n"/>
      <c r="C1996" s="47" t="n"/>
      <c r="D1996" s="47" t="n"/>
      <c r="E1996" s="47" t="n"/>
      <c r="F1996" s="47" t="n"/>
      <c r="G1996" s="47" t="n"/>
      <c r="H1996" s="48" t="n"/>
      <c r="I1996" s="48" t="n"/>
      <c r="J1996" s="48" t="n"/>
      <c r="K1996" s="47" t="n"/>
    </row>
    <row r="1997" hidden="1" s="27">
      <c r="A1997" s="47" t="n"/>
      <c r="B1997" s="47" t="n"/>
      <c r="C1997" s="47" t="n"/>
      <c r="D1997" s="47" t="n"/>
      <c r="E1997" s="47" t="n"/>
      <c r="F1997" s="47" t="n"/>
      <c r="G1997" s="47" t="n"/>
      <c r="H1997" s="48" t="n"/>
      <c r="I1997" s="48" t="n"/>
      <c r="J1997" s="48" t="n"/>
      <c r="K1997" s="47" t="n"/>
    </row>
    <row r="1998" hidden="1" s="27">
      <c r="A1998" s="47" t="n"/>
      <c r="B1998" s="47" t="n"/>
      <c r="C1998" s="47" t="n"/>
      <c r="D1998" s="47" t="n"/>
      <c r="E1998" s="47" t="n"/>
      <c r="F1998" s="47" t="n"/>
      <c r="G1998" s="47" t="n"/>
      <c r="H1998" s="48" t="n"/>
      <c r="I1998" s="48" t="n"/>
      <c r="J1998" s="48" t="n"/>
      <c r="K1998" s="47" t="n"/>
    </row>
    <row r="1999" hidden="1" s="27">
      <c r="A1999" s="47" t="n"/>
      <c r="B1999" s="47" t="n"/>
      <c r="C1999" s="47" t="n"/>
      <c r="D1999" s="47" t="n"/>
      <c r="E1999" s="47" t="n"/>
      <c r="F1999" s="47" t="n"/>
      <c r="G1999" s="47" t="n"/>
      <c r="H1999" s="48" t="n"/>
      <c r="I1999" s="48" t="n"/>
      <c r="J1999" s="48" t="n"/>
      <c r="K1999" s="47" t="n"/>
    </row>
    <row r="2000" hidden="1" s="27">
      <c r="A2000" s="47" t="n"/>
      <c r="B2000" s="47" t="n"/>
      <c r="C2000" s="47" t="n"/>
      <c r="D2000" s="47" t="n"/>
      <c r="E2000" s="47" t="n"/>
      <c r="F2000" s="47" t="n"/>
      <c r="G2000" s="47" t="n"/>
      <c r="H2000" s="48" t="n"/>
      <c r="I2000" s="48" t="n"/>
      <c r="J2000" s="48" t="n"/>
      <c r="K2000" s="47" t="n"/>
    </row>
    <row r="2001" hidden="1" s="27">
      <c r="A2001" s="47" t="n"/>
      <c r="B2001" s="47" t="n"/>
      <c r="C2001" s="47" t="n"/>
      <c r="D2001" s="47" t="n"/>
      <c r="E2001" s="47" t="n"/>
      <c r="F2001" s="47" t="n"/>
      <c r="G2001" s="47" t="n"/>
      <c r="H2001" s="48" t="n"/>
      <c r="I2001" s="48" t="n"/>
      <c r="J2001" s="48" t="n"/>
      <c r="K2001" s="47" t="n"/>
    </row>
    <row r="2002" hidden="1" s="27">
      <c r="A2002" s="47" t="n"/>
      <c r="B2002" s="47" t="n"/>
      <c r="C2002" s="47" t="n"/>
      <c r="D2002" s="47" t="n"/>
      <c r="E2002" s="47" t="n"/>
      <c r="F2002" s="47" t="n"/>
      <c r="G2002" s="47" t="n"/>
      <c r="H2002" s="48" t="n"/>
      <c r="I2002" s="48" t="n"/>
      <c r="J2002" s="48" t="n"/>
      <c r="K2002" s="47" t="n"/>
    </row>
    <row r="2003" hidden="1" s="27">
      <c r="A2003" s="47" t="n"/>
      <c r="B2003" s="47" t="n"/>
      <c r="C2003" s="47" t="n"/>
      <c r="D2003" s="47" t="n"/>
      <c r="E2003" s="47" t="n"/>
      <c r="F2003" s="47" t="n"/>
      <c r="G2003" s="47" t="n"/>
      <c r="H2003" s="48" t="n"/>
      <c r="I2003" s="48" t="n"/>
      <c r="J2003" s="48" t="n"/>
      <c r="K2003" s="47" t="n"/>
    </row>
    <row r="2004" hidden="1" s="27">
      <c r="A2004" s="47" t="n"/>
      <c r="B2004" s="47" t="n"/>
      <c r="C2004" s="47" t="n"/>
      <c r="D2004" s="47" t="n"/>
      <c r="E2004" s="47" t="n"/>
      <c r="F2004" s="47" t="n"/>
      <c r="G2004" s="47" t="n"/>
      <c r="H2004" s="48" t="n"/>
      <c r="I2004" s="48" t="n"/>
      <c r="J2004" s="48" t="n"/>
      <c r="K2004" s="47" t="n"/>
    </row>
    <row r="2005" hidden="1" s="27">
      <c r="A2005" s="47" t="n"/>
      <c r="B2005" s="47" t="n"/>
      <c r="C2005" s="47" t="n"/>
      <c r="D2005" s="47" t="n"/>
      <c r="E2005" s="47" t="n"/>
      <c r="F2005" s="47" t="n"/>
      <c r="G2005" s="47" t="n"/>
      <c r="H2005" s="48" t="n"/>
      <c r="I2005" s="48" t="n"/>
      <c r="J2005" s="48" t="n"/>
      <c r="K2005" s="47" t="n"/>
    </row>
    <row r="2006" hidden="1" s="27">
      <c r="A2006" s="47" t="n"/>
      <c r="B2006" s="47" t="n"/>
      <c r="C2006" s="47" t="n"/>
      <c r="D2006" s="47" t="n"/>
      <c r="E2006" s="47" t="n"/>
      <c r="F2006" s="47" t="n"/>
      <c r="G2006" s="47" t="n"/>
      <c r="H2006" s="48" t="n"/>
      <c r="I2006" s="48" t="n"/>
      <c r="J2006" s="48" t="n"/>
      <c r="K2006" s="47" t="n"/>
    </row>
    <row r="2007" hidden="1" s="27">
      <c r="A2007" s="47" t="n"/>
      <c r="B2007" s="47" t="n"/>
      <c r="C2007" s="47" t="n"/>
      <c r="D2007" s="47" t="n"/>
      <c r="E2007" s="47" t="n"/>
      <c r="F2007" s="47" t="n"/>
      <c r="G2007" s="47" t="n"/>
      <c r="H2007" s="48" t="n"/>
      <c r="I2007" s="48" t="n"/>
      <c r="J2007" s="48" t="n"/>
      <c r="K2007" s="47" t="n"/>
    </row>
    <row r="2008" hidden="1" s="27">
      <c r="A2008" s="47" t="n"/>
      <c r="B2008" s="47" t="n"/>
      <c r="C2008" s="47" t="n"/>
      <c r="D2008" s="47" t="n"/>
      <c r="E2008" s="47" t="n"/>
      <c r="F2008" s="47" t="n"/>
      <c r="G2008" s="47" t="n"/>
      <c r="H2008" s="48" t="n"/>
      <c r="I2008" s="48" t="n"/>
      <c r="J2008" s="48" t="n"/>
      <c r="K2008" s="47" t="n"/>
    </row>
    <row r="2009" hidden="1" s="27">
      <c r="A2009" s="47" t="n"/>
      <c r="B2009" s="47" t="n"/>
      <c r="C2009" s="47" t="n"/>
      <c r="D2009" s="47" t="n"/>
      <c r="E2009" s="47" t="n"/>
      <c r="F2009" s="47" t="n"/>
      <c r="G2009" s="47" t="n"/>
      <c r="H2009" s="48" t="n"/>
      <c r="I2009" s="48" t="n"/>
      <c r="J2009" s="48" t="n"/>
      <c r="K2009" s="47" t="n"/>
    </row>
    <row r="2010" hidden="1" s="27">
      <c r="A2010" s="47" t="n"/>
      <c r="B2010" s="47" t="n"/>
      <c r="C2010" s="47" t="n"/>
      <c r="D2010" s="47" t="n"/>
      <c r="E2010" s="47" t="n"/>
      <c r="F2010" s="47" t="n"/>
      <c r="G2010" s="47" t="n"/>
      <c r="H2010" s="48" t="n"/>
      <c r="I2010" s="48" t="n"/>
      <c r="J2010" s="48" t="n"/>
      <c r="K2010" s="47" t="n"/>
    </row>
    <row r="2011" hidden="1" s="27">
      <c r="A2011" s="47" t="n"/>
      <c r="B2011" s="47" t="n"/>
      <c r="C2011" s="47" t="n"/>
      <c r="D2011" s="47" t="n"/>
      <c r="E2011" s="47" t="n"/>
      <c r="F2011" s="47" t="n"/>
      <c r="G2011" s="47" t="n"/>
      <c r="H2011" s="48" t="n"/>
      <c r="I2011" s="48" t="n"/>
      <c r="J2011" s="48" t="n"/>
      <c r="K2011" s="47" t="n"/>
    </row>
    <row r="2012" hidden="1" s="27">
      <c r="A2012" s="47" t="n"/>
      <c r="B2012" s="47" t="n"/>
      <c r="C2012" s="47" t="n"/>
      <c r="D2012" s="47" t="n"/>
      <c r="E2012" s="47" t="n"/>
      <c r="F2012" s="47" t="n"/>
      <c r="G2012" s="47" t="n"/>
      <c r="H2012" s="48" t="n"/>
      <c r="I2012" s="48" t="n"/>
      <c r="J2012" s="48" t="n"/>
      <c r="K2012" s="47" t="n"/>
    </row>
    <row r="2013" hidden="1" s="27">
      <c r="A2013" s="47" t="n"/>
      <c r="B2013" s="47" t="n"/>
      <c r="C2013" s="47" t="n"/>
      <c r="D2013" s="47" t="n"/>
      <c r="E2013" s="47" t="n"/>
      <c r="F2013" s="47" t="n"/>
      <c r="G2013" s="47" t="n"/>
      <c r="H2013" s="48" t="n"/>
      <c r="I2013" s="48" t="n"/>
      <c r="J2013" s="48" t="n"/>
      <c r="K2013" s="47" t="n"/>
    </row>
    <row r="2014" hidden="1" s="27">
      <c r="A2014" s="47" t="n"/>
      <c r="B2014" s="47" t="n"/>
      <c r="C2014" s="47" t="n"/>
      <c r="D2014" s="47" t="n"/>
      <c r="E2014" s="47" t="n"/>
      <c r="F2014" s="47" t="n"/>
      <c r="G2014" s="47" t="n"/>
      <c r="H2014" s="48" t="n"/>
      <c r="I2014" s="48" t="n"/>
      <c r="J2014" s="48" t="n"/>
      <c r="K2014" s="47" t="n"/>
    </row>
    <row r="2015" hidden="1" s="27">
      <c r="A2015" s="47" t="n"/>
      <c r="B2015" s="47" t="n"/>
      <c r="C2015" s="47" t="n"/>
      <c r="D2015" s="47" t="n"/>
      <c r="E2015" s="47" t="n"/>
      <c r="F2015" s="47" t="n"/>
      <c r="G2015" s="47" t="n"/>
      <c r="H2015" s="48" t="n"/>
      <c r="I2015" s="48" t="n"/>
      <c r="J2015" s="48" t="n"/>
      <c r="K2015" s="47" t="n"/>
    </row>
    <row r="2016" hidden="1" s="27">
      <c r="A2016" s="47" t="n"/>
      <c r="B2016" s="47" t="n"/>
      <c r="C2016" s="47" t="n"/>
      <c r="D2016" s="47" t="n"/>
      <c r="E2016" s="47" t="n"/>
      <c r="F2016" s="47" t="n"/>
      <c r="G2016" s="47" t="n"/>
      <c r="H2016" s="48" t="n"/>
      <c r="I2016" s="48" t="n"/>
      <c r="J2016" s="48" t="n"/>
      <c r="K2016" s="47" t="n"/>
    </row>
    <row r="2017" hidden="1" s="27">
      <c r="A2017" s="47" t="n"/>
      <c r="B2017" s="47" t="n"/>
      <c r="C2017" s="47" t="n"/>
      <c r="D2017" s="47" t="n"/>
      <c r="E2017" s="47" t="n"/>
      <c r="F2017" s="47" t="n"/>
      <c r="G2017" s="47" t="n"/>
      <c r="H2017" s="48" t="n"/>
      <c r="I2017" s="48" t="n"/>
      <c r="J2017" s="48" t="n"/>
      <c r="K2017" s="47" t="n"/>
    </row>
    <row r="2018" hidden="1" s="27">
      <c r="A2018" s="47" t="n"/>
      <c r="B2018" s="47" t="n"/>
      <c r="C2018" s="47" t="n"/>
      <c r="D2018" s="47" t="n"/>
      <c r="E2018" s="47" t="n"/>
      <c r="F2018" s="47" t="n"/>
      <c r="G2018" s="47" t="n"/>
      <c r="H2018" s="48" t="n"/>
      <c r="I2018" s="48" t="n"/>
      <c r="J2018" s="48" t="n"/>
      <c r="K2018" s="47" t="n"/>
    </row>
    <row r="2019" hidden="1" s="27">
      <c r="A2019" s="47" t="n"/>
      <c r="B2019" s="47" t="n"/>
      <c r="C2019" s="47" t="n"/>
      <c r="D2019" s="47" t="n"/>
      <c r="E2019" s="47" t="n"/>
      <c r="F2019" s="47" t="n"/>
      <c r="G2019" s="47" t="n"/>
      <c r="H2019" s="48" t="n"/>
      <c r="I2019" s="48" t="n"/>
      <c r="J2019" s="48" t="n"/>
      <c r="K2019" s="47" t="n"/>
    </row>
    <row r="2020" hidden="1" s="27">
      <c r="A2020" s="47" t="n"/>
      <c r="B2020" s="47" t="n"/>
      <c r="C2020" s="47" t="n"/>
      <c r="D2020" s="47" t="n"/>
      <c r="E2020" s="47" t="n"/>
      <c r="F2020" s="47" t="n"/>
      <c r="G2020" s="47" t="n"/>
      <c r="H2020" s="48" t="n"/>
      <c r="I2020" s="48" t="n"/>
      <c r="J2020" s="48" t="n"/>
      <c r="K2020" s="47" t="n"/>
    </row>
    <row r="2021" hidden="1" s="27">
      <c r="A2021" s="47" t="n"/>
      <c r="B2021" s="47" t="n"/>
      <c r="C2021" s="47" t="n"/>
      <c r="D2021" s="47" t="n"/>
      <c r="E2021" s="47" t="n"/>
      <c r="F2021" s="47" t="n"/>
      <c r="G2021" s="47" t="n"/>
      <c r="H2021" s="48" t="n"/>
      <c r="I2021" s="48" t="n"/>
      <c r="J2021" s="48" t="n"/>
      <c r="K2021" s="47" t="n"/>
    </row>
    <row r="2022" hidden="1" s="27">
      <c r="A2022" s="47" t="n"/>
      <c r="B2022" s="47" t="n"/>
      <c r="C2022" s="47" t="n"/>
      <c r="D2022" s="47" t="n"/>
      <c r="E2022" s="47" t="n"/>
      <c r="F2022" s="47" t="n"/>
      <c r="G2022" s="47" t="n"/>
      <c r="H2022" s="48" t="n"/>
      <c r="I2022" s="48" t="n"/>
      <c r="J2022" s="48" t="n"/>
      <c r="K2022" s="47" t="n"/>
    </row>
    <row r="2023" hidden="1" s="27">
      <c r="A2023" s="47" t="n"/>
      <c r="B2023" s="47" t="n"/>
      <c r="C2023" s="47" t="n"/>
      <c r="D2023" s="47" t="n"/>
      <c r="E2023" s="47" t="n"/>
      <c r="F2023" s="47" t="n"/>
      <c r="G2023" s="47" t="n"/>
      <c r="H2023" s="48" t="n"/>
      <c r="I2023" s="48" t="n"/>
      <c r="J2023" s="48" t="n"/>
      <c r="K2023" s="47" t="n"/>
    </row>
    <row r="2024" hidden="1" s="27">
      <c r="A2024" s="47" t="n"/>
      <c r="B2024" s="47" t="n"/>
      <c r="C2024" s="47" t="n"/>
      <c r="D2024" s="47" t="n"/>
      <c r="E2024" s="47" t="n"/>
      <c r="F2024" s="47" t="n"/>
      <c r="G2024" s="47" t="n"/>
      <c r="H2024" s="48" t="n"/>
      <c r="I2024" s="48" t="n"/>
      <c r="J2024" s="48" t="n"/>
      <c r="K2024" s="47" t="n"/>
    </row>
    <row r="2025" hidden="1" s="27">
      <c r="A2025" s="47" t="n"/>
      <c r="B2025" s="47" t="n"/>
      <c r="C2025" s="47" t="n"/>
      <c r="D2025" s="47" t="n"/>
      <c r="E2025" s="47" t="n"/>
      <c r="F2025" s="47" t="n"/>
      <c r="G2025" s="47" t="n"/>
      <c r="H2025" s="48" t="n"/>
      <c r="I2025" s="48" t="n"/>
      <c r="J2025" s="48" t="n"/>
      <c r="K2025" s="47" t="n"/>
    </row>
    <row r="2026" hidden="1" s="27">
      <c r="A2026" s="47" t="n"/>
      <c r="B2026" s="47" t="n"/>
      <c r="C2026" s="47" t="n"/>
      <c r="D2026" s="47" t="n"/>
      <c r="E2026" s="47" t="n"/>
      <c r="F2026" s="47" t="n"/>
      <c r="G2026" s="47" t="n"/>
      <c r="H2026" s="48" t="n"/>
      <c r="I2026" s="48" t="n"/>
      <c r="J2026" s="48" t="n"/>
      <c r="K2026" s="47" t="n"/>
    </row>
    <row r="2027" hidden="1" s="27">
      <c r="A2027" s="47" t="n"/>
      <c r="B2027" s="47" t="n"/>
      <c r="C2027" s="47" t="n"/>
      <c r="D2027" s="47" t="n"/>
      <c r="E2027" s="47" t="n"/>
      <c r="F2027" s="47" t="n"/>
      <c r="G2027" s="47" t="n"/>
      <c r="H2027" s="48" t="n"/>
      <c r="I2027" s="48" t="n"/>
      <c r="J2027" s="48" t="n"/>
      <c r="K2027" s="47" t="n"/>
    </row>
    <row r="2028" hidden="1" s="27">
      <c r="A2028" s="47" t="n"/>
      <c r="B2028" s="47" t="n"/>
      <c r="C2028" s="47" t="n"/>
      <c r="D2028" s="47" t="n"/>
      <c r="E2028" s="47" t="n"/>
      <c r="F2028" s="47" t="n"/>
      <c r="G2028" s="47" t="n"/>
      <c r="H2028" s="48" t="n"/>
      <c r="I2028" s="48" t="n"/>
      <c r="J2028" s="48" t="n"/>
      <c r="K2028" s="47" t="n"/>
    </row>
    <row r="2029" hidden="1" s="27">
      <c r="A2029" s="47" t="n"/>
      <c r="B2029" s="47" t="n"/>
      <c r="C2029" s="47" t="n"/>
      <c r="D2029" s="47" t="n"/>
      <c r="E2029" s="47" t="n"/>
      <c r="F2029" s="47" t="n"/>
      <c r="G2029" s="47" t="n"/>
      <c r="H2029" s="48" t="n"/>
      <c r="I2029" s="48" t="n"/>
      <c r="J2029" s="48" t="n"/>
      <c r="K2029" s="47" t="n"/>
    </row>
    <row r="2030" hidden="1" s="27">
      <c r="A2030" s="47" t="n"/>
      <c r="B2030" s="47" t="n"/>
      <c r="C2030" s="47" t="n"/>
      <c r="D2030" s="47" t="n"/>
      <c r="E2030" s="47" t="n"/>
      <c r="F2030" s="47" t="n"/>
      <c r="G2030" s="47" t="n"/>
      <c r="H2030" s="48" t="n"/>
      <c r="I2030" s="48" t="n"/>
      <c r="J2030" s="48" t="n"/>
      <c r="K2030" s="47" t="n"/>
    </row>
    <row r="2031" hidden="1" s="27">
      <c r="A2031" s="47" t="n"/>
      <c r="B2031" s="47" t="n"/>
      <c r="C2031" s="47" t="n"/>
      <c r="D2031" s="47" t="n"/>
      <c r="E2031" s="47" t="n"/>
      <c r="F2031" s="47" t="n"/>
      <c r="G2031" s="47" t="n"/>
      <c r="H2031" s="48" t="n"/>
      <c r="I2031" s="48" t="n"/>
      <c r="J2031" s="48" t="n"/>
      <c r="K2031" s="47" t="n"/>
    </row>
    <row r="2032" hidden="1" s="27">
      <c r="A2032" s="47" t="n"/>
      <c r="B2032" s="47" t="n"/>
      <c r="C2032" s="47" t="n"/>
      <c r="D2032" s="47" t="n"/>
      <c r="E2032" s="47" t="n"/>
      <c r="F2032" s="47" t="n"/>
      <c r="G2032" s="47" t="n"/>
      <c r="H2032" s="48" t="n"/>
      <c r="I2032" s="48" t="n"/>
      <c r="J2032" s="48" t="n"/>
      <c r="K2032" s="47" t="n"/>
    </row>
    <row r="2033" hidden="1" s="27">
      <c r="A2033" s="47" t="n"/>
      <c r="B2033" s="47" t="n"/>
      <c r="C2033" s="47" t="n"/>
      <c r="D2033" s="47" t="n"/>
      <c r="E2033" s="47" t="n"/>
      <c r="F2033" s="47" t="n"/>
      <c r="G2033" s="47" t="n"/>
      <c r="H2033" s="48" t="n"/>
      <c r="I2033" s="48" t="n"/>
      <c r="J2033" s="48" t="n"/>
      <c r="K2033" s="47" t="n"/>
    </row>
    <row r="2034" hidden="1" s="27">
      <c r="A2034" s="47" t="n"/>
      <c r="B2034" s="47" t="n"/>
      <c r="C2034" s="47" t="n"/>
      <c r="D2034" s="47" t="n"/>
      <c r="E2034" s="47" t="n"/>
      <c r="F2034" s="47" t="n"/>
      <c r="G2034" s="47" t="n"/>
      <c r="H2034" s="48" t="n"/>
      <c r="I2034" s="48" t="n"/>
      <c r="J2034" s="48" t="n"/>
      <c r="K2034" s="47" t="n"/>
    </row>
    <row r="2035" hidden="1" s="27">
      <c r="A2035" s="47" t="n"/>
      <c r="B2035" s="47" t="n"/>
      <c r="C2035" s="47" t="n"/>
      <c r="D2035" s="47" t="n"/>
      <c r="E2035" s="47" t="n"/>
      <c r="F2035" s="47" t="n"/>
      <c r="G2035" s="47" t="n"/>
      <c r="H2035" s="48" t="n"/>
      <c r="I2035" s="48" t="n"/>
      <c r="J2035" s="48" t="n"/>
      <c r="K2035" s="47" t="n"/>
    </row>
    <row r="2036" hidden="1" s="27">
      <c r="A2036" s="47" t="n"/>
      <c r="B2036" s="47" t="n"/>
      <c r="C2036" s="47" t="n"/>
      <c r="D2036" s="47" t="n"/>
      <c r="E2036" s="47" t="n"/>
      <c r="F2036" s="47" t="n"/>
      <c r="G2036" s="47" t="n"/>
      <c r="H2036" s="48" t="n"/>
      <c r="I2036" s="48" t="n"/>
      <c r="J2036" s="48" t="n"/>
      <c r="K2036" s="47" t="n"/>
    </row>
    <row r="2037" hidden="1" s="27">
      <c r="A2037" s="47" t="n"/>
      <c r="B2037" s="47" t="n"/>
      <c r="C2037" s="47" t="n"/>
      <c r="D2037" s="47" t="n"/>
      <c r="E2037" s="47" t="n"/>
      <c r="F2037" s="47" t="n"/>
      <c r="G2037" s="47" t="n"/>
      <c r="H2037" s="48" t="n"/>
      <c r="I2037" s="48" t="n"/>
      <c r="J2037" s="48" t="n"/>
      <c r="K2037" s="47" t="n"/>
    </row>
    <row r="2038" hidden="1" s="27">
      <c r="A2038" s="47" t="n"/>
      <c r="B2038" s="47" t="n"/>
      <c r="C2038" s="47" t="n"/>
      <c r="D2038" s="47" t="n"/>
      <c r="E2038" s="47" t="n"/>
      <c r="F2038" s="47" t="n"/>
      <c r="G2038" s="47" t="n"/>
      <c r="H2038" s="48" t="n"/>
      <c r="I2038" s="48" t="n"/>
      <c r="J2038" s="48" t="n"/>
      <c r="K2038" s="47" t="n"/>
    </row>
    <row r="2039" hidden="1" s="27">
      <c r="A2039" s="47" t="n"/>
      <c r="B2039" s="47" t="n"/>
      <c r="C2039" s="47" t="n"/>
      <c r="D2039" s="47" t="n"/>
      <c r="E2039" s="47" t="n"/>
      <c r="F2039" s="47" t="n"/>
      <c r="G2039" s="47" t="n"/>
      <c r="H2039" s="48" t="n"/>
      <c r="I2039" s="48" t="n"/>
      <c r="J2039" s="48" t="n"/>
      <c r="K2039" s="47" t="n"/>
    </row>
    <row r="2040" hidden="1" s="27">
      <c r="A2040" s="47" t="n"/>
      <c r="B2040" s="47" t="n"/>
      <c r="C2040" s="47" t="n"/>
      <c r="D2040" s="47" t="n"/>
      <c r="E2040" s="47" t="n"/>
      <c r="F2040" s="47" t="n"/>
      <c r="G2040" s="47" t="n"/>
      <c r="H2040" s="48" t="n"/>
      <c r="I2040" s="48" t="n"/>
      <c r="J2040" s="48" t="n"/>
      <c r="K2040" s="47" t="n"/>
    </row>
    <row r="2041" hidden="1" s="27">
      <c r="A2041" s="47" t="n"/>
      <c r="B2041" s="47" t="n"/>
      <c r="C2041" s="47" t="n"/>
      <c r="D2041" s="47" t="n"/>
      <c r="E2041" s="47" t="n"/>
      <c r="F2041" s="47" t="n"/>
      <c r="G2041" s="47" t="n"/>
      <c r="H2041" s="48" t="n"/>
      <c r="I2041" s="48" t="n"/>
      <c r="J2041" s="48" t="n"/>
      <c r="K2041" s="47" t="n"/>
    </row>
    <row r="2042" hidden="1" s="27">
      <c r="A2042" s="47" t="n"/>
      <c r="B2042" s="47" t="n"/>
      <c r="C2042" s="47" t="n"/>
      <c r="D2042" s="47" t="n"/>
      <c r="E2042" s="47" t="n"/>
      <c r="F2042" s="47" t="n"/>
      <c r="G2042" s="47" t="n"/>
      <c r="H2042" s="48" t="n"/>
      <c r="I2042" s="48" t="n"/>
      <c r="J2042" s="48" t="n"/>
      <c r="K2042" s="47" t="n"/>
    </row>
    <row r="2043" hidden="1" s="27">
      <c r="A2043" s="47" t="n"/>
      <c r="B2043" s="47" t="n"/>
      <c r="C2043" s="47" t="n"/>
      <c r="D2043" s="47" t="n"/>
      <c r="E2043" s="47" t="n"/>
      <c r="F2043" s="47" t="n"/>
      <c r="G2043" s="47" t="n"/>
      <c r="H2043" s="48" t="n"/>
      <c r="I2043" s="48" t="n"/>
      <c r="J2043" s="48" t="n"/>
      <c r="K2043" s="47" t="n"/>
    </row>
    <row r="2044" hidden="1" s="27">
      <c r="A2044" s="47" t="n"/>
      <c r="B2044" s="47" t="n"/>
      <c r="C2044" s="47" t="n"/>
      <c r="D2044" s="47" t="n"/>
      <c r="E2044" s="47" t="n"/>
      <c r="F2044" s="47" t="n"/>
      <c r="G2044" s="47" t="n"/>
      <c r="H2044" s="48" t="n"/>
      <c r="I2044" s="48" t="n"/>
      <c r="J2044" s="48" t="n"/>
      <c r="K2044" s="47" t="n"/>
    </row>
    <row r="2045" hidden="1" s="27">
      <c r="A2045" s="47" t="n"/>
      <c r="B2045" s="47" t="n"/>
      <c r="C2045" s="47" t="n"/>
      <c r="D2045" s="47" t="n"/>
      <c r="E2045" s="47" t="n"/>
      <c r="F2045" s="47" t="n"/>
      <c r="G2045" s="47" t="n"/>
      <c r="H2045" s="48" t="n"/>
      <c r="I2045" s="48" t="n"/>
      <c r="J2045" s="48" t="n"/>
      <c r="K2045" s="47" t="n"/>
    </row>
    <row r="2046" hidden="1" s="27">
      <c r="A2046" s="47" t="n"/>
      <c r="B2046" s="47" t="n"/>
      <c r="C2046" s="47" t="n"/>
      <c r="D2046" s="47" t="n"/>
      <c r="E2046" s="47" t="n"/>
      <c r="F2046" s="47" t="n"/>
      <c r="G2046" s="47" t="n"/>
      <c r="H2046" s="48" t="n"/>
      <c r="I2046" s="48" t="n"/>
      <c r="J2046" s="48" t="n"/>
      <c r="K2046" s="47" t="n"/>
    </row>
    <row r="2047" hidden="1" s="27">
      <c r="A2047" s="47" t="n"/>
      <c r="B2047" s="47" t="n"/>
      <c r="C2047" s="47" t="n"/>
      <c r="D2047" s="47" t="n"/>
      <c r="E2047" s="47" t="n"/>
      <c r="F2047" s="47" t="n"/>
      <c r="G2047" s="47" t="n"/>
      <c r="H2047" s="48" t="n"/>
      <c r="I2047" s="48" t="n"/>
      <c r="J2047" s="48" t="n"/>
      <c r="K2047" s="47" t="n"/>
    </row>
    <row r="2048" hidden="1" s="27">
      <c r="A2048" s="47" t="n"/>
      <c r="B2048" s="47" t="n"/>
      <c r="C2048" s="47" t="n"/>
      <c r="D2048" s="47" t="n"/>
      <c r="E2048" s="47" t="n"/>
      <c r="F2048" s="47" t="n"/>
      <c r="G2048" s="47" t="n"/>
      <c r="H2048" s="48" t="n"/>
      <c r="I2048" s="48" t="n"/>
      <c r="J2048" s="48" t="n"/>
      <c r="K2048" s="47" t="n"/>
    </row>
    <row r="2049" hidden="1" s="27">
      <c r="A2049" s="47" t="n"/>
      <c r="B2049" s="47" t="n"/>
      <c r="C2049" s="47" t="n"/>
      <c r="D2049" s="47" t="n"/>
      <c r="E2049" s="47" t="n"/>
      <c r="F2049" s="47" t="n"/>
      <c r="G2049" s="47" t="n"/>
      <c r="H2049" s="48" t="n"/>
      <c r="I2049" s="48" t="n"/>
      <c r="J2049" s="48" t="n"/>
      <c r="K2049" s="47" t="n"/>
    </row>
    <row r="2050" hidden="1" s="27">
      <c r="A2050" s="47" t="n"/>
      <c r="B2050" s="47" t="n"/>
      <c r="C2050" s="47" t="n"/>
      <c r="D2050" s="47" t="n"/>
      <c r="E2050" s="47" t="n"/>
      <c r="F2050" s="47" t="n"/>
      <c r="G2050" s="47" t="n"/>
      <c r="H2050" s="48" t="n"/>
      <c r="I2050" s="48" t="n"/>
      <c r="J2050" s="48" t="n"/>
      <c r="K2050" s="47" t="n"/>
    </row>
    <row r="2051" hidden="1" s="27">
      <c r="A2051" s="47" t="n"/>
      <c r="B2051" s="47" t="n"/>
      <c r="C2051" s="47" t="n"/>
      <c r="D2051" s="47" t="n"/>
      <c r="E2051" s="47" t="n"/>
      <c r="F2051" s="47" t="n"/>
      <c r="G2051" s="47" t="n"/>
      <c r="H2051" s="48" t="n"/>
      <c r="I2051" s="48" t="n"/>
      <c r="J2051" s="48" t="n"/>
      <c r="K2051" s="47" t="n"/>
    </row>
    <row r="2052" hidden="1" s="27">
      <c r="A2052" s="47" t="n"/>
      <c r="B2052" s="47" t="n"/>
      <c r="C2052" s="47" t="n"/>
      <c r="D2052" s="47" t="n"/>
      <c r="E2052" s="47" t="n"/>
      <c r="F2052" s="47" t="n"/>
      <c r="G2052" s="47" t="n"/>
      <c r="H2052" s="48" t="n"/>
      <c r="I2052" s="48" t="n"/>
      <c r="J2052" s="48" t="n"/>
      <c r="K2052" s="47" t="n"/>
    </row>
    <row r="2053" hidden="1" s="27">
      <c r="A2053" s="47" t="n"/>
      <c r="B2053" s="47" t="n"/>
      <c r="C2053" s="47" t="n"/>
      <c r="D2053" s="47" t="n"/>
      <c r="E2053" s="47" t="n"/>
      <c r="F2053" s="47" t="n"/>
      <c r="G2053" s="47" t="n"/>
      <c r="H2053" s="48" t="n"/>
      <c r="I2053" s="48" t="n"/>
      <c r="J2053" s="48" t="n"/>
      <c r="K2053" s="47" t="n"/>
    </row>
    <row r="2054" hidden="1" s="27">
      <c r="A2054" s="47" t="n"/>
      <c r="B2054" s="47" t="n"/>
      <c r="C2054" s="47" t="n"/>
      <c r="D2054" s="47" t="n"/>
      <c r="E2054" s="47" t="n"/>
      <c r="F2054" s="47" t="n"/>
      <c r="G2054" s="47" t="n"/>
      <c r="H2054" s="48" t="n"/>
      <c r="I2054" s="48" t="n"/>
      <c r="J2054" s="48" t="n"/>
      <c r="K2054" s="47" t="n"/>
    </row>
    <row r="2055" hidden="1" s="27">
      <c r="A2055" s="47" t="n"/>
      <c r="B2055" s="47" t="n"/>
      <c r="C2055" s="47" t="n"/>
      <c r="D2055" s="47" t="n"/>
      <c r="E2055" s="47" t="n"/>
      <c r="F2055" s="47" t="n"/>
      <c r="G2055" s="47" t="n"/>
      <c r="H2055" s="48" t="n"/>
      <c r="I2055" s="48" t="n"/>
      <c r="J2055" s="48" t="n"/>
      <c r="K2055" s="47" t="n"/>
    </row>
    <row r="2056" hidden="1" s="27">
      <c r="A2056" s="47" t="n"/>
      <c r="B2056" s="47" t="n"/>
      <c r="C2056" s="47" t="n"/>
      <c r="D2056" s="47" t="n"/>
      <c r="E2056" s="47" t="n"/>
      <c r="F2056" s="47" t="n"/>
      <c r="G2056" s="47" t="n"/>
      <c r="H2056" s="48" t="n"/>
      <c r="I2056" s="48" t="n"/>
      <c r="J2056" s="48" t="n"/>
      <c r="K2056" s="47" t="n"/>
    </row>
    <row r="2057" hidden="1" s="27">
      <c r="A2057" s="47" t="n"/>
      <c r="B2057" s="47" t="n"/>
      <c r="C2057" s="47" t="n"/>
      <c r="D2057" s="47" t="n"/>
      <c r="E2057" s="47" t="n"/>
      <c r="F2057" s="47" t="n"/>
      <c r="G2057" s="47" t="n"/>
      <c r="H2057" s="48" t="n"/>
      <c r="I2057" s="48" t="n"/>
      <c r="J2057" s="48" t="n"/>
      <c r="K2057" s="47" t="n"/>
    </row>
    <row r="2058" hidden="1" s="27">
      <c r="A2058" s="47" t="n"/>
      <c r="B2058" s="47" t="n"/>
      <c r="C2058" s="47" t="n"/>
      <c r="D2058" s="47" t="n"/>
      <c r="E2058" s="47" t="n"/>
      <c r="F2058" s="47" t="n"/>
      <c r="G2058" s="47" t="n"/>
      <c r="H2058" s="48" t="n"/>
      <c r="I2058" s="48" t="n"/>
      <c r="J2058" s="48" t="n"/>
      <c r="K2058" s="47" t="n"/>
    </row>
    <row r="2059" hidden="1" s="27">
      <c r="A2059" s="47" t="n"/>
      <c r="B2059" s="47" t="n"/>
      <c r="C2059" s="47" t="n"/>
      <c r="D2059" s="47" t="n"/>
      <c r="E2059" s="47" t="n"/>
      <c r="F2059" s="47" t="n"/>
      <c r="G2059" s="47" t="n"/>
      <c r="H2059" s="48" t="n"/>
      <c r="I2059" s="48" t="n"/>
      <c r="J2059" s="48" t="n"/>
      <c r="K2059" s="47" t="n"/>
    </row>
    <row r="2060" hidden="1" s="27">
      <c r="A2060" s="47" t="n"/>
      <c r="B2060" s="47" t="n"/>
      <c r="C2060" s="47" t="n"/>
      <c r="D2060" s="47" t="n"/>
      <c r="E2060" s="47" t="n"/>
      <c r="F2060" s="47" t="n"/>
      <c r="G2060" s="47" t="n"/>
      <c r="H2060" s="48" t="n"/>
      <c r="I2060" s="48" t="n"/>
      <c r="J2060" s="48" t="n"/>
      <c r="K2060" s="47" t="n"/>
    </row>
    <row r="2061" hidden="1" s="27">
      <c r="A2061" s="47" t="n"/>
      <c r="B2061" s="47" t="n"/>
      <c r="C2061" s="47" t="n"/>
      <c r="D2061" s="47" t="n"/>
      <c r="E2061" s="47" t="n"/>
      <c r="F2061" s="47" t="n"/>
      <c r="G2061" s="47" t="n"/>
      <c r="H2061" s="48" t="n"/>
      <c r="I2061" s="48" t="n"/>
      <c r="J2061" s="48" t="n"/>
      <c r="K2061" s="47" t="n"/>
    </row>
  </sheetData>
  <autoFilter ref="A1:K1987">
    <filterColumn colId="4" hiddenButton="0" showButton="1">
      <filters>
        <filter val="월 15GB + 1Mbps"/>
      </filters>
    </filterColumn>
    <filterColumn colId="5" hiddenButton="0" showButton="1">
      <filters>
        <filter val="LG U+"/>
      </filters>
    </filterColumn>
  </autoFilter>
  <pageMargins left="0.75" right="0.75" top="1" bottom="1" header="0.5" footer="0.5"/>
  <pageSetup orientation="portrait" paperSize="9" verticalDpi="0"/>
  <headerFooter>
    <oddHeader>&amp;L&amp;"Aptos"&amp;1 &amp;KFF0000 LGUplus-InternalUseOnly(사내한)/2026-09-17T08:35:21/kjch444@lguplus.co.kr#_x000d_</oddHeader>
    <oddFooter>&amp;R&amp;"Aptos"&amp;11 &amp;KFF0000_x000d_# LGUplus-InternalUseOnly(사내한)/2026-09-17T08:35:21/kjch444@lguplus.co.kr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K2061"/>
  <sheetViews>
    <sheetView showGridLines="0" workbookViewId="0">
      <pane ySplit="1" topLeftCell="A1935" activePane="bottomLeft" state="frozen"/>
      <selection pane="bottomLeft" activeCell="A1935" sqref="A1935"/>
    </sheetView>
  </sheetViews>
  <sheetFormatPr baseColWidth="8" defaultRowHeight="16.5"/>
  <cols>
    <col width="18" customWidth="1" style="27" min="1" max="1"/>
    <col width="42" customWidth="1" style="27" min="2" max="2"/>
    <col width="14" customWidth="1" style="27" min="3" max="4"/>
    <col width="30" customWidth="1" style="27" min="5" max="5"/>
    <col width="12" customWidth="1" style="27" min="6" max="6"/>
    <col width="13" customWidth="1" style="27" min="7" max="7"/>
    <col width="14" customWidth="1" style="27" min="8" max="8"/>
    <col width="12" customWidth="1" style="27" min="9" max="9"/>
    <col width="16" customWidth="1" style="27" min="10" max="10"/>
    <col width="12" customWidth="1" style="27" min="11" max="11"/>
  </cols>
  <sheetData>
    <row r="1">
      <c r="A1" s="1" t="inlineStr">
        <is>
          <t>사업자</t>
        </is>
      </c>
      <c r="B1" s="1" t="inlineStr">
        <is>
          <t>요금제</t>
        </is>
      </c>
      <c r="C1" s="1" t="inlineStr">
        <is>
          <t>통화제공량</t>
        </is>
      </c>
      <c r="D1" s="1" t="inlineStr">
        <is>
          <t>문자제공량</t>
        </is>
      </c>
      <c r="E1" s="1" t="inlineStr">
        <is>
          <t>데이터 제공량</t>
        </is>
      </c>
      <c r="F1" s="1" t="inlineStr">
        <is>
          <t>망정보</t>
        </is>
      </c>
      <c r="G1" s="1" t="inlineStr">
        <is>
          <t>LTE/5G 구분</t>
        </is>
      </c>
      <c r="H1" s="1" t="inlineStr">
        <is>
          <t>월 요금</t>
        </is>
      </c>
      <c r="I1" s="1" t="inlineStr">
        <is>
          <t>할인 기간</t>
        </is>
      </c>
      <c r="J1" s="1" t="inlineStr">
        <is>
          <t>기간 이후 요금</t>
        </is>
      </c>
      <c r="K1" s="1" t="inlineStr">
        <is>
          <t>요금구분</t>
        </is>
      </c>
    </row>
    <row r="2" hidden="1" s="27">
      <c r="A2" s="47" t="inlineStr">
        <is>
          <t>U+유모바일</t>
        </is>
      </c>
      <c r="B2" s="47" t="inlineStr">
        <is>
          <t>[평생할인] 5G 15GB+/300분</t>
        </is>
      </c>
      <c r="C2" s="47" t="inlineStr">
        <is>
          <t>300분</t>
        </is>
      </c>
      <c r="D2" s="47" t="inlineStr">
        <is>
          <t>300건</t>
        </is>
      </c>
      <c r="E2" s="47" t="inlineStr">
        <is>
          <t>월 15GB + 1Mbps</t>
        </is>
      </c>
      <c r="F2" s="47" t="inlineStr">
        <is>
          <t>LG U+</t>
        </is>
      </c>
      <c r="G2" s="47" t="inlineStr">
        <is>
          <t>5G</t>
        </is>
      </c>
      <c r="H2" s="48" t="n">
        <v>16900</v>
      </c>
      <c r="I2" s="48" t="n"/>
      <c r="J2" s="48" t="n"/>
      <c r="K2" s="47">
        <f t="array" ref="K2">_xlfn.XLOOKUP(1,(참조!$B$2:$B$15=E2)*(참조!$D$2:$D$15=C2)*(참조!$E$2:$E$15=D2),참조!$C$2:$C$15,"")</f>
        <v/>
      </c>
    </row>
    <row r="3" hidden="1" s="27">
      <c r="A3" s="47" t="inlineStr">
        <is>
          <t>이지모바일</t>
        </is>
      </c>
      <c r="B3" s="47" t="inlineStr">
        <is>
          <t>EG 무제한 100GB+5M(밀리의 서재)</t>
        </is>
      </c>
      <c r="C3" s="47" t="inlineStr">
        <is>
          <t>무제한</t>
        </is>
      </c>
      <c r="D3" s="47" t="inlineStr">
        <is>
          <t>무제한</t>
        </is>
      </c>
      <c r="E3" s="47" t="inlineStr">
        <is>
          <t>월 100GB + 5Mbps</t>
        </is>
      </c>
      <c r="F3" s="47" t="inlineStr">
        <is>
          <t>KT</t>
        </is>
      </c>
      <c r="G3" s="47" t="inlineStr">
        <is>
          <t>LTE</t>
        </is>
      </c>
      <c r="H3" s="48" t="n">
        <v>6900</v>
      </c>
      <c r="I3" s="48" t="n">
        <v>6</v>
      </c>
      <c r="J3" s="48" t="n">
        <v>44000</v>
      </c>
      <c r="K3" s="47">
        <f t="array" ref="K3">_xlfn.XLOOKUP(1,(참조!$B$2:$B$15=E3)*(참조!$D$2:$D$15=C3)*(참조!$E$2:$E$15=D3),참조!$C$2:$C$15,"")</f>
        <v/>
      </c>
    </row>
    <row r="4" hidden="1" s="27">
      <c r="A4" s="47" t="inlineStr">
        <is>
          <t>인스모바일</t>
        </is>
      </c>
      <c r="B4" s="47" t="inlineStr">
        <is>
          <t>인스 유심 스피드(5G) 125GB+</t>
        </is>
      </c>
      <c r="C4" s="47" t="inlineStr">
        <is>
          <t>무제한</t>
        </is>
      </c>
      <c r="D4" s="47" t="inlineStr">
        <is>
          <t>무제한</t>
        </is>
      </c>
      <c r="E4" s="47" t="inlineStr">
        <is>
          <t>월 125GB + 5Mbps</t>
        </is>
      </c>
      <c r="F4" s="47" t="inlineStr">
        <is>
          <t>LG U+</t>
        </is>
      </c>
      <c r="G4" s="47" t="inlineStr">
        <is>
          <t>5G</t>
        </is>
      </c>
      <c r="H4" s="48" t="n">
        <v>4400</v>
      </c>
      <c r="I4" s="48" t="n">
        <v>7</v>
      </c>
      <c r="J4" s="48" t="n">
        <v>57090</v>
      </c>
      <c r="K4" s="47">
        <f t="array" ref="K4">_xlfn.XLOOKUP(1,(참조!$B$2:$B$15=E4)*(참조!$D$2:$D$15=C4)*(참조!$E$2:$E$15=D4),참조!$C$2:$C$15,"")</f>
        <v/>
      </c>
    </row>
    <row r="5" hidden="1" s="27">
      <c r="A5" s="47" t="inlineStr">
        <is>
          <t>마블링</t>
        </is>
      </c>
      <c r="B5" s="47" t="inlineStr">
        <is>
          <t>[모요only] 마블링 프라임 11GB+매일2GB+3Mbps</t>
        </is>
      </c>
      <c r="C5" s="47" t="inlineStr">
        <is>
          <t>무제한</t>
        </is>
      </c>
      <c r="D5" s="47" t="inlineStr">
        <is>
          <t>무제한</t>
        </is>
      </c>
      <c r="E5" s="47" t="inlineStr">
        <is>
          <t>월 11GB + 매일 2GB + 3Mbps</t>
        </is>
      </c>
      <c r="F5" s="47" t="inlineStr">
        <is>
          <t>LG U+</t>
        </is>
      </c>
      <c r="G5" s="47" t="inlineStr">
        <is>
          <t>LTE</t>
        </is>
      </c>
      <c r="H5" s="48" t="n">
        <v>4500</v>
      </c>
      <c r="I5" s="48" t="n">
        <v>7</v>
      </c>
      <c r="J5" s="48" t="n">
        <v>38900</v>
      </c>
      <c r="K5" s="47">
        <f t="array" ref="K5">_xlfn.XLOOKUP(1,(참조!$B$2:$B$15=E5)*(참조!$D$2:$D$15=C5)*(참조!$E$2:$E$15=D5),참조!$C$2:$C$15,"")</f>
        <v/>
      </c>
    </row>
    <row r="6" hidden="1" s="27">
      <c r="A6" s="47" t="inlineStr">
        <is>
          <t>쉐이크모바일</t>
        </is>
      </c>
      <c r="B6" s="47" t="inlineStr">
        <is>
          <t>[모요only] 쉐이크 5G 110GB+_네이버페이 매 월 5,000원</t>
        </is>
      </c>
      <c r="C6" s="47" t="inlineStr">
        <is>
          <t>무제한</t>
        </is>
      </c>
      <c r="D6" s="47" t="inlineStr">
        <is>
          <t>무제한</t>
        </is>
      </c>
      <c r="E6" s="47" t="inlineStr">
        <is>
          <t>월 110GB + 5Mbps</t>
        </is>
      </c>
      <c r="F6" s="47" t="inlineStr">
        <is>
          <t>KT</t>
        </is>
      </c>
      <c r="G6" s="47" t="inlineStr">
        <is>
          <t>5G</t>
        </is>
      </c>
      <c r="H6" s="48" t="n">
        <v>9900</v>
      </c>
      <c r="I6" s="48" t="n">
        <v>7</v>
      </c>
      <c r="J6" s="48" t="n">
        <v>55000</v>
      </c>
      <c r="K6" s="47">
        <f t="array" ref="K6">_xlfn.XLOOKUP(1,(참조!$B$2:$B$15=E6)*(참조!$D$2:$D$15=C6)*(참조!$E$2:$E$15=D6),참조!$C$2:$C$15,"")</f>
        <v/>
      </c>
    </row>
    <row r="7" hidden="1" s="27">
      <c r="A7" s="47" t="inlineStr">
        <is>
          <t>인스모바일</t>
        </is>
      </c>
      <c r="B7" s="47" t="inlineStr">
        <is>
          <t>인스 유심 스트롱 11GB+</t>
        </is>
      </c>
      <c r="C7" s="47" t="inlineStr">
        <is>
          <t>무제한</t>
        </is>
      </c>
      <c r="D7" s="47" t="inlineStr">
        <is>
          <t>무제한</t>
        </is>
      </c>
      <c r="E7" s="47" t="inlineStr">
        <is>
          <t>월 11GB + 매일 2GB + 3Mbps</t>
        </is>
      </c>
      <c r="F7" s="47" t="inlineStr">
        <is>
          <t>LG U+</t>
        </is>
      </c>
      <c r="G7" s="47" t="inlineStr">
        <is>
          <t>LTE</t>
        </is>
      </c>
      <c r="H7" s="48" t="n">
        <v>4490</v>
      </c>
      <c r="I7" s="48" t="n">
        <v>7</v>
      </c>
      <c r="J7" s="48" t="n">
        <v>39000</v>
      </c>
      <c r="K7" s="47">
        <f t="array" ref="K7">_xlfn.XLOOKUP(1,(참조!$B$2:$B$15=E7)*(참조!$D$2:$D$15=C7)*(참조!$E$2:$E$15=D7),참조!$C$2:$C$15,"")</f>
        <v/>
      </c>
    </row>
    <row r="8" hidden="1" s="27">
      <c r="A8" s="47" t="inlineStr">
        <is>
          <t>더원모바일</t>
        </is>
      </c>
      <c r="B8" s="47" t="inlineStr">
        <is>
          <t>TOP 100GB 기본 (네이버페이)</t>
        </is>
      </c>
      <c r="C8" s="47" t="inlineStr">
        <is>
          <t>무제한</t>
        </is>
      </c>
      <c r="D8" s="47" t="inlineStr">
        <is>
          <t>무제한</t>
        </is>
      </c>
      <c r="E8" s="47" t="inlineStr">
        <is>
          <t>월 100GB + 5Mbps</t>
        </is>
      </c>
      <c r="F8" s="47" t="inlineStr">
        <is>
          <t>KT</t>
        </is>
      </c>
      <c r="G8" s="47" t="inlineStr">
        <is>
          <t>LTE</t>
        </is>
      </c>
      <c r="H8" s="48" t="n">
        <v>22990</v>
      </c>
      <c r="I8" s="48" t="n">
        <v>12</v>
      </c>
      <c r="J8" s="48" t="n">
        <v>46200</v>
      </c>
      <c r="K8" s="47">
        <f t="array" ref="K8">_xlfn.XLOOKUP(1,(참조!$B$2:$B$15=E8)*(참조!$D$2:$D$15=C8)*(참조!$E$2:$E$15=D8),참조!$C$2:$C$15,"")</f>
        <v/>
      </c>
    </row>
    <row r="9" hidden="1" s="27">
      <c r="A9" s="47" t="inlineStr">
        <is>
          <t>쉐이크모바일</t>
        </is>
      </c>
      <c r="B9" s="47" t="inlineStr">
        <is>
          <t>[모요only] 쉐이크 5G 110GB+_밀리의서재</t>
        </is>
      </c>
      <c r="C9" s="47" t="inlineStr">
        <is>
          <t>무제한</t>
        </is>
      </c>
      <c r="D9" s="47" t="inlineStr">
        <is>
          <t>무제한</t>
        </is>
      </c>
      <c r="E9" s="47" t="inlineStr">
        <is>
          <t>월 110GB + 5Mbps</t>
        </is>
      </c>
      <c r="F9" s="47" t="inlineStr">
        <is>
          <t>KT</t>
        </is>
      </c>
      <c r="G9" s="47" t="inlineStr">
        <is>
          <t>5G</t>
        </is>
      </c>
      <c r="H9" s="48" t="n">
        <v>4900</v>
      </c>
      <c r="I9" s="48" t="n">
        <v>6</v>
      </c>
      <c r="J9" s="48" t="n">
        <v>48400</v>
      </c>
      <c r="K9" s="47">
        <f t="array" ref="K9">_xlfn.XLOOKUP(1,(참조!$B$2:$B$15=E9)*(참조!$D$2:$D$15=C9)*(참조!$E$2:$E$15=D9),참조!$C$2:$C$15,"")</f>
        <v/>
      </c>
    </row>
    <row r="10" hidden="1" s="27">
      <c r="A10" s="47" t="inlineStr">
        <is>
          <t>쉐이크모바일</t>
        </is>
      </c>
      <c r="B10" s="47" t="inlineStr">
        <is>
          <t>[모요only] 쉐이크only LTE 100GB+밀리의서재</t>
        </is>
      </c>
      <c r="C10" s="47" t="inlineStr">
        <is>
          <t>무제한</t>
        </is>
      </c>
      <c r="D10" s="47" t="inlineStr">
        <is>
          <t>무제한</t>
        </is>
      </c>
      <c r="E10" s="47" t="inlineStr">
        <is>
          <t>월 100GB + 5Mbps</t>
        </is>
      </c>
      <c r="F10" s="47" t="inlineStr">
        <is>
          <t>KT</t>
        </is>
      </c>
      <c r="G10" s="47" t="inlineStr">
        <is>
          <t>LTE</t>
        </is>
      </c>
      <c r="H10" s="48" t="n">
        <v>7900</v>
      </c>
      <c r="I10" s="48" t="n">
        <v>7</v>
      </c>
      <c r="J10" s="48" t="n">
        <v>45100</v>
      </c>
      <c r="K10" s="47">
        <f t="array" ref="K10">_xlfn.XLOOKUP(1,(참조!$B$2:$B$15=E10)*(참조!$D$2:$D$15=C10)*(참조!$E$2:$E$15=D10),참조!$C$2:$C$15,"")</f>
        <v/>
      </c>
    </row>
    <row r="11" hidden="1" s="27">
      <c r="A11" s="47" t="inlineStr">
        <is>
          <t>모나</t>
        </is>
      </c>
      <c r="B11" s="47" t="inlineStr">
        <is>
          <t>모나210분4.5G</t>
        </is>
      </c>
      <c r="C11" s="47" t="inlineStr">
        <is>
          <t>210분</t>
        </is>
      </c>
      <c r="D11" s="47" t="inlineStr">
        <is>
          <t>100건</t>
        </is>
      </c>
      <c r="E11" s="47" t="inlineStr">
        <is>
          <t>월 4.5GB</t>
        </is>
      </c>
      <c r="F11" s="47" t="inlineStr">
        <is>
          <t>LG U+</t>
        </is>
      </c>
      <c r="G11" s="47" t="inlineStr">
        <is>
          <t>LTE</t>
        </is>
      </c>
      <c r="H11" s="48" t="n">
        <v>10</v>
      </c>
      <c r="I11" s="48" t="n">
        <v>18</v>
      </c>
      <c r="J11" s="48" t="n">
        <v>20900</v>
      </c>
      <c r="K11" s="47">
        <f t="array" ref="K11">_xlfn.XLOOKUP(1,(참조!$B$2:$B$15=E11)*(참조!$D$2:$D$15=C11)*(참조!$E$2:$E$15=D11),참조!$C$2:$C$15,"")</f>
        <v/>
      </c>
    </row>
    <row r="12" hidden="1" s="27">
      <c r="A12" s="47" t="inlineStr">
        <is>
          <t>KG모바일</t>
        </is>
      </c>
      <c r="B12" s="47" t="inlineStr">
        <is>
          <t>[일반] 데이터 마음대로 (4.5GB+/100분)_12개월</t>
        </is>
      </c>
      <c r="C12" s="47" t="inlineStr">
        <is>
          <t>100분</t>
        </is>
      </c>
      <c r="D12" s="47" t="inlineStr">
        <is>
          <t>100건</t>
        </is>
      </c>
      <c r="E12" s="47" t="inlineStr">
        <is>
          <t>월 4.5GB + 1Mbps</t>
        </is>
      </c>
      <c r="F12" s="47" t="inlineStr">
        <is>
          <t>LG U+</t>
        </is>
      </c>
      <c r="G12" s="47" t="inlineStr">
        <is>
          <t>LTE</t>
        </is>
      </c>
      <c r="H12" s="48" t="n">
        <v>100</v>
      </c>
      <c r="I12" s="48" t="n">
        <v>12</v>
      </c>
      <c r="J12" s="48" t="n">
        <v>16800</v>
      </c>
      <c r="K12" s="47">
        <f t="array" ref="K12">_xlfn.XLOOKUP(1,(참조!$B$2:$B$15=E12)*(참조!$D$2:$D$15=C12)*(참조!$E$2:$E$15=D12),참조!$C$2:$C$15,"")</f>
        <v/>
      </c>
    </row>
    <row r="13" hidden="1" s="27">
      <c r="A13" s="47" t="inlineStr">
        <is>
          <t>찬스모바일</t>
        </is>
      </c>
      <c r="B13" s="47" t="inlineStr">
        <is>
          <t>음성기본 5GB+</t>
        </is>
      </c>
      <c r="C13" s="47" t="inlineStr">
        <is>
          <t>무제한</t>
        </is>
      </c>
      <c r="D13" s="47" t="inlineStr">
        <is>
          <t>무제한</t>
        </is>
      </c>
      <c r="E13" s="47" t="inlineStr">
        <is>
          <t>월 5GB + 1Mbps</t>
        </is>
      </c>
      <c r="F13" s="47" t="inlineStr">
        <is>
          <t>LG U+</t>
        </is>
      </c>
      <c r="G13" s="47" t="inlineStr">
        <is>
          <t>LTE</t>
        </is>
      </c>
      <c r="H13" s="48" t="n">
        <v>10</v>
      </c>
      <c r="I13" s="48" t="n">
        <v>6</v>
      </c>
      <c r="J13" s="48" t="n">
        <v>16500</v>
      </c>
      <c r="K13" s="47">
        <f t="array" ref="K13">_xlfn.XLOOKUP(1,(참조!$B$2:$B$15=E13)*(참조!$D$2:$D$15=C13)*(참조!$E$2:$E$15=D13),참조!$C$2:$C$15,"")</f>
        <v/>
      </c>
    </row>
    <row r="14" hidden="1" s="27">
      <c r="A14" s="47" t="inlineStr">
        <is>
          <t>찬스모바일</t>
        </is>
      </c>
      <c r="B14" s="47" t="inlineStr">
        <is>
          <t>5G 음성기본 125GB+5Mbps</t>
        </is>
      </c>
      <c r="C14" s="47" t="inlineStr">
        <is>
          <t>무제한</t>
        </is>
      </c>
      <c r="D14" s="47" t="inlineStr">
        <is>
          <t>무제한</t>
        </is>
      </c>
      <c r="E14" s="47" t="inlineStr">
        <is>
          <t>월 125GB + 5Mbps</t>
        </is>
      </c>
      <c r="F14" s="47" t="inlineStr">
        <is>
          <t>LG U+</t>
        </is>
      </c>
      <c r="G14" s="47" t="inlineStr">
        <is>
          <t>5G</t>
        </is>
      </c>
      <c r="H14" s="48" t="n">
        <v>7800</v>
      </c>
      <c r="I14" s="48" t="n">
        <v>7</v>
      </c>
      <c r="J14" s="48" t="n">
        <v>50600</v>
      </c>
      <c r="K14" s="47">
        <f t="array" ref="K14">_xlfn.XLOOKUP(1,(참조!$B$2:$B$15=E14)*(참조!$D$2:$D$15=C14)*(참조!$E$2:$E$15=D14),참조!$C$2:$C$15,"")</f>
        <v/>
      </c>
    </row>
    <row r="15" hidden="1" s="27">
      <c r="A15" s="47" t="inlineStr">
        <is>
          <t>티플러스</t>
        </is>
      </c>
      <c r="B15" s="47" t="inlineStr">
        <is>
          <t>KT 100GB+ (밀리의서재+올리브영 매월 5천원 상품권!)</t>
        </is>
      </c>
      <c r="C15" s="47" t="inlineStr">
        <is>
          <t>무제한</t>
        </is>
      </c>
      <c r="D15" s="47" t="inlineStr">
        <is>
          <t>무제한</t>
        </is>
      </c>
      <c r="E15" s="47" t="inlineStr">
        <is>
          <t>월 100GB + 5Mbps</t>
        </is>
      </c>
      <c r="F15" s="47" t="inlineStr">
        <is>
          <t>KT</t>
        </is>
      </c>
      <c r="G15" s="47" t="inlineStr">
        <is>
          <t>LTE</t>
        </is>
      </c>
      <c r="H15" s="48" t="n">
        <v>8900</v>
      </c>
      <c r="I15" s="48" t="n">
        <v>7</v>
      </c>
      <c r="J15" s="48" t="n">
        <v>48400</v>
      </c>
      <c r="K15" s="47">
        <f t="array" ref="K15">_xlfn.XLOOKUP(1,(참조!$B$2:$B$15=E15)*(참조!$D$2:$D$15=C15)*(참조!$E$2:$E$15=D15),참조!$C$2:$C$15,"")</f>
        <v/>
      </c>
    </row>
    <row r="16" hidden="1" s="27">
      <c r="A16" s="47" t="inlineStr">
        <is>
          <t>모나</t>
        </is>
      </c>
      <c r="B16" s="47" t="inlineStr">
        <is>
          <t>모나300분10G안심1</t>
        </is>
      </c>
      <c r="C16" s="47" t="inlineStr">
        <is>
          <t>300분</t>
        </is>
      </c>
      <c r="D16" s="47" t="inlineStr">
        <is>
          <t>200건</t>
        </is>
      </c>
      <c r="E16" s="47" t="inlineStr">
        <is>
          <t>월 10GB + 1Mbps</t>
        </is>
      </c>
      <c r="F16" s="47" t="inlineStr">
        <is>
          <t>LG U+</t>
        </is>
      </c>
      <c r="G16" s="47" t="inlineStr">
        <is>
          <t>LTE</t>
        </is>
      </c>
      <c r="H16" s="48" t="n">
        <v>10</v>
      </c>
      <c r="I16" s="48" t="n">
        <v>6</v>
      </c>
      <c r="J16" s="48" t="n">
        <v>38500</v>
      </c>
      <c r="K16" s="47">
        <f t="array" ref="K16">_xlfn.XLOOKUP(1,(참조!$B$2:$B$15=E16)*(참조!$D$2:$D$15=C16)*(참조!$E$2:$E$15=D16),참조!$C$2:$C$15,"")</f>
        <v/>
      </c>
    </row>
    <row r="17" hidden="1" s="27">
      <c r="A17" s="47" t="inlineStr">
        <is>
          <t>찬스모바일</t>
        </is>
      </c>
      <c r="B17" s="47" t="inlineStr">
        <is>
          <t>[모요only] [CH]100GB+5Mbps</t>
        </is>
      </c>
      <c r="C17" s="47" t="inlineStr">
        <is>
          <t>무제한</t>
        </is>
      </c>
      <c r="D17" s="47" t="inlineStr">
        <is>
          <t>무제한</t>
        </is>
      </c>
      <c r="E17" s="47" t="inlineStr">
        <is>
          <t>월 100GB + 5Mbps</t>
        </is>
      </c>
      <c r="F17" s="47" t="inlineStr">
        <is>
          <t>LG U+</t>
        </is>
      </c>
      <c r="G17" s="47" t="inlineStr">
        <is>
          <t>LTE</t>
        </is>
      </c>
      <c r="H17" s="48" t="n">
        <v>8500</v>
      </c>
      <c r="I17" s="48" t="n">
        <v>7</v>
      </c>
      <c r="J17" s="48" t="n">
        <v>48400</v>
      </c>
      <c r="K17" s="47">
        <f t="array" ref="K17">_xlfn.XLOOKUP(1,(참조!$B$2:$B$15=E17)*(참조!$D$2:$D$15=C17)*(참조!$E$2:$E$15=D17),참조!$C$2:$C$15,"")</f>
        <v/>
      </c>
    </row>
    <row r="18" hidden="1" s="27">
      <c r="A18" s="47" t="inlineStr">
        <is>
          <t>KG모바일</t>
        </is>
      </c>
      <c r="B18" s="47" t="inlineStr">
        <is>
          <t>[모빌카드 스페셜] 유심 5G 125GB+</t>
        </is>
      </c>
      <c r="C18" s="47" t="inlineStr">
        <is>
          <t>무제한</t>
        </is>
      </c>
      <c r="D18" s="47" t="inlineStr">
        <is>
          <t>무제한</t>
        </is>
      </c>
      <c r="E18" s="47" t="inlineStr">
        <is>
          <t>월 125GB + 5Mbps</t>
        </is>
      </c>
      <c r="F18" s="47" t="inlineStr">
        <is>
          <t>LG U+</t>
        </is>
      </c>
      <c r="G18" s="47" t="inlineStr">
        <is>
          <t>5G</t>
        </is>
      </c>
      <c r="H18" s="48" t="n">
        <v>7100</v>
      </c>
      <c r="I18" s="48" t="n">
        <v>7</v>
      </c>
      <c r="J18" s="48" t="n">
        <v>51150</v>
      </c>
      <c r="K18" s="47">
        <f t="array" ref="K18">_xlfn.XLOOKUP(1,(참조!$B$2:$B$15=E18)*(참조!$D$2:$D$15=C18)*(참조!$E$2:$E$15=D18),참조!$C$2:$C$15,"")</f>
        <v/>
      </c>
    </row>
    <row r="19" hidden="1" s="27">
      <c r="A19" s="47" t="inlineStr">
        <is>
          <t>이지모바일</t>
        </is>
      </c>
      <c r="B19" s="47" t="inlineStr">
        <is>
          <t>이지 무제한 5GB+1</t>
        </is>
      </c>
      <c r="C19" s="47" t="inlineStr">
        <is>
          <t>무제한</t>
        </is>
      </c>
      <c r="D19" s="47" t="inlineStr">
        <is>
          <t>무제한</t>
        </is>
      </c>
      <c r="E19" s="47" t="inlineStr">
        <is>
          <t>월 5GB + 1Mbps</t>
        </is>
      </c>
      <c r="F19" s="47" t="inlineStr">
        <is>
          <t>LG U+</t>
        </is>
      </c>
      <c r="G19" s="47" t="inlineStr">
        <is>
          <t>LTE</t>
        </is>
      </c>
      <c r="H19" s="48" t="n">
        <v>10</v>
      </c>
      <c r="I19" s="48" t="n">
        <v>6</v>
      </c>
      <c r="J19" s="48" t="n">
        <v>17600</v>
      </c>
      <c r="K19" s="47">
        <f t="array" ref="K19">_xlfn.XLOOKUP(1,(참조!$B$2:$B$15=E19)*(참조!$D$2:$D$15=C19)*(참조!$E$2:$E$15=D19),참조!$C$2:$C$15,"")</f>
        <v/>
      </c>
    </row>
    <row r="20" hidden="1" s="27">
      <c r="A20" s="47" t="inlineStr">
        <is>
          <t>마블링</t>
        </is>
      </c>
      <c r="B20" s="47" t="inlineStr">
        <is>
          <t>[모요only] 마블링 5G 프라임 125GB+5Mbps</t>
        </is>
      </c>
      <c r="C20" s="47" t="inlineStr">
        <is>
          <t>무제한</t>
        </is>
      </c>
      <c r="D20" s="47" t="inlineStr">
        <is>
          <t>무제한</t>
        </is>
      </c>
      <c r="E20" s="47" t="inlineStr">
        <is>
          <t>월 125GB + 5Mbps</t>
        </is>
      </c>
      <c r="F20" s="47" t="inlineStr">
        <is>
          <t>LG U+</t>
        </is>
      </c>
      <c r="G20" s="47" t="inlineStr">
        <is>
          <t>5G</t>
        </is>
      </c>
      <c r="H20" s="48" t="n">
        <v>7100</v>
      </c>
      <c r="I20" s="48" t="n">
        <v>7</v>
      </c>
      <c r="J20" s="48" t="n">
        <v>44900</v>
      </c>
      <c r="K20" s="47">
        <f t="array" ref="K20">_xlfn.XLOOKUP(1,(참조!$B$2:$B$15=E20)*(참조!$D$2:$D$15=C20)*(참조!$E$2:$E$15=D20),참조!$C$2:$C$15,"")</f>
        <v/>
      </c>
    </row>
    <row r="21" hidden="1" s="27">
      <c r="A21" s="47" t="inlineStr">
        <is>
          <t>티플러스</t>
        </is>
      </c>
      <c r="B21" s="47" t="inlineStr">
        <is>
          <t>5G 가성비플러스(15GB/350분)</t>
        </is>
      </c>
      <c r="C21" s="47" t="inlineStr">
        <is>
          <t>350분</t>
        </is>
      </c>
      <c r="D21" s="47" t="inlineStr">
        <is>
          <t>100건</t>
        </is>
      </c>
      <c r="E21" s="47" t="inlineStr">
        <is>
          <t>월 15GB</t>
        </is>
      </c>
      <c r="F21" s="47" t="inlineStr">
        <is>
          <t>KT</t>
        </is>
      </c>
      <c r="G21" s="47" t="inlineStr">
        <is>
          <t>5G</t>
        </is>
      </c>
      <c r="H21" s="48" t="n">
        <v>10</v>
      </c>
      <c r="I21" s="48" t="n">
        <v>7</v>
      </c>
      <c r="J21" s="48" t="n">
        <v>22000</v>
      </c>
      <c r="K21" s="47">
        <f t="array" ref="K21">_xlfn.XLOOKUP(1,(참조!$B$2:$B$15=E21)*(참조!$D$2:$D$15=C21)*(참조!$E$2:$E$15=D21),참조!$C$2:$C$15,"")</f>
        <v/>
      </c>
    </row>
    <row r="22" hidden="1" s="27">
      <c r="A22" s="47" t="inlineStr">
        <is>
          <t>고고모바일</t>
        </is>
      </c>
      <c r="B22" s="47" t="inlineStr">
        <is>
          <t>[모요only] 5G 200분/15GB</t>
        </is>
      </c>
      <c r="C22" s="47" t="inlineStr">
        <is>
          <t>200분</t>
        </is>
      </c>
      <c r="D22" s="47" t="inlineStr">
        <is>
          <t>100건</t>
        </is>
      </c>
      <c r="E22" s="47" t="inlineStr">
        <is>
          <t>월 15GB</t>
        </is>
      </c>
      <c r="F22" s="47" t="inlineStr">
        <is>
          <t>KT</t>
        </is>
      </c>
      <c r="G22" s="47" t="inlineStr">
        <is>
          <t>5G</t>
        </is>
      </c>
      <c r="H22" s="48" t="n">
        <v>10</v>
      </c>
      <c r="I22" s="48" t="n">
        <v>7</v>
      </c>
      <c r="J22" s="48" t="n">
        <v>26400</v>
      </c>
      <c r="K22" s="47">
        <f t="array" ref="K22">_xlfn.XLOOKUP(1,(참조!$B$2:$B$15=E22)*(참조!$D$2:$D$15=C22)*(참조!$E$2:$E$15=D22),참조!$C$2:$C$15,"")</f>
        <v/>
      </c>
    </row>
    <row r="23" hidden="1" s="27">
      <c r="A23" s="47" t="inlineStr">
        <is>
          <t>쉐이크모바일</t>
        </is>
      </c>
      <c r="B23" s="47" t="inlineStr">
        <is>
          <t>[모요only] 쉐이크딜 LTE 100GB+_네이버페이(5,000)</t>
        </is>
      </c>
      <c r="C23" s="47" t="inlineStr">
        <is>
          <t>무제한</t>
        </is>
      </c>
      <c r="D23" s="47" t="inlineStr">
        <is>
          <t>무제한</t>
        </is>
      </c>
      <c r="E23" s="47" t="inlineStr">
        <is>
          <t>월 100GB + 5Mbps</t>
        </is>
      </c>
      <c r="F23" s="47" t="inlineStr">
        <is>
          <t>KT</t>
        </is>
      </c>
      <c r="G23" s="47" t="inlineStr">
        <is>
          <t>LTE</t>
        </is>
      </c>
      <c r="H23" s="48" t="n">
        <v>9900</v>
      </c>
      <c r="I23" s="48" t="n">
        <v>7</v>
      </c>
      <c r="J23" s="48" t="n">
        <v>49500</v>
      </c>
      <c r="K23" s="47">
        <f t="array" ref="K23">_xlfn.XLOOKUP(1,(참조!$B$2:$B$15=E23)*(참조!$D$2:$D$15=C23)*(참조!$E$2:$E$15=D23),참조!$C$2:$C$15,"")</f>
        <v/>
      </c>
    </row>
    <row r="24" hidden="1" s="27">
      <c r="A24" s="47" t="inlineStr">
        <is>
          <t>티플러스</t>
        </is>
      </c>
      <c r="B24" s="47" t="inlineStr">
        <is>
          <t>5G 가성비플러스(20GB/350분)</t>
        </is>
      </c>
      <c r="C24" s="47" t="inlineStr">
        <is>
          <t>350분</t>
        </is>
      </c>
      <c r="D24" s="47" t="inlineStr">
        <is>
          <t>100건</t>
        </is>
      </c>
      <c r="E24" s="47" t="inlineStr">
        <is>
          <t>월 20GB</t>
        </is>
      </c>
      <c r="F24" s="47" t="inlineStr">
        <is>
          <t>KT</t>
        </is>
      </c>
      <c r="G24" s="47" t="inlineStr">
        <is>
          <t>5G</t>
        </is>
      </c>
      <c r="H24" s="48" t="n">
        <v>900</v>
      </c>
      <c r="I24" s="48" t="n">
        <v>7</v>
      </c>
      <c r="J24" s="48" t="n">
        <v>29700</v>
      </c>
      <c r="K24" s="47">
        <f t="array" ref="K24">_xlfn.XLOOKUP(1,(참조!$B$2:$B$15=E24)*(참조!$D$2:$D$15=C24)*(참조!$E$2:$E$15=D24),참조!$C$2:$C$15,"")</f>
        <v/>
      </c>
    </row>
    <row r="25" hidden="1" s="27">
      <c r="A25" s="47" t="inlineStr">
        <is>
          <t>찬스모바일</t>
        </is>
      </c>
      <c r="B25" s="47" t="inlineStr">
        <is>
          <t>알찬5G 실속8G</t>
        </is>
      </c>
      <c r="C25" s="47" t="inlineStr">
        <is>
          <t>150분</t>
        </is>
      </c>
      <c r="D25" s="47" t="inlineStr">
        <is>
          <t>100건</t>
        </is>
      </c>
      <c r="E25" s="47" t="inlineStr">
        <is>
          <t>월 8GB</t>
        </is>
      </c>
      <c r="F25" s="47" t="inlineStr">
        <is>
          <t>LG U+</t>
        </is>
      </c>
      <c r="G25" s="47" t="inlineStr">
        <is>
          <t>5G</t>
        </is>
      </c>
      <c r="H25" s="48" t="n">
        <v>10</v>
      </c>
      <c r="I25" s="48" t="n">
        <v>6</v>
      </c>
      <c r="J25" s="48" t="n">
        <v>7700</v>
      </c>
      <c r="K25" s="47">
        <f t="array" ref="K25">_xlfn.XLOOKUP(1,(참조!$B$2:$B$15=E25)*(참조!$D$2:$D$15=C25)*(참조!$E$2:$E$15=D25),참조!$C$2:$C$15,"")</f>
        <v/>
      </c>
    </row>
    <row r="26" hidden="1" s="27">
      <c r="A26" s="47" t="inlineStr">
        <is>
          <t>더원모바일</t>
        </is>
      </c>
      <c r="B26" s="47" t="inlineStr">
        <is>
          <t>TOP 11GB 기본 (밀리의서재)</t>
        </is>
      </c>
      <c r="C26" s="47" t="inlineStr">
        <is>
          <t>무제한</t>
        </is>
      </c>
      <c r="D26" s="47" t="inlineStr">
        <is>
          <t>무제한</t>
        </is>
      </c>
      <c r="E26" s="47" t="inlineStr">
        <is>
          <t>월 11GB + 매일 2GB + 3Mbps</t>
        </is>
      </c>
      <c r="F26" s="47" t="inlineStr">
        <is>
          <t>KT</t>
        </is>
      </c>
      <c r="G26" s="47" t="inlineStr">
        <is>
          <t>LTE</t>
        </is>
      </c>
      <c r="H26" s="48" t="n">
        <v>16500</v>
      </c>
      <c r="I26" s="48" t="n">
        <v>12</v>
      </c>
      <c r="J26" s="48" t="n">
        <v>38500</v>
      </c>
      <c r="K26" s="47">
        <f t="array" ref="K26">_xlfn.XLOOKUP(1,(참조!$B$2:$B$15=E26)*(참조!$D$2:$D$15=C26)*(참조!$E$2:$E$15=D26),참조!$C$2:$C$15,"")</f>
        <v/>
      </c>
    </row>
    <row r="27" hidden="1" s="27">
      <c r="A27" s="47" t="inlineStr">
        <is>
          <t>KT스카이라이프</t>
        </is>
      </c>
      <c r="B27" s="47" t="inlineStr">
        <is>
          <t>슬림 1GB/100분</t>
        </is>
      </c>
      <c r="C27" s="47" t="inlineStr">
        <is>
          <t>100분</t>
        </is>
      </c>
      <c r="D27" s="47" t="inlineStr">
        <is>
          <t>100건</t>
        </is>
      </c>
      <c r="E27" s="47" t="inlineStr">
        <is>
          <t>월 1GB</t>
        </is>
      </c>
      <c r="F27" s="47" t="inlineStr">
        <is>
          <t>KT</t>
        </is>
      </c>
      <c r="G27" s="47" t="inlineStr">
        <is>
          <t>LTE</t>
        </is>
      </c>
      <c r="H27" s="48" t="n">
        <v>2900</v>
      </c>
      <c r="I27" s="48" t="n"/>
      <c r="J27" s="48" t="n"/>
      <c r="K27" s="47">
        <f t="array" ref="K27">_xlfn.XLOOKUP(1,(참조!$B$2:$B$15=E27)*(참조!$D$2:$D$15=C27)*(참조!$E$2:$E$15=D27),참조!$C$2:$C$15,"")</f>
        <v/>
      </c>
    </row>
    <row r="28" hidden="1" s="27">
      <c r="A28" s="47" t="inlineStr">
        <is>
          <t>모나</t>
        </is>
      </c>
      <c r="B28" s="47" t="inlineStr">
        <is>
          <t>5G_모나300분15G</t>
        </is>
      </c>
      <c r="C28" s="47" t="inlineStr">
        <is>
          <t>300분</t>
        </is>
      </c>
      <c r="D28" s="47" t="inlineStr">
        <is>
          <t>300건</t>
        </is>
      </c>
      <c r="E28" s="47" t="inlineStr">
        <is>
          <t>월 15GB</t>
        </is>
      </c>
      <c r="F28" s="47" t="inlineStr">
        <is>
          <t>LG U+</t>
        </is>
      </c>
      <c r="G28" s="47" t="inlineStr">
        <is>
          <t>5G</t>
        </is>
      </c>
      <c r="H28" s="48" t="n">
        <v>10</v>
      </c>
      <c r="I28" s="48" t="n">
        <v>6</v>
      </c>
      <c r="J28" s="48" t="n">
        <v>36300</v>
      </c>
      <c r="K28" s="47">
        <f t="array" ref="K28">_xlfn.XLOOKUP(1,(참조!$B$2:$B$15=E28)*(참조!$D$2:$D$15=C28)*(참조!$E$2:$E$15=D28),참조!$C$2:$C$15,"")</f>
        <v/>
      </c>
    </row>
    <row r="29" hidden="1" s="27">
      <c r="A29" s="47" t="inlineStr">
        <is>
          <t>고고모바일</t>
        </is>
      </c>
      <c r="B29" s="47" t="inlineStr">
        <is>
          <t>[모요only] 5G 200분/20GB</t>
        </is>
      </c>
      <c r="C29" s="47" t="inlineStr">
        <is>
          <t>200분</t>
        </is>
      </c>
      <c r="D29" s="47" t="inlineStr">
        <is>
          <t>100건</t>
        </is>
      </c>
      <c r="E29" s="47" t="inlineStr">
        <is>
          <t>월 20GB</t>
        </is>
      </c>
      <c r="F29" s="47" t="inlineStr">
        <is>
          <t>KT</t>
        </is>
      </c>
      <c r="G29" s="47" t="inlineStr">
        <is>
          <t>5G</t>
        </is>
      </c>
      <c r="H29" s="48" t="n">
        <v>100</v>
      </c>
      <c r="I29" s="48" t="n">
        <v>7</v>
      </c>
      <c r="J29" s="48" t="n">
        <v>29700</v>
      </c>
      <c r="K29" s="47">
        <f t="array" ref="K29">_xlfn.XLOOKUP(1,(참조!$B$2:$B$15=E29)*(참조!$D$2:$D$15=C29)*(참조!$E$2:$E$15=D29),참조!$C$2:$C$15,"")</f>
        <v/>
      </c>
    </row>
    <row r="30" hidden="1" s="27">
      <c r="A30" s="47" t="inlineStr">
        <is>
          <t>LG헬로모바일</t>
        </is>
      </c>
      <c r="B30" s="47" t="inlineStr">
        <is>
          <t>슬림 유심 500MB 50분</t>
        </is>
      </c>
      <c r="C30" s="47" t="inlineStr">
        <is>
          <t>50분</t>
        </is>
      </c>
      <c r="D30" s="47" t="inlineStr">
        <is>
          <t>50건</t>
        </is>
      </c>
      <c r="E30" s="47" t="inlineStr">
        <is>
          <t>월 500MB</t>
        </is>
      </c>
      <c r="F30" s="47" t="inlineStr">
        <is>
          <t>LG U+</t>
        </is>
      </c>
      <c r="G30" s="47" t="inlineStr">
        <is>
          <t>LTE</t>
        </is>
      </c>
      <c r="H30" s="48" t="n">
        <v>1700</v>
      </c>
      <c r="I30" s="48" t="n"/>
      <c r="J30" s="48" t="n"/>
      <c r="K30" s="47">
        <f t="array" ref="K30">_xlfn.XLOOKUP(1,(참조!$B$2:$B$15=E30)*(참조!$D$2:$D$15=C30)*(참조!$E$2:$E$15=D30),참조!$C$2:$C$15,"")</f>
        <v/>
      </c>
    </row>
    <row r="31" hidden="1" s="27">
      <c r="A31" s="47" t="inlineStr">
        <is>
          <t>KG모바일</t>
        </is>
      </c>
      <c r="B31" s="47" t="inlineStr">
        <is>
          <t>[일반] 통화, 데이터 마음대로 (5GB+)</t>
        </is>
      </c>
      <c r="C31" s="47" t="inlineStr">
        <is>
          <t>무제한</t>
        </is>
      </c>
      <c r="D31" s="47" t="inlineStr">
        <is>
          <t>무제한</t>
        </is>
      </c>
      <c r="E31" s="47" t="inlineStr">
        <is>
          <t>월 5GB + 1Mbps</t>
        </is>
      </c>
      <c r="F31" s="47" t="inlineStr">
        <is>
          <t>LG U+</t>
        </is>
      </c>
      <c r="G31" s="47" t="inlineStr">
        <is>
          <t>LTE</t>
        </is>
      </c>
      <c r="H31" s="48" t="n">
        <v>10</v>
      </c>
      <c r="I31" s="48" t="n">
        <v>6</v>
      </c>
      <c r="J31" s="48" t="n">
        <v>19300</v>
      </c>
      <c r="K31" s="47">
        <f t="array" ref="K31">_xlfn.XLOOKUP(1,(참조!$B$2:$B$15=E31)*(참조!$D$2:$D$15=C31)*(참조!$E$2:$E$15=D31),참조!$C$2:$C$15,"")</f>
        <v/>
      </c>
    </row>
    <row r="32" hidden="1" s="27">
      <c r="A32" s="47" t="inlineStr">
        <is>
          <t>더원모바일</t>
        </is>
      </c>
      <c r="B32" s="47" t="inlineStr">
        <is>
          <t>TOP 11GB 기본 (밀리의서재)</t>
        </is>
      </c>
      <c r="C32" s="47" t="inlineStr">
        <is>
          <t>무제한</t>
        </is>
      </c>
      <c r="D32" s="47" t="inlineStr">
        <is>
          <t>무제한</t>
        </is>
      </c>
      <c r="E32" s="47" t="inlineStr">
        <is>
          <t>월 11GB + 매일 2GB + 3Mbps</t>
        </is>
      </c>
      <c r="F32" s="47" t="inlineStr">
        <is>
          <t>KT</t>
        </is>
      </c>
      <c r="G32" s="47" t="inlineStr">
        <is>
          <t>LTE</t>
        </is>
      </c>
      <c r="H32" s="48" t="n">
        <v>7700</v>
      </c>
      <c r="I32" s="48" t="n">
        <v>7</v>
      </c>
      <c r="J32" s="48" t="n">
        <v>38500</v>
      </c>
      <c r="K32" s="47">
        <f t="array" ref="K32">_xlfn.XLOOKUP(1,(참조!$B$2:$B$15=E32)*(참조!$D$2:$D$15=C32)*(참조!$E$2:$E$15=D32),참조!$C$2:$C$15,"")</f>
        <v/>
      </c>
    </row>
    <row r="33" hidden="1" s="27">
      <c r="A33" s="47" t="inlineStr">
        <is>
          <t>이지모바일</t>
        </is>
      </c>
      <c r="B33" s="47" t="inlineStr">
        <is>
          <t>이지 데이터 7GB</t>
        </is>
      </c>
      <c r="C33" s="47" t="inlineStr">
        <is>
          <t>300분</t>
        </is>
      </c>
      <c r="D33" s="47" t="inlineStr">
        <is>
          <t>100건</t>
        </is>
      </c>
      <c r="E33" s="47" t="inlineStr">
        <is>
          <t>월 7GB</t>
        </is>
      </c>
      <c r="F33" s="47" t="inlineStr">
        <is>
          <t>LG U+</t>
        </is>
      </c>
      <c r="G33" s="47" t="inlineStr">
        <is>
          <t>LTE</t>
        </is>
      </c>
      <c r="H33" s="48" t="n">
        <v>10</v>
      </c>
      <c r="I33" s="48" t="n">
        <v>6</v>
      </c>
      <c r="J33" s="48" t="n">
        <v>17050</v>
      </c>
      <c r="K33" s="47">
        <f t="array" ref="K33">_xlfn.XLOOKUP(1,(참조!$B$2:$B$15=E33)*(참조!$D$2:$D$15=C33)*(참조!$E$2:$E$15=D33),참조!$C$2:$C$15,"")</f>
        <v/>
      </c>
    </row>
    <row r="34" hidden="1" s="27">
      <c r="A34" s="47" t="inlineStr">
        <is>
          <t>이지모바일</t>
        </is>
      </c>
      <c r="B34" s="47" t="inlineStr">
        <is>
          <t>[선착순 특가]EG 7무제한 7G+1(매월10GB+밀리의 서재)</t>
        </is>
      </c>
      <c r="C34" s="47" t="inlineStr">
        <is>
          <t>무제한</t>
        </is>
      </c>
      <c r="D34" s="47" t="inlineStr">
        <is>
          <t>무제한</t>
        </is>
      </c>
      <c r="E34" s="47" t="inlineStr">
        <is>
          <t>월 7GB + 1Mbps</t>
        </is>
      </c>
      <c r="F34" s="47" t="inlineStr">
        <is>
          <t>KT</t>
        </is>
      </c>
      <c r="G34" s="47" t="inlineStr">
        <is>
          <t>LTE</t>
        </is>
      </c>
      <c r="H34" s="48" t="n">
        <v>100</v>
      </c>
      <c r="I34" s="48" t="n">
        <v>7</v>
      </c>
      <c r="J34" s="48" t="n">
        <v>22000</v>
      </c>
      <c r="K34" s="47">
        <f t="array" ref="K34">_xlfn.XLOOKUP(1,(참조!$B$2:$B$15=E34)*(참조!$D$2:$D$15=C34)*(참조!$E$2:$E$15=D34),참조!$C$2:$C$15,"")</f>
        <v/>
      </c>
    </row>
    <row r="35" hidden="1" s="27">
      <c r="A35" s="47" t="inlineStr">
        <is>
          <t>더원모바일</t>
        </is>
      </c>
      <c r="B35" s="47" t="inlineStr">
        <is>
          <t>TOP 100GB 기본 (밀리의서재)</t>
        </is>
      </c>
      <c r="C35" s="47" t="inlineStr">
        <is>
          <t>무제한</t>
        </is>
      </c>
      <c r="D35" s="47" t="inlineStr">
        <is>
          <t>무제한</t>
        </is>
      </c>
      <c r="E35" s="47" t="inlineStr">
        <is>
          <t>월 100GB + 5Mbps</t>
        </is>
      </c>
      <c r="F35" s="47" t="inlineStr">
        <is>
          <t>KT</t>
        </is>
      </c>
      <c r="G35" s="47" t="inlineStr">
        <is>
          <t>LTE</t>
        </is>
      </c>
      <c r="H35" s="48" t="n">
        <v>20900</v>
      </c>
      <c r="I35" s="48" t="n">
        <v>12</v>
      </c>
      <c r="J35" s="48" t="n">
        <v>46200</v>
      </c>
      <c r="K35" s="47">
        <f t="array" ref="K35">_xlfn.XLOOKUP(1,(참조!$B$2:$B$15=E35)*(참조!$D$2:$D$15=C35)*(참조!$E$2:$E$15=D35),참조!$C$2:$C$15,"")</f>
        <v/>
      </c>
    </row>
    <row r="36" hidden="1" s="27">
      <c r="A36" s="47" t="inlineStr">
        <is>
          <t>모나</t>
        </is>
      </c>
      <c r="B36" s="47" t="inlineStr">
        <is>
          <t>모나400분4.5G</t>
        </is>
      </c>
      <c r="C36" s="47" t="inlineStr">
        <is>
          <t>400분</t>
        </is>
      </c>
      <c r="D36" s="47" t="inlineStr">
        <is>
          <t>200건</t>
        </is>
      </c>
      <c r="E36" s="47" t="inlineStr">
        <is>
          <t>월 4.5GB</t>
        </is>
      </c>
      <c r="F36" s="47" t="inlineStr">
        <is>
          <t>LG U+</t>
        </is>
      </c>
      <c r="G36" s="47" t="inlineStr">
        <is>
          <t>LTE</t>
        </is>
      </c>
      <c r="H36" s="48" t="n">
        <v>10</v>
      </c>
      <c r="I36" s="48" t="n">
        <v>12</v>
      </c>
      <c r="J36" s="48" t="n">
        <v>25300</v>
      </c>
      <c r="K36" s="47">
        <f t="array" ref="K36">_xlfn.XLOOKUP(1,(참조!$B$2:$B$15=E36)*(참조!$D$2:$D$15=C36)*(참조!$E$2:$E$15=D36),참조!$C$2:$C$15,"")</f>
        <v/>
      </c>
    </row>
    <row r="37" hidden="1" s="27">
      <c r="A37" s="47" t="inlineStr">
        <is>
          <t>티플러스</t>
        </is>
      </c>
      <c r="B37" s="47" t="inlineStr">
        <is>
          <t>가성비플러스(15GB/350분)</t>
        </is>
      </c>
      <c r="C37" s="47" t="inlineStr">
        <is>
          <t>350분</t>
        </is>
      </c>
      <c r="D37" s="47" t="inlineStr">
        <is>
          <t>100건</t>
        </is>
      </c>
      <c r="E37" s="47" t="inlineStr">
        <is>
          <t>월 15GB</t>
        </is>
      </c>
      <c r="F37" s="47" t="inlineStr">
        <is>
          <t>KT</t>
        </is>
      </c>
      <c r="G37" s="47" t="inlineStr">
        <is>
          <t>LTE</t>
        </is>
      </c>
      <c r="H37" s="48" t="n">
        <v>10</v>
      </c>
      <c r="I37" s="48" t="n">
        <v>7</v>
      </c>
      <c r="J37" s="48" t="n">
        <v>22000</v>
      </c>
      <c r="K37" s="47">
        <f t="array" ref="K37">_xlfn.XLOOKUP(1,(참조!$B$2:$B$15=E37)*(참조!$D$2:$D$15=C37)*(참조!$E$2:$E$15=D37),참조!$C$2:$C$15,"")</f>
        <v/>
      </c>
    </row>
    <row r="38" hidden="1" s="27">
      <c r="A38" s="47" t="inlineStr">
        <is>
          <t>티플러스</t>
        </is>
      </c>
      <c r="B38" s="47" t="inlineStr">
        <is>
          <t>5G 가성비플러스(15GB/350분)_평생요금</t>
        </is>
      </c>
      <c r="C38" s="47" t="inlineStr">
        <is>
          <t>350분</t>
        </is>
      </c>
      <c r="D38" s="47" t="inlineStr">
        <is>
          <t>100건</t>
        </is>
      </c>
      <c r="E38" s="47" t="inlineStr">
        <is>
          <t>월 15GB</t>
        </is>
      </c>
      <c r="F38" s="47" t="inlineStr">
        <is>
          <t>KT</t>
        </is>
      </c>
      <c r="G38" s="47" t="inlineStr">
        <is>
          <t>5G</t>
        </is>
      </c>
      <c r="H38" s="48" t="n">
        <v>7500</v>
      </c>
      <c r="I38" s="48" t="n"/>
      <c r="J38" s="48" t="n"/>
      <c r="K38" s="47">
        <f t="array" ref="K38">_xlfn.XLOOKUP(1,(참조!$B$2:$B$15=E38)*(참조!$D$2:$D$15=C38)*(참조!$E$2:$E$15=D38),참조!$C$2:$C$15,"")</f>
        <v/>
      </c>
    </row>
    <row r="39" hidden="1" s="27">
      <c r="A39" s="47" t="inlineStr">
        <is>
          <t>고고모바일</t>
        </is>
      </c>
      <c r="B39" s="47" t="inlineStr">
        <is>
          <t>[모요only] 고고딜 무제한 100GB+5M(Npay 5000P)_12개월</t>
        </is>
      </c>
      <c r="C39" s="47" t="inlineStr">
        <is>
          <t>무제한</t>
        </is>
      </c>
      <c r="D39" s="47" t="inlineStr">
        <is>
          <t>무제한</t>
        </is>
      </c>
      <c r="E39" s="47" t="inlineStr">
        <is>
          <t>월 100GB + 5Mbps</t>
        </is>
      </c>
      <c r="F39" s="47" t="inlineStr">
        <is>
          <t>KT</t>
        </is>
      </c>
      <c r="G39" s="47" t="inlineStr">
        <is>
          <t>LTE</t>
        </is>
      </c>
      <c r="H39" s="48" t="n">
        <v>24000</v>
      </c>
      <c r="I39" s="48" t="n">
        <v>12</v>
      </c>
      <c r="J39" s="48" t="n">
        <v>48400</v>
      </c>
      <c r="K39" s="47">
        <f t="array" ref="K39">_xlfn.XLOOKUP(1,(참조!$B$2:$B$15=E39)*(참조!$D$2:$D$15=C39)*(참조!$E$2:$E$15=D39),참조!$C$2:$C$15,"")</f>
        <v/>
      </c>
    </row>
    <row r="40" hidden="1" s="27">
      <c r="A40" s="47" t="inlineStr">
        <is>
          <t>고고모바일</t>
        </is>
      </c>
      <c r="B40" s="47" t="inlineStr">
        <is>
          <t>[모요only] 5G 200분/10GB</t>
        </is>
      </c>
      <c r="C40" s="47" t="inlineStr">
        <is>
          <t>200분</t>
        </is>
      </c>
      <c r="D40" s="47" t="inlineStr">
        <is>
          <t>100건</t>
        </is>
      </c>
      <c r="E40" s="47" t="inlineStr">
        <is>
          <t>월 10GB</t>
        </is>
      </c>
      <c r="F40" s="47" t="inlineStr">
        <is>
          <t>KT</t>
        </is>
      </c>
      <c r="G40" s="47" t="inlineStr">
        <is>
          <t>5G</t>
        </is>
      </c>
      <c r="H40" s="48" t="n">
        <v>10</v>
      </c>
      <c r="I40" s="48" t="n">
        <v>7</v>
      </c>
      <c r="J40" s="48" t="n">
        <v>18700</v>
      </c>
      <c r="K40" s="47">
        <f t="array" ref="K40">_xlfn.XLOOKUP(1,(참조!$B$2:$B$15=E40)*(참조!$D$2:$D$15=C40)*(참조!$E$2:$E$15=D40),참조!$C$2:$C$15,"")</f>
        <v/>
      </c>
    </row>
    <row r="41" hidden="1" s="27">
      <c r="A41" s="47" t="inlineStr">
        <is>
          <t>티플러스</t>
        </is>
      </c>
      <c r="B41" s="47" t="inlineStr">
        <is>
          <t>KT 100GB+ (CU 매월 20%+올리브영 매월 5천원 상품권!)</t>
        </is>
      </c>
      <c r="C41" s="47" t="inlineStr">
        <is>
          <t>무제한</t>
        </is>
      </c>
      <c r="D41" s="47" t="inlineStr">
        <is>
          <t>무제한</t>
        </is>
      </c>
      <c r="E41" s="47" t="inlineStr">
        <is>
          <t>월 100GB + 5Mbps</t>
        </is>
      </c>
      <c r="F41" s="47" t="inlineStr">
        <is>
          <t>KT</t>
        </is>
      </c>
      <c r="G41" s="47" t="inlineStr">
        <is>
          <t>LTE</t>
        </is>
      </c>
      <c r="H41" s="48" t="n">
        <v>8900</v>
      </c>
      <c r="I41" s="48" t="n">
        <v>7</v>
      </c>
      <c r="J41" s="48" t="n">
        <v>48400</v>
      </c>
      <c r="K41" s="47">
        <f t="array" ref="K41">_xlfn.XLOOKUP(1,(참조!$B$2:$B$15=E41)*(참조!$D$2:$D$15=C41)*(참조!$E$2:$E$15=D41),참조!$C$2:$C$15,"")</f>
        <v/>
      </c>
    </row>
    <row r="42" hidden="1" s="27">
      <c r="A42" s="47" t="inlineStr">
        <is>
          <t>핀다이렉트</t>
        </is>
      </c>
      <c r="B42" s="47" t="inlineStr">
        <is>
          <t>[L] DIGITAL DETOX 7GB 챌린지</t>
        </is>
      </c>
      <c r="C42" s="47" t="inlineStr">
        <is>
          <t>100분</t>
        </is>
      </c>
      <c r="D42" s="47" t="inlineStr">
        <is>
          <t>100건</t>
        </is>
      </c>
      <c r="E42" s="47" t="inlineStr">
        <is>
          <t>월 7GB</t>
        </is>
      </c>
      <c r="F42" s="47" t="inlineStr">
        <is>
          <t>LG U+</t>
        </is>
      </c>
      <c r="G42" s="47" t="inlineStr">
        <is>
          <t>LTE</t>
        </is>
      </c>
      <c r="H42" s="48" t="n">
        <v>10</v>
      </c>
      <c r="I42" s="48" t="n">
        <v>12</v>
      </c>
      <c r="J42" s="48" t="n">
        <v>17600</v>
      </c>
      <c r="K42" s="47">
        <f t="array" ref="K42">_xlfn.XLOOKUP(1,(참조!$B$2:$B$15=E42)*(참조!$D$2:$D$15=C42)*(참조!$E$2:$E$15=D42),참조!$C$2:$C$15,"")</f>
        <v/>
      </c>
    </row>
    <row r="43" hidden="1" s="27">
      <c r="A43" s="47" t="inlineStr">
        <is>
          <t>이지모바일</t>
        </is>
      </c>
      <c r="B43" s="47" t="inlineStr">
        <is>
          <t>[5G]EG 무제한 110G+5</t>
        </is>
      </c>
      <c r="C43" s="47" t="inlineStr">
        <is>
          <t>무제한</t>
        </is>
      </c>
      <c r="D43" s="47" t="inlineStr">
        <is>
          <t>무제한</t>
        </is>
      </c>
      <c r="E43" s="47" t="inlineStr">
        <is>
          <t>월 110GB + 5Mbps</t>
        </is>
      </c>
      <c r="F43" s="47" t="inlineStr">
        <is>
          <t>KT</t>
        </is>
      </c>
      <c r="G43" s="47" t="inlineStr">
        <is>
          <t>5G</t>
        </is>
      </c>
      <c r="H43" s="48" t="n">
        <v>9800</v>
      </c>
      <c r="I43" s="48" t="n">
        <v>6</v>
      </c>
      <c r="J43" s="48" t="n">
        <v>51700</v>
      </c>
      <c r="K43" s="47">
        <f t="array" ref="K43">_xlfn.XLOOKUP(1,(참조!$B$2:$B$15=E43)*(참조!$D$2:$D$15=C43)*(참조!$E$2:$E$15=D43),참조!$C$2:$C$15,"")</f>
        <v/>
      </c>
    </row>
    <row r="44" hidden="1" s="27">
      <c r="A44" s="47" t="inlineStr">
        <is>
          <t>찬스모바일</t>
        </is>
      </c>
      <c r="B44" s="47" t="inlineStr">
        <is>
          <t>[5G] 100분5G</t>
        </is>
      </c>
      <c r="C44" s="47" t="inlineStr">
        <is>
          <t>100분</t>
        </is>
      </c>
      <c r="D44" s="47" t="inlineStr">
        <is>
          <t>50건</t>
        </is>
      </c>
      <c r="E44" s="47" t="inlineStr">
        <is>
          <t>월 5GB</t>
        </is>
      </c>
      <c r="F44" s="47" t="inlineStr">
        <is>
          <t>LG U+</t>
        </is>
      </c>
      <c r="G44" s="47" t="inlineStr">
        <is>
          <t>5G</t>
        </is>
      </c>
      <c r="H44" s="48" t="n">
        <v>10</v>
      </c>
      <c r="I44" s="48" t="n">
        <v>6</v>
      </c>
      <c r="J44" s="48" t="n">
        <v>7700</v>
      </c>
      <c r="K44" s="47">
        <f t="array" ref="K44">_xlfn.XLOOKUP(1,(참조!$B$2:$B$15=E44)*(참조!$D$2:$D$15=C44)*(참조!$E$2:$E$15=D44),참조!$C$2:$C$15,"")</f>
        <v/>
      </c>
    </row>
    <row r="45" hidden="1" s="27">
      <c r="A45" s="47" t="inlineStr">
        <is>
          <t>고고모바일</t>
        </is>
      </c>
      <c r="B45" s="47" t="inlineStr">
        <is>
          <t>[모요only] LTE 200분/ 10GB</t>
        </is>
      </c>
      <c r="C45" s="47" t="inlineStr">
        <is>
          <t>200분</t>
        </is>
      </c>
      <c r="D45" s="47" t="inlineStr">
        <is>
          <t>100건</t>
        </is>
      </c>
      <c r="E45" s="47" t="inlineStr">
        <is>
          <t>월 10GB</t>
        </is>
      </c>
      <c r="F45" s="47" t="inlineStr">
        <is>
          <t>KT</t>
        </is>
      </c>
      <c r="G45" s="47" t="inlineStr">
        <is>
          <t>LTE</t>
        </is>
      </c>
      <c r="H45" s="48" t="n">
        <v>10</v>
      </c>
      <c r="I45" s="48" t="n">
        <v>7</v>
      </c>
      <c r="J45" s="48" t="n">
        <v>18480</v>
      </c>
      <c r="K45" s="47">
        <f t="array" ref="K45">_xlfn.XLOOKUP(1,(참조!$B$2:$B$15=E45)*(참조!$D$2:$D$15=C45)*(참조!$E$2:$E$15=D45),참조!$C$2:$C$15,"")</f>
        <v/>
      </c>
    </row>
    <row r="46" hidden="1" s="27">
      <c r="A46" s="47" t="inlineStr">
        <is>
          <t>이야기모바일</t>
        </is>
      </c>
      <c r="B46" s="47" t="inlineStr">
        <is>
          <t>요금걱정 제로 이야기 4.5GB+</t>
        </is>
      </c>
      <c r="C46" s="47" t="inlineStr">
        <is>
          <t>무제한</t>
        </is>
      </c>
      <c r="D46" s="47" t="inlineStr">
        <is>
          <t>무제한</t>
        </is>
      </c>
      <c r="E46" s="47" t="inlineStr">
        <is>
          <t>월 4.5GB + 1Mbps</t>
        </is>
      </c>
      <c r="F46" s="47" t="inlineStr">
        <is>
          <t>LG U+</t>
        </is>
      </c>
      <c r="G46" s="47" t="inlineStr">
        <is>
          <t>LTE</t>
        </is>
      </c>
      <c r="H46" s="48" t="n">
        <v>990</v>
      </c>
      <c r="I46" s="48" t="n">
        <v>12</v>
      </c>
      <c r="J46" s="48" t="n">
        <v>9900</v>
      </c>
      <c r="K46" s="47">
        <f t="array" ref="K46">_xlfn.XLOOKUP(1,(참조!$B$2:$B$15=E46)*(참조!$D$2:$D$15=C46)*(참조!$E$2:$E$15=D46),참조!$C$2:$C$15,"")</f>
        <v/>
      </c>
    </row>
    <row r="47" hidden="1" s="27">
      <c r="A47" s="47" t="inlineStr">
        <is>
          <t>찬스모바일</t>
        </is>
      </c>
      <c r="B47" s="47" t="inlineStr">
        <is>
          <t>[CHM] 음성 100분 6GB</t>
        </is>
      </c>
      <c r="C47" s="47" t="inlineStr">
        <is>
          <t>100분</t>
        </is>
      </c>
      <c r="D47" s="47" t="inlineStr">
        <is>
          <t>100건</t>
        </is>
      </c>
      <c r="E47" s="47" t="inlineStr">
        <is>
          <t>월 6GB</t>
        </is>
      </c>
      <c r="F47" s="47" t="inlineStr">
        <is>
          <t>LG U+</t>
        </is>
      </c>
      <c r="G47" s="47" t="inlineStr">
        <is>
          <t>LTE</t>
        </is>
      </c>
      <c r="H47" s="48" t="n">
        <v>10</v>
      </c>
      <c r="I47" s="48" t="n">
        <v>6</v>
      </c>
      <c r="J47" s="48" t="n">
        <v>3850</v>
      </c>
      <c r="K47" s="47">
        <f t="array" ref="K47">_xlfn.XLOOKUP(1,(참조!$B$2:$B$15=E47)*(참조!$D$2:$D$15=C47)*(참조!$E$2:$E$15=D47),참조!$C$2:$C$15,"")</f>
        <v/>
      </c>
    </row>
    <row r="48" hidden="1" s="27">
      <c r="A48" s="47" t="inlineStr">
        <is>
          <t>모나</t>
        </is>
      </c>
      <c r="B48" s="47" t="inlineStr">
        <is>
          <t>모나300분11G</t>
        </is>
      </c>
      <c r="C48" s="47" t="inlineStr">
        <is>
          <t>300분</t>
        </is>
      </c>
      <c r="D48" s="47" t="inlineStr">
        <is>
          <t>200건</t>
        </is>
      </c>
      <c r="E48" s="47" t="inlineStr">
        <is>
          <t>월 11GB</t>
        </is>
      </c>
      <c r="F48" s="47" t="inlineStr">
        <is>
          <t>LG U+</t>
        </is>
      </c>
      <c r="G48" s="47" t="inlineStr">
        <is>
          <t>LTE</t>
        </is>
      </c>
      <c r="H48" s="48" t="n">
        <v>10</v>
      </c>
      <c r="I48" s="48" t="n">
        <v>7</v>
      </c>
      <c r="J48" s="48" t="n">
        <v>33000</v>
      </c>
      <c r="K48" s="47">
        <f t="array" ref="K48">_xlfn.XLOOKUP(1,(참조!$B$2:$B$15=E48)*(참조!$D$2:$D$15=C48)*(참조!$E$2:$E$15=D48),참조!$C$2:$C$15,"")</f>
        <v/>
      </c>
    </row>
    <row r="49" hidden="1" s="27">
      <c r="A49" s="47" t="inlineStr">
        <is>
          <t>티플러스</t>
        </is>
      </c>
      <c r="B49" s="47" t="inlineStr">
        <is>
          <t>가성비플러스(6GB/350분)_평생요금</t>
        </is>
      </c>
      <c r="C49" s="47" t="inlineStr">
        <is>
          <t>350분</t>
        </is>
      </c>
      <c r="D49" s="47" t="inlineStr">
        <is>
          <t>100건</t>
        </is>
      </c>
      <c r="E49" s="47" t="inlineStr">
        <is>
          <t>월 6GB</t>
        </is>
      </c>
      <c r="F49" s="47" t="inlineStr">
        <is>
          <t>KT</t>
        </is>
      </c>
      <c r="G49" s="47" t="inlineStr">
        <is>
          <t>LTE</t>
        </is>
      </c>
      <c r="H49" s="48" t="n">
        <v>1900</v>
      </c>
      <c r="I49" s="48" t="n"/>
      <c r="J49" s="48" t="n"/>
      <c r="K49" s="47">
        <f t="array" ref="K49">_xlfn.XLOOKUP(1,(참조!$B$2:$B$15=E49)*(참조!$D$2:$D$15=C49)*(참조!$E$2:$E$15=D49),참조!$C$2:$C$15,"")</f>
        <v/>
      </c>
    </row>
    <row r="50" hidden="1" s="27">
      <c r="A50" s="47" t="inlineStr">
        <is>
          <t>티플러스</t>
        </is>
      </c>
      <c r="B50" s="47" t="inlineStr">
        <is>
          <t>가성비플러스(5GB/350분)</t>
        </is>
      </c>
      <c r="C50" s="47" t="inlineStr">
        <is>
          <t>350분</t>
        </is>
      </c>
      <c r="D50" s="47" t="inlineStr">
        <is>
          <t>100건</t>
        </is>
      </c>
      <c r="E50" s="47" t="inlineStr">
        <is>
          <t>월 5GB</t>
        </is>
      </c>
      <c r="F50" s="47" t="inlineStr">
        <is>
          <t>KT</t>
        </is>
      </c>
      <c r="G50" s="47" t="inlineStr">
        <is>
          <t>LTE</t>
        </is>
      </c>
      <c r="H50" s="48" t="n">
        <v>10</v>
      </c>
      <c r="I50" s="48" t="n">
        <v>6</v>
      </c>
      <c r="J50" s="48" t="n">
        <v>8800</v>
      </c>
      <c r="K50" s="47">
        <f t="array" ref="K50">_xlfn.XLOOKUP(1,(참조!$B$2:$B$15=E50)*(참조!$D$2:$D$15=C50)*(참조!$E$2:$E$15=D50),참조!$C$2:$C$15,"")</f>
        <v/>
      </c>
    </row>
    <row r="51" hidden="1" s="27">
      <c r="A51" s="47" t="inlineStr">
        <is>
          <t>티플러스</t>
        </is>
      </c>
      <c r="B51" s="47" t="inlineStr">
        <is>
          <t>가성비플러스(10GB/350분)</t>
        </is>
      </c>
      <c r="C51" s="47" t="inlineStr">
        <is>
          <t>350분</t>
        </is>
      </c>
      <c r="D51" s="47" t="inlineStr">
        <is>
          <t>100건</t>
        </is>
      </c>
      <c r="E51" s="47" t="inlineStr">
        <is>
          <t>월 10GB</t>
        </is>
      </c>
      <c r="F51" s="47" t="inlineStr">
        <is>
          <t>KT</t>
        </is>
      </c>
      <c r="G51" s="47" t="inlineStr">
        <is>
          <t>LTE</t>
        </is>
      </c>
      <c r="H51" s="48" t="n">
        <v>10</v>
      </c>
      <c r="I51" s="48" t="n">
        <v>7</v>
      </c>
      <c r="J51" s="48" t="n">
        <v>15400</v>
      </c>
      <c r="K51" s="47">
        <f t="array" ref="K51">_xlfn.XLOOKUP(1,(참조!$B$2:$B$15=E51)*(참조!$D$2:$D$15=C51)*(참조!$E$2:$E$15=D51),참조!$C$2:$C$15,"")</f>
        <v/>
      </c>
    </row>
    <row r="52" hidden="1" s="27">
      <c r="A52" s="47" t="inlineStr">
        <is>
          <t>이지모바일</t>
        </is>
      </c>
      <c r="B52" s="47" t="inlineStr">
        <is>
          <t>이지 데이터 10GB</t>
        </is>
      </c>
      <c r="C52" s="47" t="inlineStr">
        <is>
          <t>300분</t>
        </is>
      </c>
      <c r="D52" s="47" t="inlineStr">
        <is>
          <t>100건</t>
        </is>
      </c>
      <c r="E52" s="47" t="inlineStr">
        <is>
          <t>월 10GB</t>
        </is>
      </c>
      <c r="F52" s="47" t="inlineStr">
        <is>
          <t>LG U+</t>
        </is>
      </c>
      <c r="G52" s="47" t="inlineStr">
        <is>
          <t>LTE</t>
        </is>
      </c>
      <c r="H52" s="48" t="n">
        <v>10</v>
      </c>
      <c r="I52" s="48" t="n">
        <v>6</v>
      </c>
      <c r="J52" s="48" t="n">
        <v>19800</v>
      </c>
      <c r="K52" s="47">
        <f t="array" ref="K52">_xlfn.XLOOKUP(1,(참조!$B$2:$B$15=E52)*(참조!$D$2:$D$15=C52)*(참조!$E$2:$E$15=D52),참조!$C$2:$C$15,"")</f>
        <v/>
      </c>
    </row>
    <row r="53" hidden="1" s="27">
      <c r="A53" s="47" t="inlineStr">
        <is>
          <t>더원모바일</t>
        </is>
      </c>
      <c r="B53" s="47" t="inlineStr">
        <is>
          <t>TOP 11GB 기본 (네이버페이)</t>
        </is>
      </c>
      <c r="C53" s="47" t="inlineStr">
        <is>
          <t>무제한</t>
        </is>
      </c>
      <c r="D53" s="47" t="inlineStr">
        <is>
          <t>무제한</t>
        </is>
      </c>
      <c r="E53" s="47" t="inlineStr">
        <is>
          <t>월 11GB + 매일 2GB + 3Mbps</t>
        </is>
      </c>
      <c r="F53" s="47" t="inlineStr">
        <is>
          <t>KT</t>
        </is>
      </c>
      <c r="G53" s="47" t="inlineStr">
        <is>
          <t>LTE</t>
        </is>
      </c>
      <c r="H53" s="48" t="n">
        <v>18700</v>
      </c>
      <c r="I53" s="48" t="n">
        <v>12</v>
      </c>
      <c r="J53" s="48" t="n">
        <v>40700</v>
      </c>
      <c r="K53" s="47">
        <f t="array" ref="K53">_xlfn.XLOOKUP(1,(참조!$B$2:$B$15=E53)*(참조!$D$2:$D$15=C53)*(참조!$E$2:$E$15=D53),참조!$C$2:$C$15,"")</f>
        <v/>
      </c>
    </row>
    <row r="54" hidden="1" s="27">
      <c r="A54" s="47" t="inlineStr">
        <is>
          <t>KG모바일</t>
        </is>
      </c>
      <c r="B54" s="47" t="inlineStr">
        <is>
          <t>[평생할인] 데이터 마음대로 (10GB+/300분)</t>
        </is>
      </c>
      <c r="C54" s="47" t="inlineStr">
        <is>
          <t>300분</t>
        </is>
      </c>
      <c r="D54" s="47" t="inlineStr">
        <is>
          <t>100건</t>
        </is>
      </c>
      <c r="E54" s="47" t="inlineStr">
        <is>
          <t>월 10GB + 1Mbps</t>
        </is>
      </c>
      <c r="F54" s="47" t="inlineStr">
        <is>
          <t>LG U+</t>
        </is>
      </c>
      <c r="G54" s="47" t="inlineStr">
        <is>
          <t>LTE</t>
        </is>
      </c>
      <c r="H54" s="48" t="n">
        <v>5900</v>
      </c>
      <c r="I54" s="48" t="n"/>
      <c r="J54" s="48" t="n"/>
      <c r="K54" s="47">
        <f t="array" ref="K54">_xlfn.XLOOKUP(1,(참조!$B$2:$B$15=E54)*(참조!$D$2:$D$15=C54)*(참조!$E$2:$E$15=D54),참조!$C$2:$C$15,"")</f>
        <v/>
      </c>
    </row>
    <row r="55" hidden="1" s="27">
      <c r="A55" s="47" t="inlineStr">
        <is>
          <t>고고모바일</t>
        </is>
      </c>
      <c r="B55" s="47" t="inlineStr">
        <is>
          <t>[모요only] 고고딜 무제한 11GB+3M(Npay 5000P)_12개월</t>
        </is>
      </c>
      <c r="C55" s="47" t="inlineStr">
        <is>
          <t>무제한</t>
        </is>
      </c>
      <c r="D55" s="47" t="inlineStr">
        <is>
          <t>무제한</t>
        </is>
      </c>
      <c r="E55" s="47" t="inlineStr">
        <is>
          <t>월 11GB + 매일 2GB + 3Mbps</t>
        </is>
      </c>
      <c r="F55" s="47" t="inlineStr">
        <is>
          <t>KT</t>
        </is>
      </c>
      <c r="G55" s="47" t="inlineStr">
        <is>
          <t>LTE</t>
        </is>
      </c>
      <c r="H55" s="48" t="n">
        <v>22000</v>
      </c>
      <c r="I55" s="48" t="n">
        <v>12</v>
      </c>
      <c r="J55" s="48" t="n">
        <v>39600</v>
      </c>
      <c r="K55" s="47">
        <f t="array" ref="K55">_xlfn.XLOOKUP(1,(참조!$B$2:$B$15=E55)*(참조!$D$2:$D$15=C55)*(참조!$E$2:$E$15=D55),참조!$C$2:$C$15,"")</f>
        <v/>
      </c>
    </row>
    <row r="56" hidden="1" s="27">
      <c r="A56" s="47" t="inlineStr">
        <is>
          <t>티플러스</t>
        </is>
      </c>
      <c r="B56" s="47" t="inlineStr">
        <is>
          <t>5G 가성비플러스(5GB/350분)</t>
        </is>
      </c>
      <c r="C56" s="47" t="inlineStr">
        <is>
          <t>350분</t>
        </is>
      </c>
      <c r="D56" s="47" t="inlineStr">
        <is>
          <t>100건</t>
        </is>
      </c>
      <c r="E56" s="47" t="inlineStr">
        <is>
          <t>월 5GB</t>
        </is>
      </c>
      <c r="F56" s="47" t="inlineStr">
        <is>
          <t>KT</t>
        </is>
      </c>
      <c r="G56" s="47" t="inlineStr">
        <is>
          <t>5G</t>
        </is>
      </c>
      <c r="H56" s="48" t="n">
        <v>10</v>
      </c>
      <c r="I56" s="48" t="n">
        <v>6</v>
      </c>
      <c r="J56" s="48" t="n">
        <v>8800</v>
      </c>
      <c r="K56" s="47">
        <f t="array" ref="K56">_xlfn.XLOOKUP(1,(참조!$B$2:$B$15=E56)*(참조!$D$2:$D$15=C56)*(참조!$E$2:$E$15=D56),참조!$C$2:$C$15,"")</f>
        <v/>
      </c>
    </row>
    <row r="57" hidden="1" s="27">
      <c r="A57" s="47" t="inlineStr">
        <is>
          <t>핀다이렉트</t>
        </is>
      </c>
      <c r="B57" s="47" t="inlineStr">
        <is>
          <t>[L] 핀다이렉트 Speed 10GB/200분</t>
        </is>
      </c>
      <c r="C57" s="47" t="inlineStr">
        <is>
          <t>200분</t>
        </is>
      </c>
      <c r="D57" s="47" t="inlineStr">
        <is>
          <t>100건</t>
        </is>
      </c>
      <c r="E57" s="47" t="inlineStr">
        <is>
          <t>월 10GB</t>
        </is>
      </c>
      <c r="F57" s="47" t="inlineStr">
        <is>
          <t>LG U+</t>
        </is>
      </c>
      <c r="G57" s="47" t="inlineStr">
        <is>
          <t>5G</t>
        </is>
      </c>
      <c r="H57" s="48" t="n">
        <v>10</v>
      </c>
      <c r="I57" s="48" t="n">
        <v>7</v>
      </c>
      <c r="J57" s="48" t="n">
        <v>9900</v>
      </c>
      <c r="K57" s="47">
        <f t="array" ref="K57">_xlfn.XLOOKUP(1,(참조!$B$2:$B$15=E57)*(참조!$D$2:$D$15=C57)*(참조!$E$2:$E$15=D57),참조!$C$2:$C$15,"")</f>
        <v/>
      </c>
    </row>
    <row r="58" hidden="1" s="27">
      <c r="A58" s="47" t="inlineStr">
        <is>
          <t>더원모바일</t>
        </is>
      </c>
      <c r="B58" s="47" t="inlineStr">
        <is>
          <t>TOP 11GB 기본 (CU할인)</t>
        </is>
      </c>
      <c r="C58" s="47" t="inlineStr">
        <is>
          <t>무제한</t>
        </is>
      </c>
      <c r="D58" s="47" t="inlineStr">
        <is>
          <t>무제한</t>
        </is>
      </c>
      <c r="E58" s="47" t="inlineStr">
        <is>
          <t>월 11GB + 매일 2GB + 3Mbps</t>
        </is>
      </c>
      <c r="F58" s="47" t="inlineStr">
        <is>
          <t>KT</t>
        </is>
      </c>
      <c r="G58" s="47" t="inlineStr">
        <is>
          <t>LTE</t>
        </is>
      </c>
      <c r="H58" s="48" t="n">
        <v>16500</v>
      </c>
      <c r="I58" s="48" t="n">
        <v>12</v>
      </c>
      <c r="J58" s="48" t="n">
        <v>38500</v>
      </c>
      <c r="K58" s="47">
        <f t="array" ref="K58">_xlfn.XLOOKUP(1,(참조!$B$2:$B$15=E58)*(참조!$D$2:$D$15=C58)*(참조!$E$2:$E$15=D58),참조!$C$2:$C$15,"")</f>
        <v/>
      </c>
    </row>
    <row r="59" hidden="1" s="27">
      <c r="A59" s="47" t="inlineStr">
        <is>
          <t>더원모바일</t>
        </is>
      </c>
      <c r="B59" s="47" t="inlineStr">
        <is>
          <t>TOP 15GB 100분 (밀리의서재)</t>
        </is>
      </c>
      <c r="C59" s="47" t="inlineStr">
        <is>
          <t>100분</t>
        </is>
      </c>
      <c r="D59" s="47" t="inlineStr">
        <is>
          <t>100건</t>
        </is>
      </c>
      <c r="E59" s="47" t="inlineStr">
        <is>
          <t>월 15GB + 3Mbps</t>
        </is>
      </c>
      <c r="F59" s="47" t="inlineStr">
        <is>
          <t>KT</t>
        </is>
      </c>
      <c r="G59" s="47" t="inlineStr">
        <is>
          <t>LTE</t>
        </is>
      </c>
      <c r="H59" s="48" t="n">
        <v>12100</v>
      </c>
      <c r="I59" s="48" t="n">
        <v>12</v>
      </c>
      <c r="J59" s="48" t="n">
        <v>33000</v>
      </c>
      <c r="K59" s="47">
        <f t="array" ref="K59">_xlfn.XLOOKUP(1,(참조!$B$2:$B$15=E59)*(참조!$D$2:$D$15=C59)*(참조!$E$2:$E$15=D59),참조!$C$2:$C$15,"")</f>
        <v/>
      </c>
    </row>
    <row r="60" hidden="1" s="27">
      <c r="A60" s="47" t="inlineStr">
        <is>
          <t>이야기모바일</t>
        </is>
      </c>
      <c r="B60" s="47" t="inlineStr">
        <is>
          <t>이야기 6GB 100분</t>
        </is>
      </c>
      <c r="C60" s="47" t="inlineStr">
        <is>
          <t>100분</t>
        </is>
      </c>
      <c r="D60" s="47" t="inlineStr">
        <is>
          <t>100건</t>
        </is>
      </c>
      <c r="E60" s="47" t="inlineStr">
        <is>
          <t>월 6GB</t>
        </is>
      </c>
      <c r="F60" s="47" t="inlineStr">
        <is>
          <t>LG U+</t>
        </is>
      </c>
      <c r="G60" s="47" t="inlineStr">
        <is>
          <t>LTE</t>
        </is>
      </c>
      <c r="H60" s="48" t="n">
        <v>10</v>
      </c>
      <c r="I60" s="48" t="n">
        <v>6</v>
      </c>
      <c r="J60" s="48" t="n">
        <v>5500</v>
      </c>
      <c r="K60" s="47">
        <f t="array" ref="K60">_xlfn.XLOOKUP(1,(참조!$B$2:$B$15=E60)*(참조!$D$2:$D$15=C60)*(참조!$E$2:$E$15=D60),참조!$C$2:$C$15,"")</f>
        <v/>
      </c>
    </row>
    <row r="61" hidden="1" s="27">
      <c r="A61" s="47" t="inlineStr">
        <is>
          <t>더원모바일</t>
        </is>
      </c>
      <c r="B61" s="47" t="inlineStr">
        <is>
          <t>TOP 5G 110GB 기본 (밀리의서재)</t>
        </is>
      </c>
      <c r="C61" s="47" t="inlineStr">
        <is>
          <t>무제한</t>
        </is>
      </c>
      <c r="D61" s="47" t="inlineStr">
        <is>
          <t>무제한</t>
        </is>
      </c>
      <c r="E61" s="47" t="inlineStr">
        <is>
          <t>월 110GB + 5Mbps</t>
        </is>
      </c>
      <c r="F61" s="47" t="inlineStr">
        <is>
          <t>KT</t>
        </is>
      </c>
      <c r="G61" s="47" t="inlineStr">
        <is>
          <t>5G</t>
        </is>
      </c>
      <c r="H61" s="48" t="n">
        <v>24200</v>
      </c>
      <c r="I61" s="48" t="n">
        <v>12</v>
      </c>
      <c r="J61" s="48" t="n">
        <v>47300</v>
      </c>
      <c r="K61" s="47">
        <f t="array" ref="K61">_xlfn.XLOOKUP(1,(참조!$B$2:$B$15=E61)*(참조!$D$2:$D$15=C61)*(참조!$E$2:$E$15=D61),참조!$C$2:$C$15,"")</f>
        <v/>
      </c>
    </row>
    <row r="62" hidden="1" s="27">
      <c r="A62" s="47" t="inlineStr">
        <is>
          <t>모나</t>
        </is>
      </c>
      <c r="B62" s="47" t="inlineStr">
        <is>
          <t>모나기본5G안심1</t>
        </is>
      </c>
      <c r="C62" s="47" t="inlineStr">
        <is>
          <t>무제한</t>
        </is>
      </c>
      <c r="D62" s="47" t="inlineStr">
        <is>
          <t>무제한</t>
        </is>
      </c>
      <c r="E62" s="47" t="inlineStr">
        <is>
          <t>월 5GB + 1Mbps</t>
        </is>
      </c>
      <c r="F62" s="47" t="inlineStr">
        <is>
          <t>LG U+</t>
        </is>
      </c>
      <c r="G62" s="47" t="inlineStr">
        <is>
          <t>LTE</t>
        </is>
      </c>
      <c r="H62" s="48" t="n">
        <v>10</v>
      </c>
      <c r="I62" s="48" t="n">
        <v>6</v>
      </c>
      <c r="J62" s="48" t="n">
        <v>33000</v>
      </c>
      <c r="K62" s="47">
        <f t="array" ref="K62">_xlfn.XLOOKUP(1,(참조!$B$2:$B$15=E62)*(참조!$D$2:$D$15=C62)*(참조!$E$2:$E$15=D62),참조!$C$2:$C$15,"")</f>
        <v/>
      </c>
    </row>
    <row r="63" hidden="1" s="27">
      <c r="A63" s="47" t="inlineStr">
        <is>
          <t>찬스모바일</t>
        </is>
      </c>
      <c r="B63" s="47" t="inlineStr">
        <is>
          <t>[CHM] 알찬 실속 데이터7G</t>
        </is>
      </c>
      <c r="C63" s="47" t="inlineStr">
        <is>
          <t>250분</t>
        </is>
      </c>
      <c r="D63" s="47" t="inlineStr">
        <is>
          <t>100건</t>
        </is>
      </c>
      <c r="E63" s="47" t="inlineStr">
        <is>
          <t>월 7GB</t>
        </is>
      </c>
      <c r="F63" s="47" t="inlineStr">
        <is>
          <t>LG U+</t>
        </is>
      </c>
      <c r="G63" s="47" t="inlineStr">
        <is>
          <t>LTE</t>
        </is>
      </c>
      <c r="H63" s="48" t="n">
        <v>10</v>
      </c>
      <c r="I63" s="48" t="n">
        <v>6</v>
      </c>
      <c r="J63" s="48" t="n">
        <v>12100</v>
      </c>
      <c r="K63" s="47">
        <f t="array" ref="K63">_xlfn.XLOOKUP(1,(참조!$B$2:$B$15=E63)*(참조!$D$2:$D$15=C63)*(참조!$E$2:$E$15=D63),참조!$C$2:$C$15,"")</f>
        <v/>
      </c>
    </row>
    <row r="64" hidden="1" s="27">
      <c r="A64" s="47" t="inlineStr">
        <is>
          <t>고고모바일</t>
        </is>
      </c>
      <c r="B64" s="47" t="inlineStr">
        <is>
          <t>[모요only] 5G 200분/12GB</t>
        </is>
      </c>
      <c r="C64" s="47" t="inlineStr">
        <is>
          <t>200분</t>
        </is>
      </c>
      <c r="D64" s="47" t="inlineStr">
        <is>
          <t>100건</t>
        </is>
      </c>
      <c r="E64" s="47" t="inlineStr">
        <is>
          <t>월 12GB</t>
        </is>
      </c>
      <c r="F64" s="47" t="inlineStr">
        <is>
          <t>KT</t>
        </is>
      </c>
      <c r="G64" s="47" t="inlineStr">
        <is>
          <t>5G</t>
        </is>
      </c>
      <c r="H64" s="48" t="n">
        <v>10</v>
      </c>
      <c r="I64" s="48" t="n">
        <v>7</v>
      </c>
      <c r="J64" s="48" t="n">
        <v>22000</v>
      </c>
      <c r="K64" s="47">
        <f t="array" ref="K64">_xlfn.XLOOKUP(1,(참조!$B$2:$B$15=E64)*(참조!$D$2:$D$15=C64)*(참조!$E$2:$E$15=D64),참조!$C$2:$C$15,"")</f>
        <v/>
      </c>
    </row>
    <row r="65" hidden="1" s="27">
      <c r="A65" s="47" t="inlineStr">
        <is>
          <t>더원모바일</t>
        </is>
      </c>
      <c r="B65" s="47" t="inlineStr">
        <is>
          <t>TOP 15GB 기본 (밀리의서재)</t>
        </is>
      </c>
      <c r="C65" s="47" t="inlineStr">
        <is>
          <t>무제한</t>
        </is>
      </c>
      <c r="D65" s="47" t="inlineStr">
        <is>
          <t>무제한</t>
        </is>
      </c>
      <c r="E65" s="47" t="inlineStr">
        <is>
          <t>월 15GB + 1Mbps</t>
        </is>
      </c>
      <c r="F65" s="47" t="inlineStr">
        <is>
          <t>KT</t>
        </is>
      </c>
      <c r="G65" s="47" t="inlineStr">
        <is>
          <t>LTE</t>
        </is>
      </c>
      <c r="H65" s="48" t="n">
        <v>11000</v>
      </c>
      <c r="I65" s="48" t="n">
        <v>12</v>
      </c>
      <c r="J65" s="48" t="n">
        <v>29700</v>
      </c>
      <c r="K65" s="47">
        <f t="array" ref="K65">_xlfn.XLOOKUP(1,(참조!$B$2:$B$15=E65)*(참조!$D$2:$D$15=C65)*(참조!$E$2:$E$15=D65),참조!$C$2:$C$15,"")</f>
        <v/>
      </c>
    </row>
    <row r="66" hidden="1" s="27">
      <c r="A66" s="47" t="inlineStr">
        <is>
          <t>더원모바일</t>
        </is>
      </c>
      <c r="B66" s="47" t="inlineStr">
        <is>
          <t>TOP 100GB 기본 (CU할인)</t>
        </is>
      </c>
      <c r="C66" s="47" t="inlineStr">
        <is>
          <t>무제한</t>
        </is>
      </c>
      <c r="D66" s="47" t="inlineStr">
        <is>
          <t>무제한</t>
        </is>
      </c>
      <c r="E66" s="47" t="inlineStr">
        <is>
          <t>월 100GB + 5Mbps</t>
        </is>
      </c>
      <c r="F66" s="47" t="inlineStr">
        <is>
          <t>KT</t>
        </is>
      </c>
      <c r="G66" s="47" t="inlineStr">
        <is>
          <t>LTE</t>
        </is>
      </c>
      <c r="H66" s="48" t="n">
        <v>20900</v>
      </c>
      <c r="I66" s="48" t="n">
        <v>12</v>
      </c>
      <c r="J66" s="48" t="n">
        <v>46200</v>
      </c>
      <c r="K66" s="47">
        <f t="array" ref="K66">_xlfn.XLOOKUP(1,(참조!$B$2:$B$15=E66)*(참조!$D$2:$D$15=C66)*(참조!$E$2:$E$15=D66),참조!$C$2:$C$15,"")</f>
        <v/>
      </c>
    </row>
    <row r="67" hidden="1" s="27">
      <c r="A67" s="47" t="inlineStr">
        <is>
          <t>U+유모바일</t>
        </is>
      </c>
      <c r="B67" s="47" t="inlineStr">
        <is>
          <t>[평생할인] 5G 15GB+/300분</t>
        </is>
      </c>
      <c r="C67" s="47" t="inlineStr">
        <is>
          <t>300분</t>
        </is>
      </c>
      <c r="D67" s="47" t="inlineStr">
        <is>
          <t>300건</t>
        </is>
      </c>
      <c r="E67" s="47" t="inlineStr">
        <is>
          <t>월 15GB + 1Mbps</t>
        </is>
      </c>
      <c r="F67" s="47" t="inlineStr">
        <is>
          <t>LG U+</t>
        </is>
      </c>
      <c r="G67" s="47" t="inlineStr">
        <is>
          <t>5G</t>
        </is>
      </c>
      <c r="H67" s="48" t="n">
        <v>16900</v>
      </c>
      <c r="I67" s="48" t="n"/>
      <c r="J67" s="48" t="n"/>
      <c r="K67" s="47">
        <f t="array" ref="K67">_xlfn.XLOOKUP(1,(참조!$B$2:$B$15=E67)*(참조!$D$2:$D$15=C67)*(참조!$E$2:$E$15=D67),참조!$C$2:$C$15,"")</f>
        <v/>
      </c>
    </row>
    <row r="68" hidden="1" s="27">
      <c r="A68" s="47" t="inlineStr">
        <is>
          <t>슈가모바일</t>
        </is>
      </c>
      <c r="B68" s="47" t="inlineStr">
        <is>
          <t>Sugar 통화마음대로 5GB+</t>
        </is>
      </c>
      <c r="C68" s="47" t="inlineStr">
        <is>
          <t>무제한</t>
        </is>
      </c>
      <c r="D68" s="47" t="inlineStr">
        <is>
          <t>무제한</t>
        </is>
      </c>
      <c r="E68" s="47" t="inlineStr">
        <is>
          <t>월 5GB + 1Mbps</t>
        </is>
      </c>
      <c r="F68" s="47" t="inlineStr">
        <is>
          <t>LG U+</t>
        </is>
      </c>
      <c r="G68" s="47" t="inlineStr">
        <is>
          <t>LTE</t>
        </is>
      </c>
      <c r="H68" s="48" t="n">
        <v>10</v>
      </c>
      <c r="I68" s="48" t="n">
        <v>6</v>
      </c>
      <c r="J68" s="48" t="n">
        <v>19500</v>
      </c>
      <c r="K68" s="47">
        <f t="array" ref="K68">_xlfn.XLOOKUP(1,(참조!$B$2:$B$15=E68)*(참조!$D$2:$D$15=C68)*(참조!$E$2:$E$15=D68),참조!$C$2:$C$15,"")</f>
        <v/>
      </c>
    </row>
    <row r="69" hidden="1" s="27">
      <c r="A69" s="47" t="inlineStr">
        <is>
          <t>쉐이크모바일</t>
        </is>
      </c>
      <c r="B69" s="47" t="inlineStr">
        <is>
          <t>[모요only] 쉐이크 LTE 11GB+_네이버페이 매 월 5,000원</t>
        </is>
      </c>
      <c r="C69" s="47" t="inlineStr">
        <is>
          <t>무제한</t>
        </is>
      </c>
      <c r="D69" s="47" t="inlineStr">
        <is>
          <t>무제한</t>
        </is>
      </c>
      <c r="E69" s="47" t="inlineStr">
        <is>
          <t>월 11GB + 매일 2GB + 3Mbps</t>
        </is>
      </c>
      <c r="F69" s="47" t="inlineStr">
        <is>
          <t>KT</t>
        </is>
      </c>
      <c r="G69" s="47" t="inlineStr">
        <is>
          <t>LTE</t>
        </is>
      </c>
      <c r="H69" s="48" t="n">
        <v>9800</v>
      </c>
      <c r="I69" s="48" t="n">
        <v>7</v>
      </c>
      <c r="J69" s="48" t="n">
        <v>42900</v>
      </c>
      <c r="K69" s="47">
        <f t="array" ref="K69">_xlfn.XLOOKUP(1,(참조!$B$2:$B$15=E69)*(참조!$D$2:$D$15=C69)*(참조!$E$2:$E$15=D69),참조!$C$2:$C$15,"")</f>
        <v/>
      </c>
    </row>
    <row r="70" hidden="1" s="27">
      <c r="A70" s="47" t="inlineStr">
        <is>
          <t>이지모바일</t>
        </is>
      </c>
      <c r="B70" s="47" t="inlineStr">
        <is>
          <t>이지 오래쓰는 데이터 6G/200분</t>
        </is>
      </c>
      <c r="C70" s="47" t="inlineStr">
        <is>
          <t>200분</t>
        </is>
      </c>
      <c r="D70" s="47" t="inlineStr">
        <is>
          <t>100건</t>
        </is>
      </c>
      <c r="E70" s="47" t="inlineStr">
        <is>
          <t>월 6GB</t>
        </is>
      </c>
      <c r="F70" s="47" t="inlineStr">
        <is>
          <t>LG U+</t>
        </is>
      </c>
      <c r="G70" s="47" t="inlineStr">
        <is>
          <t>LTE</t>
        </is>
      </c>
      <c r="H70" s="48" t="n">
        <v>880</v>
      </c>
      <c r="I70" s="48" t="n">
        <v>12</v>
      </c>
      <c r="J70" s="48" t="n">
        <v>14300</v>
      </c>
      <c r="K70" s="47">
        <f t="array" ref="K70">_xlfn.XLOOKUP(1,(참조!$B$2:$B$15=E70)*(참조!$D$2:$D$15=C70)*(참조!$E$2:$E$15=D70),참조!$C$2:$C$15,"")</f>
        <v/>
      </c>
    </row>
    <row r="71" hidden="1" s="27">
      <c r="A71" s="47" t="inlineStr">
        <is>
          <t>티플러스</t>
        </is>
      </c>
      <c r="B71" s="47" t="inlineStr">
        <is>
          <t>가성비플러스(20GB/350분)_평생요금</t>
        </is>
      </c>
      <c r="C71" s="47" t="inlineStr">
        <is>
          <t>350분</t>
        </is>
      </c>
      <c r="D71" s="47" t="inlineStr">
        <is>
          <t>100건</t>
        </is>
      </c>
      <c r="E71" s="47" t="inlineStr">
        <is>
          <t>월 20GB</t>
        </is>
      </c>
      <c r="F71" s="47" t="inlineStr">
        <is>
          <t>KT</t>
        </is>
      </c>
      <c r="G71" s="47" t="inlineStr">
        <is>
          <t>LTE</t>
        </is>
      </c>
      <c r="H71" s="48" t="n">
        <v>8900</v>
      </c>
      <c r="I71" s="48" t="n"/>
      <c r="J71" s="48" t="n"/>
      <c r="K71" s="47">
        <f t="array" ref="K71">_xlfn.XLOOKUP(1,(참조!$B$2:$B$15=E71)*(참조!$D$2:$D$15=C71)*(참조!$E$2:$E$15=D71),참조!$C$2:$C$15,"")</f>
        <v/>
      </c>
    </row>
    <row r="72" hidden="1" s="27">
      <c r="A72" s="47" t="inlineStr">
        <is>
          <t>이지모바일</t>
        </is>
      </c>
      <c r="B72" s="47" t="inlineStr">
        <is>
          <t>EG 무제한 71G+3M</t>
        </is>
      </c>
      <c r="C72" s="47" t="inlineStr">
        <is>
          <t>무제한</t>
        </is>
      </c>
      <c r="D72" s="47" t="inlineStr">
        <is>
          <t>무제한</t>
        </is>
      </c>
      <c r="E72" s="47" t="inlineStr">
        <is>
          <t>월 11GB + 매일 2GB + 3Mbps</t>
        </is>
      </c>
      <c r="F72" s="47" t="inlineStr">
        <is>
          <t>KT</t>
        </is>
      </c>
      <c r="G72" s="47" t="inlineStr">
        <is>
          <t>LTE</t>
        </is>
      </c>
      <c r="H72" s="48" t="n">
        <v>6700</v>
      </c>
      <c r="I72" s="48" t="n">
        <v>6</v>
      </c>
      <c r="J72" s="48" t="n">
        <v>37400</v>
      </c>
      <c r="K72" s="47">
        <f t="array" ref="K72">_xlfn.XLOOKUP(1,(참조!$B$2:$B$15=E72)*(참조!$D$2:$D$15=C72)*(참조!$E$2:$E$15=D72),참조!$C$2:$C$15,"")</f>
        <v/>
      </c>
    </row>
    <row r="73" hidden="1" s="27">
      <c r="A73" s="47" t="inlineStr">
        <is>
          <t>티플러스</t>
        </is>
      </c>
      <c r="B73" s="47" t="inlineStr">
        <is>
          <t>가성비플러스(6GB/350분)</t>
        </is>
      </c>
      <c r="C73" s="47" t="inlineStr">
        <is>
          <t>350분</t>
        </is>
      </c>
      <c r="D73" s="47" t="inlineStr">
        <is>
          <t>100건</t>
        </is>
      </c>
      <c r="E73" s="47" t="inlineStr">
        <is>
          <t>월 6GB</t>
        </is>
      </c>
      <c r="F73" s="47" t="inlineStr">
        <is>
          <t>KT</t>
        </is>
      </c>
      <c r="G73" s="47" t="inlineStr">
        <is>
          <t>LTE</t>
        </is>
      </c>
      <c r="H73" s="48" t="n">
        <v>10</v>
      </c>
      <c r="I73" s="48" t="n">
        <v>6</v>
      </c>
      <c r="J73" s="48" t="n">
        <v>9900</v>
      </c>
      <c r="K73" s="47">
        <f t="array" ref="K73">_xlfn.XLOOKUP(1,(참조!$B$2:$B$15=E73)*(참조!$D$2:$D$15=C73)*(참조!$E$2:$E$15=D73),참조!$C$2:$C$15,"")</f>
        <v/>
      </c>
    </row>
    <row r="74" hidden="1" s="27">
      <c r="A74" s="47" t="inlineStr">
        <is>
          <t>핀다이렉트</t>
        </is>
      </c>
      <c r="B74" s="47" t="inlineStr">
        <is>
          <t>[모요only] [K] 핀다이렉트 Speed 10GB/200분</t>
        </is>
      </c>
      <c r="C74" s="47" t="inlineStr">
        <is>
          <t>200분</t>
        </is>
      </c>
      <c r="D74" s="47" t="inlineStr">
        <is>
          <t>100건</t>
        </is>
      </c>
      <c r="E74" s="47" t="inlineStr">
        <is>
          <t>월 10GB</t>
        </is>
      </c>
      <c r="F74" s="47" t="inlineStr">
        <is>
          <t>KT</t>
        </is>
      </c>
      <c r="G74" s="47" t="inlineStr">
        <is>
          <t>5G</t>
        </is>
      </c>
      <c r="H74" s="48" t="n">
        <v>10</v>
      </c>
      <c r="I74" s="48" t="n">
        <v>7</v>
      </c>
      <c r="J74" s="48" t="n">
        <v>9900</v>
      </c>
      <c r="K74" s="47">
        <f t="array" ref="K74">_xlfn.XLOOKUP(1,(참조!$B$2:$B$15=E74)*(참조!$D$2:$D$15=C74)*(참조!$E$2:$E$15=D74),참조!$C$2:$C$15,"")</f>
        <v/>
      </c>
    </row>
    <row r="75" hidden="1" s="27">
      <c r="A75" s="47" t="inlineStr">
        <is>
          <t>더원모바일</t>
        </is>
      </c>
      <c r="B75" s="47" t="inlineStr">
        <is>
          <t>TOP 11GB 기본 (CU할인)</t>
        </is>
      </c>
      <c r="C75" s="47" t="inlineStr">
        <is>
          <t>무제한</t>
        </is>
      </c>
      <c r="D75" s="47" t="inlineStr">
        <is>
          <t>무제한</t>
        </is>
      </c>
      <c r="E75" s="47" t="inlineStr">
        <is>
          <t>월 11GB + 매일 2GB + 3Mbps</t>
        </is>
      </c>
      <c r="F75" s="47" t="inlineStr">
        <is>
          <t>KT</t>
        </is>
      </c>
      <c r="G75" s="47" t="inlineStr">
        <is>
          <t>LTE</t>
        </is>
      </c>
      <c r="H75" s="48" t="n">
        <v>7700</v>
      </c>
      <c r="I75" s="48" t="n">
        <v>7</v>
      </c>
      <c r="J75" s="48" t="n">
        <v>38500</v>
      </c>
      <c r="K75" s="47">
        <f t="array" ref="K75">_xlfn.XLOOKUP(1,(참조!$B$2:$B$15=E75)*(참조!$D$2:$D$15=C75)*(참조!$E$2:$E$15=D75),참조!$C$2:$C$15,"")</f>
        <v/>
      </c>
    </row>
    <row r="76" hidden="1" s="27">
      <c r="A76" s="47" t="inlineStr">
        <is>
          <t>KG모바일</t>
        </is>
      </c>
      <c r="B76" s="47" t="inlineStr">
        <is>
          <t>[일반] 통화, 데이터 마음대로 (4.5GB+)</t>
        </is>
      </c>
      <c r="C76" s="47" t="inlineStr">
        <is>
          <t>무제한</t>
        </is>
      </c>
      <c r="D76" s="47" t="inlineStr">
        <is>
          <t>무제한</t>
        </is>
      </c>
      <c r="E76" s="47" t="inlineStr">
        <is>
          <t>월 4.5GB + 1Mbps</t>
        </is>
      </c>
      <c r="F76" s="47" t="inlineStr">
        <is>
          <t>LG U+</t>
        </is>
      </c>
      <c r="G76" s="47" t="inlineStr">
        <is>
          <t>LTE</t>
        </is>
      </c>
      <c r="H76" s="48" t="n">
        <v>10</v>
      </c>
      <c r="I76" s="48" t="n">
        <v>6</v>
      </c>
      <c r="J76" s="48" t="n">
        <v>18900</v>
      </c>
      <c r="K76" s="47">
        <f t="array" ref="K76">_xlfn.XLOOKUP(1,(참조!$B$2:$B$15=E76)*(참조!$D$2:$D$15=C76)*(참조!$E$2:$E$15=D76),참조!$C$2:$C$15,"")</f>
        <v/>
      </c>
    </row>
    <row r="77" hidden="1" s="27">
      <c r="A77" s="47" t="inlineStr">
        <is>
          <t>마블링</t>
        </is>
      </c>
      <c r="B77" s="47" t="inlineStr">
        <is>
          <t>[모요only] 마블링 무제한 100GB+</t>
        </is>
      </c>
      <c r="C77" s="47" t="inlineStr">
        <is>
          <t>무제한</t>
        </is>
      </c>
      <c r="D77" s="47" t="inlineStr">
        <is>
          <t>무제한</t>
        </is>
      </c>
      <c r="E77" s="47" t="inlineStr">
        <is>
          <t>월 100GB + 5Mbps</t>
        </is>
      </c>
      <c r="F77" s="47" t="inlineStr">
        <is>
          <t>LG U+</t>
        </is>
      </c>
      <c r="G77" s="47" t="inlineStr">
        <is>
          <t>LTE</t>
        </is>
      </c>
      <c r="H77" s="48" t="n">
        <v>24209</v>
      </c>
      <c r="I77" s="48" t="n">
        <v>12</v>
      </c>
      <c r="J77" s="48" t="n">
        <v>47930</v>
      </c>
      <c r="K77" s="47">
        <f t="array" ref="K77">_xlfn.XLOOKUP(1,(참조!$B$2:$B$15=E77)*(참조!$D$2:$D$15=C77)*(참조!$E$2:$E$15=D77),참조!$C$2:$C$15,"")</f>
        <v/>
      </c>
    </row>
    <row r="78" hidden="1" s="27">
      <c r="A78" s="47" t="inlineStr">
        <is>
          <t>더원모바일</t>
        </is>
      </c>
      <c r="B78" s="47" t="inlineStr">
        <is>
          <t>TOP 11GB 기본 (쿠팡캐시)</t>
        </is>
      </c>
      <c r="C78" s="47" t="inlineStr">
        <is>
          <t>무제한</t>
        </is>
      </c>
      <c r="D78" s="47" t="inlineStr">
        <is>
          <t>무제한</t>
        </is>
      </c>
      <c r="E78" s="47" t="inlineStr">
        <is>
          <t>월 11GB + 매일 2GB + 3Mbps</t>
        </is>
      </c>
      <c r="F78" s="47" t="inlineStr">
        <is>
          <t>KT</t>
        </is>
      </c>
      <c r="G78" s="47" t="inlineStr">
        <is>
          <t>LTE</t>
        </is>
      </c>
      <c r="H78" s="48" t="n">
        <v>18700</v>
      </c>
      <c r="I78" s="48" t="n">
        <v>12</v>
      </c>
      <c r="J78" s="48" t="n">
        <v>40700</v>
      </c>
      <c r="K78" s="47">
        <f t="array" ref="K78">_xlfn.XLOOKUP(1,(참조!$B$2:$B$15=E78)*(참조!$D$2:$D$15=C78)*(참조!$E$2:$E$15=D78),참조!$C$2:$C$15,"")</f>
        <v/>
      </c>
    </row>
    <row r="79" hidden="1" s="27">
      <c r="A79" s="47" t="inlineStr">
        <is>
          <t>티플러스</t>
        </is>
      </c>
      <c r="B79" s="47" t="inlineStr">
        <is>
          <t>KT 11GB+ (밀리의서재+올리브영 매월 5천원 상품권!)</t>
        </is>
      </c>
      <c r="C79" s="47" t="inlineStr">
        <is>
          <t>무제한</t>
        </is>
      </c>
      <c r="D79" s="47" t="inlineStr">
        <is>
          <t>무제한</t>
        </is>
      </c>
      <c r="E79" s="47" t="inlineStr">
        <is>
          <t>월 11GB + 매일 2GB + 3Mbps</t>
        </is>
      </c>
      <c r="F79" s="47" t="inlineStr">
        <is>
          <t>KT</t>
        </is>
      </c>
      <c r="G79" s="47" t="inlineStr">
        <is>
          <t>LTE</t>
        </is>
      </c>
      <c r="H79" s="48" t="n">
        <v>7900</v>
      </c>
      <c r="I79" s="48" t="n">
        <v>7</v>
      </c>
      <c r="J79" s="48" t="n">
        <v>45100</v>
      </c>
      <c r="K79" s="47">
        <f t="array" ref="K79">_xlfn.XLOOKUP(1,(참조!$B$2:$B$15=E79)*(참조!$D$2:$D$15=C79)*(참조!$E$2:$E$15=D79),참조!$C$2:$C$15,"")</f>
        <v/>
      </c>
    </row>
    <row r="80" hidden="1" s="27">
      <c r="A80" s="47" t="inlineStr">
        <is>
          <t>이야기모바일</t>
        </is>
      </c>
      <c r="B80" s="47" t="inlineStr">
        <is>
          <t>이야기 폰케어 71GB+</t>
        </is>
      </c>
      <c r="C80" s="47" t="inlineStr">
        <is>
          <t>무제한</t>
        </is>
      </c>
      <c r="D80" s="47" t="inlineStr">
        <is>
          <t>무제한</t>
        </is>
      </c>
      <c r="E80" s="47" t="inlineStr">
        <is>
          <t>월 11GB + 매일 2GB + 3Mbps</t>
        </is>
      </c>
      <c r="F80" s="47" t="inlineStr">
        <is>
          <t>LG U+</t>
        </is>
      </c>
      <c r="G80" s="47" t="inlineStr">
        <is>
          <t>LTE</t>
        </is>
      </c>
      <c r="H80" s="48" t="n">
        <v>23000</v>
      </c>
      <c r="I80" s="48" t="n">
        <v>24</v>
      </c>
      <c r="J80" s="48" t="n">
        <v>39600</v>
      </c>
      <c r="K80" s="47">
        <f t="array" ref="K80">_xlfn.XLOOKUP(1,(참조!$B$2:$B$15=E80)*(참조!$D$2:$D$15=C80)*(참조!$E$2:$E$15=D80),참조!$C$2:$C$15,"")</f>
        <v/>
      </c>
    </row>
    <row r="81" hidden="1" s="27">
      <c r="A81" s="47" t="inlineStr">
        <is>
          <t>KG모바일</t>
        </is>
      </c>
      <c r="B81" s="47" t="inlineStr">
        <is>
          <t>[모요 전용] 통화, 데이터 마음대로 100GB+</t>
        </is>
      </c>
      <c r="C81" s="47" t="inlineStr">
        <is>
          <t>무제한</t>
        </is>
      </c>
      <c r="D81" s="47" t="inlineStr">
        <is>
          <t>무제한</t>
        </is>
      </c>
      <c r="E81" s="47" t="inlineStr">
        <is>
          <t>월 100GB + 5Mbps</t>
        </is>
      </c>
      <c r="F81" s="47" t="inlineStr">
        <is>
          <t>LG U+</t>
        </is>
      </c>
      <c r="G81" s="47" t="inlineStr">
        <is>
          <t>LTE</t>
        </is>
      </c>
      <c r="H81" s="48" t="n">
        <v>9900</v>
      </c>
      <c r="I81" s="48" t="n">
        <v>7</v>
      </c>
      <c r="J81" s="48" t="n">
        <v>41900</v>
      </c>
      <c r="K81" s="47">
        <f t="array" ref="K81">_xlfn.XLOOKUP(1,(참조!$B$2:$B$15=E81)*(참조!$D$2:$D$15=C81)*(참조!$E$2:$E$15=D81),참조!$C$2:$C$15,"")</f>
        <v/>
      </c>
    </row>
    <row r="82" hidden="1" s="27">
      <c r="A82" s="47" t="inlineStr">
        <is>
          <t>KT스카이라이프</t>
        </is>
      </c>
      <c r="B82" s="47" t="inlineStr">
        <is>
          <t>통화 충분 15GB</t>
        </is>
      </c>
      <c r="C82" s="47" t="inlineStr">
        <is>
          <t>무제한</t>
        </is>
      </c>
      <c r="D82" s="47" t="inlineStr">
        <is>
          <t>무제한</t>
        </is>
      </c>
      <c r="E82" s="47" t="inlineStr">
        <is>
          <t>월 15GB</t>
        </is>
      </c>
      <c r="F82" s="47" t="inlineStr">
        <is>
          <t>KT</t>
        </is>
      </c>
      <c r="G82" s="47" t="inlineStr">
        <is>
          <t>LTE</t>
        </is>
      </c>
      <c r="H82" s="48" t="n">
        <v>16900</v>
      </c>
      <c r="I82" s="48" t="n"/>
      <c r="J82" s="48" t="n"/>
      <c r="K82" s="47">
        <f t="array" ref="K82">_xlfn.XLOOKUP(1,(참조!$B$2:$B$15=E82)*(참조!$D$2:$D$15=C82)*(참조!$E$2:$E$15=D82),참조!$C$2:$C$15,"")</f>
        <v/>
      </c>
    </row>
    <row r="83" hidden="1" s="27">
      <c r="A83" s="47" t="inlineStr">
        <is>
          <t>LG헬로모바일</t>
        </is>
      </c>
      <c r="B83" s="47" t="inlineStr">
        <is>
          <t>슬림 유심 1GB 100분</t>
        </is>
      </c>
      <c r="C83" s="47" t="inlineStr">
        <is>
          <t>100분</t>
        </is>
      </c>
      <c r="D83" s="47" t="inlineStr">
        <is>
          <t>50건</t>
        </is>
      </c>
      <c r="E83" s="47" t="inlineStr">
        <is>
          <t>월 1GB</t>
        </is>
      </c>
      <c r="F83" s="47" t="inlineStr">
        <is>
          <t>LG U+</t>
        </is>
      </c>
      <c r="G83" s="47" t="inlineStr">
        <is>
          <t>LTE</t>
        </is>
      </c>
      <c r="H83" s="48" t="n">
        <v>2700</v>
      </c>
      <c r="I83" s="48" t="n"/>
      <c r="J83" s="48" t="n"/>
      <c r="K83" s="47">
        <f t="array" ref="K83">_xlfn.XLOOKUP(1,(참조!$B$2:$B$15=E83)*(참조!$D$2:$D$15=C83)*(참조!$E$2:$E$15=D83),참조!$C$2:$C$15,"")</f>
        <v/>
      </c>
    </row>
    <row r="84" hidden="1" s="27">
      <c r="A84" s="47" t="inlineStr">
        <is>
          <t>찬스모바일</t>
        </is>
      </c>
      <c r="B84" s="47" t="inlineStr">
        <is>
          <t>음성기본 4.5GB+</t>
        </is>
      </c>
      <c r="C84" s="47" t="inlineStr">
        <is>
          <t>무제한</t>
        </is>
      </c>
      <c r="D84" s="47" t="inlineStr">
        <is>
          <t>무제한</t>
        </is>
      </c>
      <c r="E84" s="47" t="inlineStr">
        <is>
          <t>월 4.5GB + 1Mbps</t>
        </is>
      </c>
      <c r="F84" s="47" t="inlineStr">
        <is>
          <t>LG U+</t>
        </is>
      </c>
      <c r="G84" s="47" t="inlineStr">
        <is>
          <t>LTE</t>
        </is>
      </c>
      <c r="H84" s="48" t="n">
        <v>10</v>
      </c>
      <c r="I84" s="48" t="n">
        <v>6</v>
      </c>
      <c r="J84" s="48" t="n">
        <v>16390</v>
      </c>
      <c r="K84" s="47">
        <f t="array" ref="K84">_xlfn.XLOOKUP(1,(참조!$B$2:$B$15=E84)*(참조!$D$2:$D$15=C84)*(참조!$E$2:$E$15=D84),참조!$C$2:$C$15,"")</f>
        <v/>
      </c>
    </row>
    <row r="85" hidden="1" s="27">
      <c r="A85" s="47" t="inlineStr">
        <is>
          <t>더원모바일</t>
        </is>
      </c>
      <c r="B85" s="47" t="inlineStr">
        <is>
          <t>TOP 100GB 기본 (다이소)</t>
        </is>
      </c>
      <c r="C85" s="47" t="inlineStr">
        <is>
          <t>무제한</t>
        </is>
      </c>
      <c r="D85" s="47" t="inlineStr">
        <is>
          <t>무제한</t>
        </is>
      </c>
      <c r="E85" s="47" t="inlineStr">
        <is>
          <t>월 100GB + 5Mbps</t>
        </is>
      </c>
      <c r="F85" s="47" t="inlineStr">
        <is>
          <t>KT</t>
        </is>
      </c>
      <c r="G85" s="47" t="inlineStr">
        <is>
          <t>LTE</t>
        </is>
      </c>
      <c r="H85" s="48" t="n">
        <v>22990</v>
      </c>
      <c r="I85" s="48" t="n">
        <v>12</v>
      </c>
      <c r="J85" s="48" t="n">
        <v>46200</v>
      </c>
      <c r="K85" s="47">
        <f t="array" ref="K85">_xlfn.XLOOKUP(1,(참조!$B$2:$B$15=E85)*(참조!$D$2:$D$15=C85)*(참조!$E$2:$E$15=D85),참조!$C$2:$C$15,"")</f>
        <v/>
      </c>
    </row>
    <row r="86" hidden="1" s="27">
      <c r="A86" s="47" t="inlineStr">
        <is>
          <t>티플러스</t>
        </is>
      </c>
      <c r="B86" s="47" t="inlineStr">
        <is>
          <t>완전마음껏 100GB＋＋(CU 20%)_12개월할인</t>
        </is>
      </c>
      <c r="C86" s="47" t="inlineStr">
        <is>
          <t>무제한</t>
        </is>
      </c>
      <c r="D86" s="47" t="inlineStr">
        <is>
          <t>무제한</t>
        </is>
      </c>
      <c r="E86" s="47" t="inlineStr">
        <is>
          <t>월 100GB + 5Mbps</t>
        </is>
      </c>
      <c r="F86" s="47" t="inlineStr">
        <is>
          <t>KT</t>
        </is>
      </c>
      <c r="G86" s="47" t="inlineStr">
        <is>
          <t>LTE</t>
        </is>
      </c>
      <c r="H86" s="48" t="n">
        <v>21900</v>
      </c>
      <c r="I86" s="48" t="n">
        <v>12</v>
      </c>
      <c r="J86" s="48" t="n">
        <v>48400</v>
      </c>
      <c r="K86" s="47">
        <f t="array" ref="K86">_xlfn.XLOOKUP(1,(참조!$B$2:$B$15=E86)*(참조!$D$2:$D$15=C86)*(참조!$E$2:$E$15=D86),참조!$C$2:$C$15,"")</f>
        <v/>
      </c>
    </row>
    <row r="87" hidden="1" s="27">
      <c r="A87" s="47" t="inlineStr">
        <is>
          <t>U+유모바일</t>
        </is>
      </c>
      <c r="B87" s="47" t="inlineStr">
        <is>
          <t>데이터 플러스 7GB(평생+10GB 추가 제공 프로모션)</t>
        </is>
      </c>
      <c r="C87" s="47" t="inlineStr">
        <is>
          <t>무제한</t>
        </is>
      </c>
      <c r="D87" s="47" t="inlineStr">
        <is>
          <t>무제한</t>
        </is>
      </c>
      <c r="E87" s="47" t="inlineStr">
        <is>
          <t>월 17GB + 1Mbps</t>
        </is>
      </c>
      <c r="F87" s="47" t="inlineStr">
        <is>
          <t>LG U+</t>
        </is>
      </c>
      <c r="G87" s="47" t="inlineStr">
        <is>
          <t>LTE</t>
        </is>
      </c>
      <c r="H87" s="48" t="n">
        <v>17500</v>
      </c>
      <c r="I87" s="48" t="n"/>
      <c r="J87" s="48" t="n"/>
      <c r="K87" s="47">
        <f t="array" ref="K87">_xlfn.XLOOKUP(1,(참조!$B$2:$B$15=E87)*(참조!$D$2:$D$15=C87)*(참조!$E$2:$E$15=D87),참조!$C$2:$C$15,"")</f>
        <v/>
      </c>
    </row>
    <row r="88" hidden="1" s="27">
      <c r="A88" s="47" t="inlineStr">
        <is>
          <t>KT엠모바일</t>
        </is>
      </c>
      <c r="B88" s="47" t="inlineStr">
        <is>
          <t>통화 맘껏 15GB</t>
        </is>
      </c>
      <c r="C88" s="47" t="inlineStr">
        <is>
          <t>무제한</t>
        </is>
      </c>
      <c r="D88" s="47" t="inlineStr">
        <is>
          <t>무제한</t>
        </is>
      </c>
      <c r="E88" s="47" t="inlineStr">
        <is>
          <t>월 15GB</t>
        </is>
      </c>
      <c r="F88" s="47" t="inlineStr">
        <is>
          <t>KT</t>
        </is>
      </c>
      <c r="G88" s="47" t="inlineStr">
        <is>
          <t>LTE</t>
        </is>
      </c>
      <c r="H88" s="48" t="n">
        <v>12400</v>
      </c>
      <c r="I88" s="48" t="n"/>
      <c r="J88" s="48" t="n"/>
      <c r="K88" s="47">
        <f t="array" ref="K88">_xlfn.XLOOKUP(1,(참조!$B$2:$B$15=E88)*(참조!$D$2:$D$15=C88)*(참조!$E$2:$E$15=D88),참조!$C$2:$C$15,"")</f>
        <v/>
      </c>
    </row>
    <row r="89" hidden="1" s="27">
      <c r="A89" s="47" t="inlineStr">
        <is>
          <t>이지모바일</t>
        </is>
      </c>
      <c r="B89" s="47" t="inlineStr">
        <is>
          <t>이지 데이터 6G</t>
        </is>
      </c>
      <c r="C89" s="47" t="inlineStr">
        <is>
          <t>200분</t>
        </is>
      </c>
      <c r="D89" s="47" t="inlineStr">
        <is>
          <t>100건</t>
        </is>
      </c>
      <c r="E89" s="47" t="inlineStr">
        <is>
          <t>월 6GB</t>
        </is>
      </c>
      <c r="F89" s="47" t="inlineStr">
        <is>
          <t>LG U+</t>
        </is>
      </c>
      <c r="G89" s="47" t="inlineStr">
        <is>
          <t>LTE</t>
        </is>
      </c>
      <c r="H89" s="48" t="n">
        <v>10</v>
      </c>
      <c r="I89" s="48" t="n">
        <v>6</v>
      </c>
      <c r="J89" s="48" t="n">
        <v>14300</v>
      </c>
      <c r="K89" s="47">
        <f t="array" ref="K89">_xlfn.XLOOKUP(1,(참조!$B$2:$B$15=E89)*(참조!$D$2:$D$15=C89)*(참조!$E$2:$E$15=D89),참조!$C$2:$C$15,"")</f>
        <v/>
      </c>
    </row>
    <row r="90" hidden="1" s="27">
      <c r="A90" s="47" t="inlineStr">
        <is>
          <t>KG모바일</t>
        </is>
      </c>
      <c r="B90" s="47" t="inlineStr">
        <is>
          <t>[일반] 실속 5G 15GB+/300분</t>
        </is>
      </c>
      <c r="C90" s="47" t="inlineStr">
        <is>
          <t>300분</t>
        </is>
      </c>
      <c r="D90" s="47" t="inlineStr">
        <is>
          <t>300건</t>
        </is>
      </c>
      <c r="E90" s="47" t="inlineStr">
        <is>
          <t>월 15GB + 1Mbps</t>
        </is>
      </c>
      <c r="F90" s="47" t="inlineStr">
        <is>
          <t>LG U+</t>
        </is>
      </c>
      <c r="G90" s="47" t="inlineStr">
        <is>
          <t>5G</t>
        </is>
      </c>
      <c r="H90" s="48" t="n">
        <v>12000</v>
      </c>
      <c r="I90" s="48" t="n">
        <v>12</v>
      </c>
      <c r="J90" s="48" t="n">
        <v>25300</v>
      </c>
      <c r="K90" s="47">
        <f t="array" ref="K90">_xlfn.XLOOKUP(1,(참조!$B$2:$B$15=E90)*(참조!$D$2:$D$15=C90)*(참조!$E$2:$E$15=D90),참조!$C$2:$C$15,"")</f>
        <v/>
      </c>
    </row>
    <row r="91" hidden="1" s="27">
      <c r="A91" s="47" t="inlineStr">
        <is>
          <t>이지모바일</t>
        </is>
      </c>
      <c r="B91" s="47" t="inlineStr">
        <is>
          <t>[선착순 특가]EG 7무제한 15G+1(매월10GB+CU할인)</t>
        </is>
      </c>
      <c r="C91" s="47" t="inlineStr">
        <is>
          <t>무제한</t>
        </is>
      </c>
      <c r="D91" s="47" t="inlineStr">
        <is>
          <t>무제한</t>
        </is>
      </c>
      <c r="E91" s="47" t="inlineStr">
        <is>
          <t>월 15GB + 1Mbps</t>
        </is>
      </c>
      <c r="F91" s="47" t="inlineStr">
        <is>
          <t>KT</t>
        </is>
      </c>
      <c r="G91" s="47" t="inlineStr">
        <is>
          <t>LTE</t>
        </is>
      </c>
      <c r="H91" s="48" t="n">
        <v>4900</v>
      </c>
      <c r="I91" s="48" t="n">
        <v>7</v>
      </c>
      <c r="J91" s="48" t="n">
        <v>26950</v>
      </c>
      <c r="K91" s="47">
        <f t="array" ref="K91">_xlfn.XLOOKUP(1,(참조!$B$2:$B$15=E91)*(참조!$D$2:$D$15=C91)*(참조!$E$2:$E$15=D91),참조!$C$2:$C$15,"")</f>
        <v/>
      </c>
    </row>
    <row r="92" hidden="1" s="27">
      <c r="A92" s="47" t="inlineStr">
        <is>
          <t>티플러스</t>
        </is>
      </c>
      <c r="B92" s="47" t="inlineStr">
        <is>
          <t>완전마음껏 100GB＋＋(밀리의서재)_12개월할인</t>
        </is>
      </c>
      <c r="C92" s="47" t="inlineStr">
        <is>
          <t>무제한</t>
        </is>
      </c>
      <c r="D92" s="47" t="inlineStr">
        <is>
          <t>무제한</t>
        </is>
      </c>
      <c r="E92" s="47" t="inlineStr">
        <is>
          <t>월 100GB + 5Mbps</t>
        </is>
      </c>
      <c r="F92" s="47" t="inlineStr">
        <is>
          <t>KT</t>
        </is>
      </c>
      <c r="G92" s="47" t="inlineStr">
        <is>
          <t>LTE</t>
        </is>
      </c>
      <c r="H92" s="48" t="n">
        <v>21900</v>
      </c>
      <c r="I92" s="48" t="n">
        <v>12</v>
      </c>
      <c r="J92" s="48" t="n">
        <v>48400</v>
      </c>
      <c r="K92" s="47">
        <f t="array" ref="K92">_xlfn.XLOOKUP(1,(참조!$B$2:$B$15=E92)*(참조!$D$2:$D$15=C92)*(참조!$E$2:$E$15=D92),참조!$C$2:$C$15,"")</f>
        <v/>
      </c>
    </row>
    <row r="93" hidden="1" s="27">
      <c r="A93" s="47" t="inlineStr">
        <is>
          <t>슈가모바일</t>
        </is>
      </c>
      <c r="B93" s="47" t="inlineStr">
        <is>
          <t>5G Sugar 세이브+(300분/15GB)</t>
        </is>
      </c>
      <c r="C93" s="47" t="inlineStr">
        <is>
          <t>300분</t>
        </is>
      </c>
      <c r="D93" s="47" t="inlineStr">
        <is>
          <t>300건</t>
        </is>
      </c>
      <c r="E93" s="47" t="inlineStr">
        <is>
          <t>월 15GB + 1Mbps</t>
        </is>
      </c>
      <c r="F93" s="47" t="inlineStr">
        <is>
          <t>LG U+</t>
        </is>
      </c>
      <c r="G93" s="47" t="inlineStr">
        <is>
          <t>5G</t>
        </is>
      </c>
      <c r="H93" s="48" t="n">
        <v>12900</v>
      </c>
      <c r="I93" s="48" t="n"/>
      <c r="J93" s="48" t="n"/>
      <c r="K93" s="47">
        <f t="array" ref="K93">_xlfn.XLOOKUP(1,(참조!$B$2:$B$15=E93)*(참조!$D$2:$D$15=C93)*(참조!$E$2:$E$15=D93),참조!$C$2:$C$15,"")</f>
        <v/>
      </c>
    </row>
    <row r="94" hidden="1" s="27">
      <c r="A94" s="47" t="inlineStr">
        <is>
          <t>티플러스</t>
        </is>
      </c>
      <c r="B94" s="47" t="inlineStr">
        <is>
          <t>가성비플러스(20GB/350분)</t>
        </is>
      </c>
      <c r="C94" s="47" t="inlineStr">
        <is>
          <t>350분</t>
        </is>
      </c>
      <c r="D94" s="47" t="inlineStr">
        <is>
          <t>100건</t>
        </is>
      </c>
      <c r="E94" s="47" t="inlineStr">
        <is>
          <t>월 20GB</t>
        </is>
      </c>
      <c r="F94" s="47" t="inlineStr">
        <is>
          <t>KT</t>
        </is>
      </c>
      <c r="G94" s="47" t="inlineStr">
        <is>
          <t>LTE</t>
        </is>
      </c>
      <c r="H94" s="48" t="n">
        <v>900</v>
      </c>
      <c r="I94" s="48" t="n">
        <v>7</v>
      </c>
      <c r="J94" s="48" t="n">
        <v>29700</v>
      </c>
      <c r="K94" s="47">
        <f t="array" ref="K94">_xlfn.XLOOKUP(1,(참조!$B$2:$B$15=E94)*(참조!$D$2:$D$15=C94)*(참조!$E$2:$E$15=D94),참조!$C$2:$C$15,"")</f>
        <v/>
      </c>
    </row>
    <row r="95" hidden="1" s="27">
      <c r="A95" s="47" t="inlineStr">
        <is>
          <t>U+유모바일</t>
        </is>
      </c>
      <c r="B95" s="47" t="inlineStr">
        <is>
          <t>[평생할인] 15GB+/통화기본</t>
        </is>
      </c>
      <c r="C95" s="47" t="inlineStr">
        <is>
          <t>무제한</t>
        </is>
      </c>
      <c r="D95" s="47" t="inlineStr">
        <is>
          <t>무제한</t>
        </is>
      </c>
      <c r="E95" s="47" t="inlineStr">
        <is>
          <t>월 15GB + 1Mbps</t>
        </is>
      </c>
      <c r="F95" s="47" t="inlineStr">
        <is>
          <t>LG U+</t>
        </is>
      </c>
      <c r="G95" s="47" t="inlineStr">
        <is>
          <t>LTE</t>
        </is>
      </c>
      <c r="H95" s="48" t="n">
        <v>20900</v>
      </c>
      <c r="I95" s="48" t="n"/>
      <c r="J95" s="48" t="n"/>
      <c r="K95" s="47">
        <f t="array" ref="K95">_xlfn.XLOOKUP(1,(참조!$B$2:$B$15=E95)*(참조!$D$2:$D$15=C95)*(참조!$E$2:$E$15=D95),참조!$C$2:$C$15,"")</f>
        <v/>
      </c>
    </row>
    <row r="96" hidden="1" s="27">
      <c r="A96" s="47" t="inlineStr">
        <is>
          <t>이야기모바일</t>
        </is>
      </c>
      <c r="B96" s="47" t="inlineStr">
        <is>
          <t>함께이야기해S(300분+15GB)</t>
        </is>
      </c>
      <c r="C96" s="47" t="inlineStr">
        <is>
          <t>300분</t>
        </is>
      </c>
      <c r="D96" s="47" t="inlineStr">
        <is>
          <t>150건</t>
        </is>
      </c>
      <c r="E96" s="47" t="inlineStr">
        <is>
          <t>월 15GB</t>
        </is>
      </c>
      <c r="F96" s="47" t="inlineStr">
        <is>
          <t>SKT</t>
        </is>
      </c>
      <c r="G96" s="47" t="inlineStr">
        <is>
          <t>LTE</t>
        </is>
      </c>
      <c r="H96" s="48" t="n">
        <v>990</v>
      </c>
      <c r="I96" s="48" t="n">
        <v>12</v>
      </c>
      <c r="J96" s="48" t="n">
        <v>15400</v>
      </c>
      <c r="K96" s="47">
        <f t="array" ref="K96">_xlfn.XLOOKUP(1,(참조!$B$2:$B$15=E96)*(참조!$D$2:$D$15=C96)*(참조!$E$2:$E$15=D96),참조!$C$2:$C$15,"")</f>
        <v/>
      </c>
    </row>
    <row r="97" hidden="1" s="27">
      <c r="A97" s="47" t="inlineStr">
        <is>
          <t>쉐이크모바일</t>
        </is>
      </c>
      <c r="B97" s="47" t="inlineStr">
        <is>
          <t>[모요only] 쉐이크핫딜 LTE 100GB+_모아진 전자 구독</t>
        </is>
      </c>
      <c r="C97" s="47" t="inlineStr">
        <is>
          <t>무제한</t>
        </is>
      </c>
      <c r="D97" s="47" t="inlineStr">
        <is>
          <t>무제한</t>
        </is>
      </c>
      <c r="E97" s="47" t="inlineStr">
        <is>
          <t>월 100GB + 5Mbps</t>
        </is>
      </c>
      <c r="F97" s="47" t="inlineStr">
        <is>
          <t>KT</t>
        </is>
      </c>
      <c r="G97" s="47" t="inlineStr">
        <is>
          <t>LTE</t>
        </is>
      </c>
      <c r="H97" s="48" t="n">
        <v>7900</v>
      </c>
      <c r="I97" s="48" t="n">
        <v>7</v>
      </c>
      <c r="J97" s="48" t="n">
        <v>45100</v>
      </c>
      <c r="K97" s="47">
        <f t="array" ref="K97">_xlfn.XLOOKUP(1,(참조!$B$2:$B$15=E97)*(참조!$D$2:$D$15=C97)*(참조!$E$2:$E$15=D97),참조!$C$2:$C$15,"")</f>
        <v/>
      </c>
    </row>
    <row r="98" hidden="1" s="27">
      <c r="A98" s="47" t="inlineStr">
        <is>
          <t>핀다이렉트</t>
        </is>
      </c>
      <c r="B98" s="47" t="inlineStr">
        <is>
          <t>[모요only] [K] 핀다이렉트Z Max (100GB)(12) _PIN</t>
        </is>
      </c>
      <c r="C98" s="47" t="inlineStr">
        <is>
          <t>무제한</t>
        </is>
      </c>
      <c r="D98" s="47" t="inlineStr">
        <is>
          <t>무제한</t>
        </is>
      </c>
      <c r="E98" s="47" t="inlineStr">
        <is>
          <t>월 100GB + 5Mbps</t>
        </is>
      </c>
      <c r="F98" s="47" t="inlineStr">
        <is>
          <t>KT</t>
        </is>
      </c>
      <c r="G98" s="47" t="inlineStr">
        <is>
          <t>LTE</t>
        </is>
      </c>
      <c r="H98" s="48" t="n">
        <v>22500</v>
      </c>
      <c r="I98" s="48" t="n">
        <v>12</v>
      </c>
      <c r="J98" s="48" t="n">
        <v>42900</v>
      </c>
      <c r="K98" s="47">
        <f t="array" ref="K98">_xlfn.XLOOKUP(1,(참조!$B$2:$B$15=E98)*(참조!$D$2:$D$15=C98)*(참조!$E$2:$E$15=D98),참조!$C$2:$C$15,"")</f>
        <v/>
      </c>
    </row>
    <row r="99" hidden="1" s="27">
      <c r="A99" s="47" t="inlineStr">
        <is>
          <t>티플러스</t>
        </is>
      </c>
      <c r="B99" s="47" t="inlineStr">
        <is>
          <t>가성비플러스(6GB/350분)</t>
        </is>
      </c>
      <c r="C99" s="47" t="inlineStr">
        <is>
          <t>350분</t>
        </is>
      </c>
      <c r="D99" s="47" t="inlineStr">
        <is>
          <t>100건</t>
        </is>
      </c>
      <c r="E99" s="47" t="inlineStr">
        <is>
          <t>월 6GB</t>
        </is>
      </c>
      <c r="F99" s="47" t="inlineStr">
        <is>
          <t>LG U+</t>
        </is>
      </c>
      <c r="G99" s="47" t="inlineStr">
        <is>
          <t>LTE</t>
        </is>
      </c>
      <c r="H99" s="48" t="n">
        <v>10</v>
      </c>
      <c r="I99" s="48" t="n">
        <v>12</v>
      </c>
      <c r="J99" s="48" t="n">
        <v>9900</v>
      </c>
      <c r="K99" s="47">
        <f t="array" ref="K99">_xlfn.XLOOKUP(1,(참조!$B$2:$B$15=E99)*(참조!$D$2:$D$15=C99)*(참조!$E$2:$E$15=D99),참조!$C$2:$C$15,"")</f>
        <v/>
      </c>
    </row>
    <row r="100" hidden="1" s="27">
      <c r="A100" s="47" t="inlineStr">
        <is>
          <t>인스모바일</t>
        </is>
      </c>
      <c r="B100" s="47" t="inlineStr">
        <is>
          <t>[평생할인]실속 150분+1GB(USIM)</t>
        </is>
      </c>
      <c r="C100" s="47" t="inlineStr">
        <is>
          <t>150분</t>
        </is>
      </c>
      <c r="D100" s="47" t="inlineStr">
        <is>
          <t>50건</t>
        </is>
      </c>
      <c r="E100" s="47" t="inlineStr">
        <is>
          <t>월 1GB</t>
        </is>
      </c>
      <c r="F100" s="47" t="inlineStr">
        <is>
          <t>LG U+</t>
        </is>
      </c>
      <c r="G100" s="47" t="inlineStr">
        <is>
          <t>LTE</t>
        </is>
      </c>
      <c r="H100" s="48" t="n">
        <v>2530</v>
      </c>
      <c r="I100" s="48" t="n"/>
      <c r="J100" s="48" t="n"/>
      <c r="K100" s="47">
        <f t="array" ref="K100">_xlfn.XLOOKUP(1,(참조!$B$2:$B$15=E100)*(참조!$D$2:$D$15=C100)*(참조!$E$2:$E$15=D100),참조!$C$2:$C$15,"")</f>
        <v/>
      </c>
    </row>
    <row r="101" hidden="1" s="27">
      <c r="A101" s="47" t="inlineStr">
        <is>
          <t>인스모바일</t>
        </is>
      </c>
      <c r="B101" s="47" t="inlineStr">
        <is>
          <t>데이터 안심 10GB+(USIM)</t>
        </is>
      </c>
      <c r="C101" s="47" t="inlineStr">
        <is>
          <t>100분</t>
        </is>
      </c>
      <c r="D101" s="47" t="inlineStr">
        <is>
          <t>100건</t>
        </is>
      </c>
      <c r="E101" s="47" t="inlineStr">
        <is>
          <t>월 10GB + 1Mbps</t>
        </is>
      </c>
      <c r="F101" s="47" t="inlineStr">
        <is>
          <t>LG U+</t>
        </is>
      </c>
      <c r="G101" s="47" t="inlineStr">
        <is>
          <t>LTE</t>
        </is>
      </c>
      <c r="H101" s="48" t="n">
        <v>10</v>
      </c>
      <c r="I101" s="48" t="n">
        <v>6</v>
      </c>
      <c r="J101" s="48" t="n">
        <v>31900</v>
      </c>
      <c r="K101" s="47">
        <f t="array" ref="K101">_xlfn.XLOOKUP(1,(참조!$B$2:$B$15=E101)*(참조!$D$2:$D$15=C101)*(참조!$E$2:$E$15=D101),참조!$C$2:$C$15,"")</f>
        <v/>
      </c>
    </row>
    <row r="102" hidden="1" s="27">
      <c r="A102" s="47" t="inlineStr">
        <is>
          <t>슈가모바일</t>
        </is>
      </c>
      <c r="B102" s="47" t="inlineStr">
        <is>
          <t>5G 슈가X윌라 150G+</t>
        </is>
      </c>
      <c r="C102" s="47" t="inlineStr">
        <is>
          <t>무제한</t>
        </is>
      </c>
      <c r="D102" s="47" t="inlineStr">
        <is>
          <t>무제한</t>
        </is>
      </c>
      <c r="E102" s="47" t="inlineStr">
        <is>
          <t>월 150GB + 5Mbps</t>
        </is>
      </c>
      <c r="F102" s="47" t="inlineStr">
        <is>
          <t>LG U+</t>
        </is>
      </c>
      <c r="G102" s="47" t="inlineStr">
        <is>
          <t>5G</t>
        </is>
      </c>
      <c r="H102" s="48" t="n">
        <v>25500</v>
      </c>
      <c r="I102" s="48" t="n">
        <v>24</v>
      </c>
      <c r="J102" s="48" t="n">
        <v>57990</v>
      </c>
      <c r="K102" s="47">
        <f t="array" ref="K102">_xlfn.XLOOKUP(1,(참조!$B$2:$B$15=E102)*(참조!$D$2:$D$15=C102)*(참조!$E$2:$E$15=D102),참조!$C$2:$C$15,"")</f>
        <v/>
      </c>
    </row>
    <row r="103" hidden="1" s="27">
      <c r="A103" s="47" t="inlineStr">
        <is>
          <t>더원모바일</t>
        </is>
      </c>
      <c r="B103" s="47" t="inlineStr">
        <is>
          <t>ONE 5G 30GB 기본</t>
        </is>
      </c>
      <c r="C103" s="47" t="inlineStr">
        <is>
          <t>무제한</t>
        </is>
      </c>
      <c r="D103" s="47" t="inlineStr">
        <is>
          <t>무제한</t>
        </is>
      </c>
      <c r="E103" s="47" t="inlineStr">
        <is>
          <t>월 30GB</t>
        </is>
      </c>
      <c r="F103" s="47" t="inlineStr">
        <is>
          <t>KT</t>
        </is>
      </c>
      <c r="G103" s="47" t="inlineStr">
        <is>
          <t>5G</t>
        </is>
      </c>
      <c r="H103" s="48" t="n">
        <v>8030</v>
      </c>
      <c r="I103" s="48" t="n">
        <v>12</v>
      </c>
      <c r="J103" s="48" t="n">
        <v>39600</v>
      </c>
      <c r="K103" s="47">
        <f t="array" ref="K103">_xlfn.XLOOKUP(1,(참조!$B$2:$B$15=E103)*(참조!$D$2:$D$15=C103)*(참조!$E$2:$E$15=D103),참조!$C$2:$C$15,"")</f>
        <v/>
      </c>
    </row>
    <row r="104" hidden="1" s="27">
      <c r="A104" s="47" t="inlineStr">
        <is>
          <t>KG모바일</t>
        </is>
      </c>
      <c r="B104" s="47" t="inlineStr">
        <is>
          <t>[평생할인] 데이터 마음대로 (5GB+/100분)</t>
        </is>
      </c>
      <c r="C104" s="47" t="inlineStr">
        <is>
          <t>100분</t>
        </is>
      </c>
      <c r="D104" s="47" t="inlineStr">
        <is>
          <t>100건</t>
        </is>
      </c>
      <c r="E104" s="47" t="inlineStr">
        <is>
          <t>월 5GB + 1Mbps</t>
        </is>
      </c>
      <c r="F104" s="47" t="inlineStr">
        <is>
          <t>LG U+</t>
        </is>
      </c>
      <c r="G104" s="47" t="inlineStr">
        <is>
          <t>LTE</t>
        </is>
      </c>
      <c r="H104" s="48" t="n">
        <v>2900</v>
      </c>
      <c r="I104" s="48" t="n"/>
      <c r="J104" s="48" t="n"/>
      <c r="K104" s="47">
        <f t="array" ref="K104">_xlfn.XLOOKUP(1,(참조!$B$2:$B$15=E104)*(참조!$D$2:$D$15=C104)*(참조!$E$2:$E$15=D104),참조!$C$2:$C$15,"")</f>
        <v/>
      </c>
    </row>
    <row r="105" hidden="1" s="27">
      <c r="A105" s="47" t="inlineStr">
        <is>
          <t>인스모바일</t>
        </is>
      </c>
      <c r="B105" s="47" t="inlineStr">
        <is>
          <t>올프리 4.5GB+(USIM)</t>
        </is>
      </c>
      <c r="C105" s="47" t="inlineStr">
        <is>
          <t>무제한</t>
        </is>
      </c>
      <c r="D105" s="47" t="inlineStr">
        <is>
          <t>무제한</t>
        </is>
      </c>
      <c r="E105" s="47" t="inlineStr">
        <is>
          <t>월 4.5GB + 1Mbps</t>
        </is>
      </c>
      <c r="F105" s="47" t="inlineStr">
        <is>
          <t>LG U+</t>
        </is>
      </c>
      <c r="G105" s="47" t="inlineStr">
        <is>
          <t>LTE</t>
        </is>
      </c>
      <c r="H105" s="48" t="n">
        <v>10</v>
      </c>
      <c r="I105" s="48" t="n">
        <v>6</v>
      </c>
      <c r="J105" s="48" t="n">
        <v>22000</v>
      </c>
      <c r="K105" s="47">
        <f t="array" ref="K105">_xlfn.XLOOKUP(1,(참조!$B$2:$B$15=E105)*(참조!$D$2:$D$15=C105)*(참조!$E$2:$E$15=D105),참조!$C$2:$C$15,"")</f>
        <v/>
      </c>
    </row>
    <row r="106" hidden="1" s="27">
      <c r="A106" s="47" t="inlineStr">
        <is>
          <t>더원모바일</t>
        </is>
      </c>
      <c r="B106" s="47" t="inlineStr">
        <is>
          <t>TOP 11GB 기본 (네이버페이)</t>
        </is>
      </c>
      <c r="C106" s="47" t="inlineStr">
        <is>
          <t>무제한</t>
        </is>
      </c>
      <c r="D106" s="47" t="inlineStr">
        <is>
          <t>무제한</t>
        </is>
      </c>
      <c r="E106" s="47" t="inlineStr">
        <is>
          <t>월 11GB + 매일 2GB + 3Mbps</t>
        </is>
      </c>
      <c r="F106" s="47" t="inlineStr">
        <is>
          <t>KT</t>
        </is>
      </c>
      <c r="G106" s="47" t="inlineStr">
        <is>
          <t>LTE</t>
        </is>
      </c>
      <c r="H106" s="48" t="n">
        <v>9900</v>
      </c>
      <c r="I106" s="48" t="n">
        <v>7</v>
      </c>
      <c r="J106" s="48" t="n">
        <v>40700</v>
      </c>
      <c r="K106" s="47">
        <f t="array" ref="K106">_xlfn.XLOOKUP(1,(참조!$B$2:$B$15=E106)*(참조!$D$2:$D$15=C106)*(참조!$E$2:$E$15=D106),참조!$C$2:$C$15,"")</f>
        <v/>
      </c>
    </row>
    <row r="107" hidden="1" s="27">
      <c r="A107" s="47" t="inlineStr">
        <is>
          <t>티플러스</t>
        </is>
      </c>
      <c r="B107" s="47" t="inlineStr">
        <is>
          <t>5G 가성비플러스(30GB/350분)_12개월할인</t>
        </is>
      </c>
      <c r="C107" s="47" t="inlineStr">
        <is>
          <t>350분</t>
        </is>
      </c>
      <c r="D107" s="47" t="inlineStr">
        <is>
          <t>100건</t>
        </is>
      </c>
      <c r="E107" s="47" t="inlineStr">
        <is>
          <t>월 30GB</t>
        </is>
      </c>
      <c r="F107" s="47" t="inlineStr">
        <is>
          <t>KT</t>
        </is>
      </c>
      <c r="G107" s="47" t="inlineStr">
        <is>
          <t>5G</t>
        </is>
      </c>
      <c r="H107" s="48" t="n">
        <v>10900</v>
      </c>
      <c r="I107" s="48" t="n">
        <v>12</v>
      </c>
      <c r="J107" s="48" t="n">
        <v>39600</v>
      </c>
      <c r="K107" s="47">
        <f t="array" ref="K107">_xlfn.XLOOKUP(1,(참조!$B$2:$B$15=E107)*(참조!$D$2:$D$15=C107)*(참조!$E$2:$E$15=D107),참조!$C$2:$C$15,"")</f>
        <v/>
      </c>
    </row>
    <row r="108" hidden="1" s="27">
      <c r="A108" s="47" t="inlineStr">
        <is>
          <t>티플러스</t>
        </is>
      </c>
      <c r="B108" s="47" t="inlineStr">
        <is>
          <t>5G 가성비플러스(10GB/350분)</t>
        </is>
      </c>
      <c r="C108" s="47" t="inlineStr">
        <is>
          <t>350분</t>
        </is>
      </c>
      <c r="D108" s="47" t="inlineStr">
        <is>
          <t>100건</t>
        </is>
      </c>
      <c r="E108" s="47" t="inlineStr">
        <is>
          <t>월 10GB</t>
        </is>
      </c>
      <c r="F108" s="47" t="inlineStr">
        <is>
          <t>LG U+</t>
        </is>
      </c>
      <c r="G108" s="47" t="inlineStr">
        <is>
          <t>5G</t>
        </is>
      </c>
      <c r="H108" s="48" t="n">
        <v>10</v>
      </c>
      <c r="I108" s="48" t="n">
        <v>6</v>
      </c>
      <c r="J108" s="48" t="n">
        <v>15400</v>
      </c>
      <c r="K108" s="47">
        <f t="array" ref="K108">_xlfn.XLOOKUP(1,(참조!$B$2:$B$15=E108)*(참조!$D$2:$D$15=C108)*(참조!$E$2:$E$15=D108),참조!$C$2:$C$15,"")</f>
        <v/>
      </c>
    </row>
    <row r="109" hidden="1" s="27">
      <c r="A109" s="47" t="inlineStr">
        <is>
          <t>찬스모바일</t>
        </is>
      </c>
      <c r="B109" s="47" t="inlineStr">
        <is>
          <t>음성기본 11GB+일 2GB+</t>
        </is>
      </c>
      <c r="C109" s="47" t="inlineStr">
        <is>
          <t>무제한</t>
        </is>
      </c>
      <c r="D109" s="47" t="inlineStr">
        <is>
          <t>무제한</t>
        </is>
      </c>
      <c r="E109" s="47" t="inlineStr">
        <is>
          <t>월 11GB + 매일 2GB + 3Mbps</t>
        </is>
      </c>
      <c r="F109" s="47" t="inlineStr">
        <is>
          <t>LG U+</t>
        </is>
      </c>
      <c r="G109" s="47" t="inlineStr">
        <is>
          <t>LTE</t>
        </is>
      </c>
      <c r="H109" s="48" t="n">
        <v>21698</v>
      </c>
      <c r="I109" s="48" t="n">
        <v>12</v>
      </c>
      <c r="J109" s="48" t="n">
        <v>39600</v>
      </c>
      <c r="K109" s="47">
        <f t="array" ref="K109">_xlfn.XLOOKUP(1,(참조!$B$2:$B$15=E109)*(참조!$D$2:$D$15=C109)*(참조!$E$2:$E$15=D109),참조!$C$2:$C$15,"")</f>
        <v/>
      </c>
    </row>
    <row r="110" hidden="1" s="27">
      <c r="A110" s="47" t="inlineStr">
        <is>
          <t>핀다이렉트</t>
        </is>
      </c>
      <c r="B110" s="47" t="inlineStr">
        <is>
          <t>[모요only] [K] 핀다이렉트Z Max (100GB) _PIN</t>
        </is>
      </c>
      <c r="C110" s="47" t="inlineStr">
        <is>
          <t>무제한</t>
        </is>
      </c>
      <c r="D110" s="47" t="inlineStr">
        <is>
          <t>무제한</t>
        </is>
      </c>
      <c r="E110" s="47" t="inlineStr">
        <is>
          <t>월 100GB + 5Mbps</t>
        </is>
      </c>
      <c r="F110" s="47" t="inlineStr">
        <is>
          <t>KT</t>
        </is>
      </c>
      <c r="G110" s="47" t="inlineStr">
        <is>
          <t>LTE</t>
        </is>
      </c>
      <c r="H110" s="48" t="n">
        <v>9900</v>
      </c>
      <c r="I110" s="48" t="n">
        <v>7</v>
      </c>
      <c r="J110" s="48" t="n">
        <v>42900</v>
      </c>
      <c r="K110" s="47">
        <f t="array" ref="K110">_xlfn.XLOOKUP(1,(참조!$B$2:$B$15=E110)*(참조!$D$2:$D$15=C110)*(참조!$E$2:$E$15=D110),참조!$C$2:$C$15,"")</f>
        <v/>
      </c>
    </row>
    <row r="111" hidden="1" s="27">
      <c r="A111" s="47" t="inlineStr">
        <is>
          <t>이야기모바일</t>
        </is>
      </c>
      <c r="B111" s="47" t="inlineStr">
        <is>
          <t>이야기 라이트 4.5GB+</t>
        </is>
      </c>
      <c r="C111" s="47" t="inlineStr">
        <is>
          <t>무제한</t>
        </is>
      </c>
      <c r="D111" s="47" t="inlineStr">
        <is>
          <t>무제한</t>
        </is>
      </c>
      <c r="E111" s="47" t="inlineStr">
        <is>
          <t>월 4.5GB + 1Mbps</t>
        </is>
      </c>
      <c r="F111" s="47" t="inlineStr">
        <is>
          <t>LG U+</t>
        </is>
      </c>
      <c r="G111" s="47" t="inlineStr">
        <is>
          <t>LTE</t>
        </is>
      </c>
      <c r="H111" s="48" t="n">
        <v>10</v>
      </c>
      <c r="I111" s="48" t="n">
        <v>6</v>
      </c>
      <c r="J111" s="48" t="n">
        <v>18700</v>
      </c>
      <c r="K111" s="47">
        <f t="array" ref="K111">_xlfn.XLOOKUP(1,(참조!$B$2:$B$15=E111)*(참조!$D$2:$D$15=C111)*(참조!$E$2:$E$15=D111),참조!$C$2:$C$15,"")</f>
        <v/>
      </c>
    </row>
    <row r="112" hidden="1" s="27">
      <c r="A112" s="47" t="inlineStr">
        <is>
          <t>인스모바일</t>
        </is>
      </c>
      <c r="B112" s="47" t="inlineStr">
        <is>
          <t>인스 유심 스트롱 100GB+</t>
        </is>
      </c>
      <c r="C112" s="47" t="inlineStr">
        <is>
          <t>무제한</t>
        </is>
      </c>
      <c r="D112" s="47" t="inlineStr">
        <is>
          <t>무제한</t>
        </is>
      </c>
      <c r="E112" s="47" t="inlineStr">
        <is>
          <t>월 100GB + 5Mbps</t>
        </is>
      </c>
      <c r="F112" s="47" t="inlineStr">
        <is>
          <t>LG U+</t>
        </is>
      </c>
      <c r="G112" s="47" t="inlineStr">
        <is>
          <t>LTE</t>
        </is>
      </c>
      <c r="H112" s="48" t="n">
        <v>9600</v>
      </c>
      <c r="I112" s="48" t="n">
        <v>7</v>
      </c>
      <c r="J112" s="48" t="n">
        <v>47000</v>
      </c>
      <c r="K112" s="47">
        <f t="array" ref="K112">_xlfn.XLOOKUP(1,(참조!$B$2:$B$15=E112)*(참조!$D$2:$D$15=C112)*(참조!$E$2:$E$15=D112),참조!$C$2:$C$15,"")</f>
        <v/>
      </c>
    </row>
    <row r="113" hidden="1" s="27">
      <c r="A113" s="47" t="inlineStr">
        <is>
          <t>인스모바일</t>
        </is>
      </c>
      <c r="B113" s="47" t="inlineStr">
        <is>
          <t>인스 유심 스피드(5G) 음성200분+7GB</t>
        </is>
      </c>
      <c r="C113" s="47" t="inlineStr">
        <is>
          <t>200분</t>
        </is>
      </c>
      <c r="D113" s="47" t="inlineStr">
        <is>
          <t>100건</t>
        </is>
      </c>
      <c r="E113" s="47" t="inlineStr">
        <is>
          <t>월 7GB</t>
        </is>
      </c>
      <c r="F113" s="47" t="inlineStr">
        <is>
          <t>LG U+</t>
        </is>
      </c>
      <c r="G113" s="47" t="inlineStr">
        <is>
          <t>5G</t>
        </is>
      </c>
      <c r="H113" s="48" t="n">
        <v>10</v>
      </c>
      <c r="I113" s="48" t="n">
        <v>6</v>
      </c>
      <c r="J113" s="48" t="n">
        <v>28600</v>
      </c>
      <c r="K113" s="47">
        <f t="array" ref="K113">_xlfn.XLOOKUP(1,(참조!$B$2:$B$15=E113)*(참조!$D$2:$D$15=C113)*(참조!$E$2:$E$15=D113),참조!$C$2:$C$15,"")</f>
        <v/>
      </c>
    </row>
    <row r="114" hidden="1" s="27">
      <c r="A114" s="47" t="inlineStr">
        <is>
          <t>찬스모바일</t>
        </is>
      </c>
      <c r="B114" s="47" t="inlineStr">
        <is>
          <t>[CHM] 음성 100분 5GB+</t>
        </is>
      </c>
      <c r="C114" s="47" t="inlineStr">
        <is>
          <t>100분</t>
        </is>
      </c>
      <c r="D114" s="47" t="inlineStr">
        <is>
          <t>100건</t>
        </is>
      </c>
      <c r="E114" s="47" t="inlineStr">
        <is>
          <t>월 5GB + 1Mbps</t>
        </is>
      </c>
      <c r="F114" s="47" t="inlineStr">
        <is>
          <t>LG U+</t>
        </is>
      </c>
      <c r="G114" s="47" t="inlineStr">
        <is>
          <t>LTE</t>
        </is>
      </c>
      <c r="H114" s="48" t="n">
        <v>10</v>
      </c>
      <c r="I114" s="48" t="n">
        <v>6</v>
      </c>
      <c r="J114" s="48" t="n">
        <v>15400</v>
      </c>
      <c r="K114" s="47">
        <f t="array" ref="K114">_xlfn.XLOOKUP(1,(참조!$B$2:$B$15=E114)*(참조!$D$2:$D$15=C114)*(참조!$E$2:$E$15=D114),참조!$C$2:$C$15,"")</f>
        <v/>
      </c>
    </row>
    <row r="115" hidden="1" s="27">
      <c r="A115" s="47" t="inlineStr">
        <is>
          <t>슈가모바일</t>
        </is>
      </c>
      <c r="B115" s="47" t="inlineStr">
        <is>
          <t>5G Sugar 실속(300분/15GB)</t>
        </is>
      </c>
      <c r="C115" s="47" t="inlineStr">
        <is>
          <t>300분</t>
        </is>
      </c>
      <c r="D115" s="47" t="inlineStr">
        <is>
          <t>200건</t>
        </is>
      </c>
      <c r="E115" s="47" t="inlineStr">
        <is>
          <t>월 15GB</t>
        </is>
      </c>
      <c r="F115" s="47" t="inlineStr">
        <is>
          <t>LG U+</t>
        </is>
      </c>
      <c r="G115" s="47" t="inlineStr">
        <is>
          <t>5G</t>
        </is>
      </c>
      <c r="H115" s="48" t="n">
        <v>7700</v>
      </c>
      <c r="I115" s="48" t="n"/>
      <c r="J115" s="48" t="n"/>
      <c r="K115" s="47">
        <f t="array" ref="K115">_xlfn.XLOOKUP(1,(참조!$B$2:$B$15=E115)*(참조!$D$2:$D$15=C115)*(참조!$E$2:$E$15=D115),참조!$C$2:$C$15,"")</f>
        <v/>
      </c>
    </row>
    <row r="116" hidden="1" s="27">
      <c r="A116" s="47" t="inlineStr">
        <is>
          <t>KT엠모바일</t>
        </is>
      </c>
      <c r="B116" s="47" t="inlineStr">
        <is>
          <t>통화 맘껏 20GB</t>
        </is>
      </c>
      <c r="C116" s="47" t="inlineStr">
        <is>
          <t>무제한</t>
        </is>
      </c>
      <c r="D116" s="47" t="inlineStr">
        <is>
          <t>무제한</t>
        </is>
      </c>
      <c r="E116" s="47" t="inlineStr">
        <is>
          <t>월 20GB</t>
        </is>
      </c>
      <c r="F116" s="47" t="inlineStr">
        <is>
          <t>KT</t>
        </is>
      </c>
      <c r="G116" s="47" t="inlineStr">
        <is>
          <t>LTE</t>
        </is>
      </c>
      <c r="H116" s="48" t="n">
        <v>14400</v>
      </c>
      <c r="I116" s="48" t="n"/>
      <c r="J116" s="48" t="n"/>
      <c r="K116" s="47">
        <f t="array" ref="K116">_xlfn.XLOOKUP(1,(참조!$B$2:$B$15=E116)*(참조!$D$2:$D$15=C116)*(참조!$E$2:$E$15=D116),참조!$C$2:$C$15,"")</f>
        <v/>
      </c>
    </row>
    <row r="117" hidden="1" s="27">
      <c r="A117" s="47" t="inlineStr">
        <is>
          <t>슈가모바일</t>
        </is>
      </c>
      <c r="B117" s="47" t="inlineStr">
        <is>
          <t>Sugar 7GB+1Mbps(R)</t>
        </is>
      </c>
      <c r="C117" s="47" t="inlineStr">
        <is>
          <t>1,000분</t>
        </is>
      </c>
      <c r="D117" s="47" t="inlineStr">
        <is>
          <t>200건</t>
        </is>
      </c>
      <c r="E117" s="47" t="inlineStr">
        <is>
          <t>월 7GB + 1Mbps</t>
        </is>
      </c>
      <c r="F117" s="47" t="inlineStr">
        <is>
          <t>LG U+</t>
        </is>
      </c>
      <c r="G117" s="47" t="inlineStr">
        <is>
          <t>LTE</t>
        </is>
      </c>
      <c r="H117" s="48" t="n">
        <v>500</v>
      </c>
      <c r="I117" s="48" t="n">
        <v>6</v>
      </c>
      <c r="J117" s="48" t="n">
        <v>24200</v>
      </c>
      <c r="K117" s="47">
        <f t="array" ref="K117">_xlfn.XLOOKUP(1,(참조!$B$2:$B$15=E117)*(참조!$D$2:$D$15=C117)*(참조!$E$2:$E$15=D117),참조!$C$2:$C$15,"")</f>
        <v/>
      </c>
    </row>
    <row r="118" hidden="1" s="27">
      <c r="A118" s="47" t="inlineStr">
        <is>
          <t>티플러스</t>
        </is>
      </c>
      <c r="B118" s="47" t="inlineStr">
        <is>
          <t>티플 데이터마음껏10G(100분)</t>
        </is>
      </c>
      <c r="C118" s="47" t="inlineStr">
        <is>
          <t>100분</t>
        </is>
      </c>
      <c r="D118" s="47" t="inlineStr">
        <is>
          <t>100건</t>
        </is>
      </c>
      <c r="E118" s="47" t="inlineStr">
        <is>
          <t>월 10GB + 1Mbps</t>
        </is>
      </c>
      <c r="F118" s="47" t="inlineStr">
        <is>
          <t>LG U+</t>
        </is>
      </c>
      <c r="G118" s="47" t="inlineStr">
        <is>
          <t>LTE</t>
        </is>
      </c>
      <c r="H118" s="48" t="n">
        <v>10</v>
      </c>
      <c r="I118" s="48" t="n">
        <v>6</v>
      </c>
      <c r="J118" s="48" t="n">
        <v>17500</v>
      </c>
      <c r="K118" s="47">
        <f t="array" ref="K118">_xlfn.XLOOKUP(1,(참조!$B$2:$B$15=E118)*(참조!$D$2:$D$15=C118)*(참조!$E$2:$E$15=D118),참조!$C$2:$C$15,"")</f>
        <v/>
      </c>
    </row>
    <row r="119" hidden="1" s="27">
      <c r="A119" s="47" t="inlineStr">
        <is>
          <t>슈가모바일</t>
        </is>
      </c>
      <c r="B119" s="47" t="inlineStr">
        <is>
          <t>5G 슈가(Sugar)통화마음대로 150GB++</t>
        </is>
      </c>
      <c r="C119" s="47" t="inlineStr">
        <is>
          <t>무제한</t>
        </is>
      </c>
      <c r="D119" s="47" t="inlineStr">
        <is>
          <t>무제한</t>
        </is>
      </c>
      <c r="E119" s="47" t="inlineStr">
        <is>
          <t>월 150GB + 5Mbps</t>
        </is>
      </c>
      <c r="F119" s="47" t="inlineStr">
        <is>
          <t>LG U+</t>
        </is>
      </c>
      <c r="G119" s="47" t="inlineStr">
        <is>
          <t>5G</t>
        </is>
      </c>
      <c r="H119" s="48" t="n">
        <v>28700</v>
      </c>
      <c r="I119" s="48" t="n"/>
      <c r="J119" s="48" t="n"/>
      <c r="K119" s="47">
        <f t="array" ref="K119">_xlfn.XLOOKUP(1,(참조!$B$2:$B$15=E119)*(참조!$D$2:$D$15=C119)*(참조!$E$2:$E$15=D119),참조!$C$2:$C$15,"")</f>
        <v/>
      </c>
    </row>
    <row r="120" hidden="1" s="27">
      <c r="A120" s="47" t="inlineStr">
        <is>
          <t>티플러스</t>
        </is>
      </c>
      <c r="B120" s="47" t="inlineStr">
        <is>
          <t>KT 11GB+ (CU 매월 20%+올리브영 매월 5천원 상품권!)</t>
        </is>
      </c>
      <c r="C120" s="47" t="inlineStr">
        <is>
          <t>무제한</t>
        </is>
      </c>
      <c r="D120" s="47" t="inlineStr">
        <is>
          <t>무제한</t>
        </is>
      </c>
      <c r="E120" s="47" t="inlineStr">
        <is>
          <t>월 11GB + 매일 2GB + 3Mbps</t>
        </is>
      </c>
      <c r="F120" s="47" t="inlineStr">
        <is>
          <t>KT</t>
        </is>
      </c>
      <c r="G120" s="47" t="inlineStr">
        <is>
          <t>LTE</t>
        </is>
      </c>
      <c r="H120" s="48" t="n">
        <v>7900</v>
      </c>
      <c r="I120" s="48" t="n">
        <v>7</v>
      </c>
      <c r="J120" s="48" t="n">
        <v>44000</v>
      </c>
      <c r="K120" s="47">
        <f t="array" ref="K120">_xlfn.XLOOKUP(1,(참조!$B$2:$B$15=E120)*(참조!$D$2:$D$15=C120)*(참조!$E$2:$E$15=D120),참조!$C$2:$C$15,"")</f>
        <v/>
      </c>
    </row>
    <row r="121" hidden="1" s="27">
      <c r="A121" s="47" t="inlineStr">
        <is>
          <t>KG모바일</t>
        </is>
      </c>
      <c r="B121" s="47" t="inlineStr">
        <is>
          <t>[평생할인] 데이터 마음대로 (10GB+/100분)</t>
        </is>
      </c>
      <c r="C121" s="47" t="inlineStr">
        <is>
          <t>100분</t>
        </is>
      </c>
      <c r="D121" s="47" t="inlineStr">
        <is>
          <t>100건</t>
        </is>
      </c>
      <c r="E121" s="47" t="inlineStr">
        <is>
          <t>월 10GB + 1Mbps</t>
        </is>
      </c>
      <c r="F121" s="47" t="inlineStr">
        <is>
          <t>LG U+</t>
        </is>
      </c>
      <c r="G121" s="47" t="inlineStr">
        <is>
          <t>LTE</t>
        </is>
      </c>
      <c r="H121" s="48" t="n">
        <v>5700</v>
      </c>
      <c r="I121" s="48" t="n"/>
      <c r="J121" s="48" t="n"/>
      <c r="K121" s="47">
        <f t="array" ref="K121">_xlfn.XLOOKUP(1,(참조!$B$2:$B$15=E121)*(참조!$D$2:$D$15=C121)*(참조!$E$2:$E$15=D121),참조!$C$2:$C$15,"")</f>
        <v/>
      </c>
    </row>
    <row r="122" hidden="1" s="27">
      <c r="A122" s="47" t="inlineStr">
        <is>
          <t>티플러스</t>
        </is>
      </c>
      <c r="B122" s="47" t="inlineStr">
        <is>
          <t>5G 가성비플러스(10GB/350분)_평생요금</t>
        </is>
      </c>
      <c r="C122" s="47" t="inlineStr">
        <is>
          <t>350분</t>
        </is>
      </c>
      <c r="D122" s="47" t="inlineStr">
        <is>
          <t>100건</t>
        </is>
      </c>
      <c r="E122" s="47" t="inlineStr">
        <is>
          <t>월 10GB</t>
        </is>
      </c>
      <c r="F122" s="47" t="inlineStr">
        <is>
          <t>KT</t>
        </is>
      </c>
      <c r="G122" s="47" t="inlineStr">
        <is>
          <t>5G</t>
        </is>
      </c>
      <c r="H122" s="48" t="n">
        <v>4500</v>
      </c>
      <c r="I122" s="48" t="n"/>
      <c r="J122" s="48" t="n"/>
      <c r="K122" s="47">
        <f t="array" ref="K122">_xlfn.XLOOKUP(1,(참조!$B$2:$B$15=E122)*(참조!$D$2:$D$15=C122)*(참조!$E$2:$E$15=D122),참조!$C$2:$C$15,"")</f>
        <v/>
      </c>
    </row>
    <row r="123" hidden="1" s="27">
      <c r="A123" s="47" t="inlineStr">
        <is>
          <t>더원모바일</t>
        </is>
      </c>
      <c r="B123" s="47" t="inlineStr">
        <is>
          <t>TOP 15GB 기본 (밀리의서재)</t>
        </is>
      </c>
      <c r="C123" s="47" t="inlineStr">
        <is>
          <t>무제한</t>
        </is>
      </c>
      <c r="D123" s="47" t="inlineStr">
        <is>
          <t>무제한</t>
        </is>
      </c>
      <c r="E123" s="47" t="inlineStr">
        <is>
          <t>월 15GB + 1Mbps</t>
        </is>
      </c>
      <c r="F123" s="47" t="inlineStr">
        <is>
          <t>KT</t>
        </is>
      </c>
      <c r="G123" s="47" t="inlineStr">
        <is>
          <t>LTE</t>
        </is>
      </c>
      <c r="H123" s="48" t="n">
        <v>5500</v>
      </c>
      <c r="I123" s="48" t="n">
        <v>7</v>
      </c>
      <c r="J123" s="48" t="n">
        <v>29700</v>
      </c>
      <c r="K123" s="47">
        <f t="array" ref="K123">_xlfn.XLOOKUP(1,(참조!$B$2:$B$15=E123)*(참조!$D$2:$D$15=C123)*(참조!$E$2:$E$15=D123),참조!$C$2:$C$15,"")</f>
        <v/>
      </c>
    </row>
    <row r="124" hidden="1" s="27">
      <c r="A124" s="47" t="inlineStr">
        <is>
          <t>모나</t>
        </is>
      </c>
      <c r="B124" s="47" t="inlineStr">
        <is>
          <t>모나500분6G</t>
        </is>
      </c>
      <c r="C124" s="47" t="inlineStr">
        <is>
          <t>500분</t>
        </is>
      </c>
      <c r="D124" s="47" t="inlineStr">
        <is>
          <t>200건</t>
        </is>
      </c>
      <c r="E124" s="47" t="inlineStr">
        <is>
          <t>월 6GB</t>
        </is>
      </c>
      <c r="F124" s="47" t="inlineStr">
        <is>
          <t>LG U+</t>
        </is>
      </c>
      <c r="G124" s="47" t="inlineStr">
        <is>
          <t>LTE</t>
        </is>
      </c>
      <c r="H124" s="48" t="n">
        <v>10</v>
      </c>
      <c r="I124" s="48" t="n">
        <v>10</v>
      </c>
      <c r="J124" s="48" t="n">
        <v>29700</v>
      </c>
      <c r="K124" s="47">
        <f t="array" ref="K124">_xlfn.XLOOKUP(1,(참조!$B$2:$B$15=E124)*(참조!$D$2:$D$15=C124)*(참조!$E$2:$E$15=D124),참조!$C$2:$C$15,"")</f>
        <v/>
      </c>
    </row>
    <row r="125" hidden="1" s="27">
      <c r="A125" s="47" t="inlineStr">
        <is>
          <t>모나</t>
        </is>
      </c>
      <c r="B125" s="47" t="inlineStr">
        <is>
          <t>모나200분5G안심1</t>
        </is>
      </c>
      <c r="C125" s="47" t="inlineStr">
        <is>
          <t>200분</t>
        </is>
      </c>
      <c r="D125" s="47" t="inlineStr">
        <is>
          <t>100건</t>
        </is>
      </c>
      <c r="E125" s="47" t="inlineStr">
        <is>
          <t>월 5GB + 1Mbps</t>
        </is>
      </c>
      <c r="F125" s="47" t="inlineStr">
        <is>
          <t>LG U+</t>
        </is>
      </c>
      <c r="G125" s="47" t="inlineStr">
        <is>
          <t>LTE</t>
        </is>
      </c>
      <c r="H125" s="48" t="n">
        <v>10</v>
      </c>
      <c r="I125" s="48" t="n">
        <v>6</v>
      </c>
      <c r="J125" s="48" t="n">
        <v>24200</v>
      </c>
      <c r="K125" s="47">
        <f t="array" ref="K125">_xlfn.XLOOKUP(1,(참조!$B$2:$B$15=E125)*(참조!$D$2:$D$15=C125)*(참조!$E$2:$E$15=D125),참조!$C$2:$C$15,"")</f>
        <v/>
      </c>
    </row>
    <row r="126" hidden="1" s="27">
      <c r="A126" s="47" t="inlineStr">
        <is>
          <t>KG모바일</t>
        </is>
      </c>
      <c r="B126" s="47" t="inlineStr">
        <is>
          <t>[일반] 데이터 마음대로 (5GB+/100분)_12개월</t>
        </is>
      </c>
      <c r="C126" s="47" t="inlineStr">
        <is>
          <t>100분</t>
        </is>
      </c>
      <c r="D126" s="47" t="inlineStr">
        <is>
          <t>100건</t>
        </is>
      </c>
      <c r="E126" s="47" t="inlineStr">
        <is>
          <t>월 5GB + 1Mbps</t>
        </is>
      </c>
      <c r="F126" s="47" t="inlineStr">
        <is>
          <t>LG U+</t>
        </is>
      </c>
      <c r="G126" s="47" t="inlineStr">
        <is>
          <t>LTE</t>
        </is>
      </c>
      <c r="H126" s="48" t="n">
        <v>1200</v>
      </c>
      <c r="I126" s="48" t="n">
        <v>12</v>
      </c>
      <c r="J126" s="48" t="n">
        <v>17200</v>
      </c>
      <c r="K126" s="47">
        <f t="array" ref="K126">_xlfn.XLOOKUP(1,(참조!$B$2:$B$15=E126)*(참조!$D$2:$D$15=C126)*(참조!$E$2:$E$15=D126),참조!$C$2:$C$15,"")</f>
        <v/>
      </c>
    </row>
    <row r="127" hidden="1" s="27">
      <c r="A127" s="47" t="inlineStr">
        <is>
          <t>KT엠모바일</t>
        </is>
      </c>
      <c r="B127" s="47" t="inlineStr">
        <is>
          <t>5G 모두다 맘껏 안심 20GB+</t>
        </is>
      </c>
      <c r="C127" s="47" t="inlineStr">
        <is>
          <t>무제한</t>
        </is>
      </c>
      <c r="D127" s="47" t="inlineStr">
        <is>
          <t>무제한</t>
        </is>
      </c>
      <c r="E127" s="47" t="inlineStr">
        <is>
          <t>월 20GB + 400Kbps</t>
        </is>
      </c>
      <c r="F127" s="47" t="inlineStr">
        <is>
          <t>KT</t>
        </is>
      </c>
      <c r="G127" s="47" t="inlineStr">
        <is>
          <t>5G</t>
        </is>
      </c>
      <c r="H127" s="48" t="n">
        <v>19900</v>
      </c>
      <c r="I127" s="48" t="n"/>
      <c r="J127" s="48" t="n"/>
      <c r="K127" s="47">
        <f t="array" ref="K127">_xlfn.XLOOKUP(1,(참조!$B$2:$B$15=E127)*(참조!$D$2:$D$15=C127)*(참조!$E$2:$E$15=D127),참조!$C$2:$C$15,"")</f>
        <v/>
      </c>
    </row>
    <row r="128" hidden="1" s="27">
      <c r="A128" s="47" t="inlineStr">
        <is>
          <t>티플러스</t>
        </is>
      </c>
      <c r="B128" s="47" t="inlineStr">
        <is>
          <t>5G 가성비플러스(6GB/350분)</t>
        </is>
      </c>
      <c r="C128" s="47" t="inlineStr">
        <is>
          <t>350분</t>
        </is>
      </c>
      <c r="D128" s="47" t="inlineStr">
        <is>
          <t>100건</t>
        </is>
      </c>
      <c r="E128" s="47" t="inlineStr">
        <is>
          <t>월 6GB</t>
        </is>
      </c>
      <c r="F128" s="47" t="inlineStr">
        <is>
          <t>LG U+</t>
        </is>
      </c>
      <c r="G128" s="47" t="inlineStr">
        <is>
          <t>5G</t>
        </is>
      </c>
      <c r="H128" s="48" t="n">
        <v>10</v>
      </c>
      <c r="I128" s="48" t="n">
        <v>12</v>
      </c>
      <c r="J128" s="48" t="n">
        <v>9900</v>
      </c>
      <c r="K128" s="47">
        <f t="array" ref="K128">_xlfn.XLOOKUP(1,(참조!$B$2:$B$15=E128)*(참조!$D$2:$D$15=C128)*(참조!$E$2:$E$15=D128),참조!$C$2:$C$15,"")</f>
        <v/>
      </c>
    </row>
    <row r="129" hidden="1" s="27">
      <c r="A129" s="47" t="inlineStr">
        <is>
          <t>티플러스</t>
        </is>
      </c>
      <c r="B129" s="47" t="inlineStr">
        <is>
          <t>가성비플러스(15GB/350분)</t>
        </is>
      </c>
      <c r="C129" s="47" t="inlineStr">
        <is>
          <t>350분</t>
        </is>
      </c>
      <c r="D129" s="47" t="inlineStr">
        <is>
          <t>100건</t>
        </is>
      </c>
      <c r="E129" s="47" t="inlineStr">
        <is>
          <t>월 15GB</t>
        </is>
      </c>
      <c r="F129" s="47" t="inlineStr">
        <is>
          <t>SKT</t>
        </is>
      </c>
      <c r="G129" s="47" t="inlineStr">
        <is>
          <t>LTE</t>
        </is>
      </c>
      <c r="H129" s="48" t="n">
        <v>10</v>
      </c>
      <c r="I129" s="48" t="n">
        <v>7</v>
      </c>
      <c r="J129" s="48" t="n">
        <v>22000</v>
      </c>
      <c r="K129" s="47">
        <f t="array" ref="K129">_xlfn.XLOOKUP(1,(참조!$B$2:$B$15=E129)*(참조!$D$2:$D$15=C129)*(참조!$E$2:$E$15=D129),참조!$C$2:$C$15,"")</f>
        <v/>
      </c>
    </row>
    <row r="130" hidden="1" s="27">
      <c r="A130" s="47" t="inlineStr">
        <is>
          <t>슈가모바일</t>
        </is>
      </c>
      <c r="B130" s="47" t="inlineStr">
        <is>
          <t>5G 슈가통화마음대로 95GB+</t>
        </is>
      </c>
      <c r="C130" s="47" t="inlineStr">
        <is>
          <t>무제한</t>
        </is>
      </c>
      <c r="D130" s="47" t="inlineStr">
        <is>
          <t>무제한</t>
        </is>
      </c>
      <c r="E130" s="47" t="inlineStr">
        <is>
          <t>월 95GB + 3Mbps</t>
        </is>
      </c>
      <c r="F130" s="47" t="inlineStr">
        <is>
          <t>LG U+</t>
        </is>
      </c>
      <c r="G130" s="47" t="inlineStr">
        <is>
          <t>5G</t>
        </is>
      </c>
      <c r="H130" s="48" t="n">
        <v>10900</v>
      </c>
      <c r="I130" s="48" t="n">
        <v>7</v>
      </c>
      <c r="J130" s="48" t="n">
        <v>50050</v>
      </c>
      <c r="K130" s="47">
        <f t="array" ref="K130">_xlfn.XLOOKUP(1,(참조!$B$2:$B$15=E130)*(참조!$D$2:$D$15=C130)*(참조!$E$2:$E$15=D130),참조!$C$2:$C$15,"")</f>
        <v/>
      </c>
    </row>
    <row r="131" hidden="1" s="27">
      <c r="A131" s="47" t="inlineStr">
        <is>
          <t>모나</t>
        </is>
      </c>
      <c r="B131" s="47" t="inlineStr">
        <is>
          <t>코나아이데이터15G+(+10G)1M</t>
        </is>
      </c>
      <c r="C131" s="47" t="inlineStr">
        <is>
          <t>무제한</t>
        </is>
      </c>
      <c r="D131" s="47" t="inlineStr">
        <is>
          <t>무제한</t>
        </is>
      </c>
      <c r="E131" s="47" t="inlineStr">
        <is>
          <t>월 25GB + 1Mbps</t>
        </is>
      </c>
      <c r="F131" s="47" t="inlineStr">
        <is>
          <t>LG U+</t>
        </is>
      </c>
      <c r="G131" s="47" t="inlineStr">
        <is>
          <t>LTE</t>
        </is>
      </c>
      <c r="H131" s="48" t="n">
        <v>17990</v>
      </c>
      <c r="I131" s="48" t="n"/>
      <c r="J131" s="48" t="n"/>
      <c r="K131" s="47">
        <f t="array" ref="K131">_xlfn.XLOOKUP(1,(참조!$B$2:$B$15=E131)*(참조!$D$2:$D$15=C131)*(참조!$E$2:$E$15=D131),참조!$C$2:$C$15,"")</f>
        <v/>
      </c>
    </row>
    <row r="132" hidden="1" s="27">
      <c r="A132" s="47" t="inlineStr">
        <is>
          <t>이야기모바일</t>
        </is>
      </c>
      <c r="B132" s="47" t="inlineStr">
        <is>
          <t>함께이야기해S(300분+10GB)</t>
        </is>
      </c>
      <c r="C132" s="47" t="inlineStr">
        <is>
          <t>300분</t>
        </is>
      </c>
      <c r="D132" s="47" t="inlineStr">
        <is>
          <t>100건</t>
        </is>
      </c>
      <c r="E132" s="47" t="inlineStr">
        <is>
          <t>월 10GB</t>
        </is>
      </c>
      <c r="F132" s="47" t="inlineStr">
        <is>
          <t>SKT</t>
        </is>
      </c>
      <c r="G132" s="47" t="inlineStr">
        <is>
          <t>LTE</t>
        </is>
      </c>
      <c r="H132" s="48" t="n">
        <v>3300</v>
      </c>
      <c r="I132" s="48" t="n">
        <v>24</v>
      </c>
      <c r="J132" s="48" t="n">
        <v>9900</v>
      </c>
      <c r="K132" s="47">
        <f t="array" ref="K132">_xlfn.XLOOKUP(1,(참조!$B$2:$B$15=E132)*(참조!$D$2:$D$15=C132)*(참조!$E$2:$E$15=D132),참조!$C$2:$C$15,"")</f>
        <v/>
      </c>
    </row>
    <row r="133" hidden="1" s="27">
      <c r="A133" s="47" t="inlineStr">
        <is>
          <t>KT엠모바일</t>
        </is>
      </c>
      <c r="B133" s="47" t="inlineStr">
        <is>
          <t>5G 데이터 충분 15GB/200분</t>
        </is>
      </c>
      <c r="C133" s="47" t="inlineStr">
        <is>
          <t>200분</t>
        </is>
      </c>
      <c r="D133" s="47" t="inlineStr">
        <is>
          <t>100건</t>
        </is>
      </c>
      <c r="E133" s="47" t="inlineStr">
        <is>
          <t>월 15GB</t>
        </is>
      </c>
      <c r="F133" s="47" t="inlineStr">
        <is>
          <t>KT</t>
        </is>
      </c>
      <c r="G133" s="47" t="inlineStr">
        <is>
          <t>5G</t>
        </is>
      </c>
      <c r="H133" s="48" t="n">
        <v>12400</v>
      </c>
      <c r="I133" s="48" t="n"/>
      <c r="J133" s="48" t="n"/>
      <c r="K133" s="47">
        <f t="array" ref="K133">_xlfn.XLOOKUP(1,(참조!$B$2:$B$15=E133)*(참조!$D$2:$D$15=C133)*(참조!$E$2:$E$15=D133),참조!$C$2:$C$15,"")</f>
        <v/>
      </c>
    </row>
    <row r="134" hidden="1" s="27">
      <c r="A134" s="47" t="inlineStr">
        <is>
          <t>KT엠모바일</t>
        </is>
      </c>
      <c r="B134" s="47" t="inlineStr">
        <is>
          <t>데이터 충분 20GB/100분</t>
        </is>
      </c>
      <c r="C134" s="47" t="inlineStr">
        <is>
          <t>100분</t>
        </is>
      </c>
      <c r="D134" s="47" t="inlineStr">
        <is>
          <t>100건</t>
        </is>
      </c>
      <c r="E134" s="47" t="inlineStr">
        <is>
          <t>월 20GB</t>
        </is>
      </c>
      <c r="F134" s="47" t="inlineStr">
        <is>
          <t>KT</t>
        </is>
      </c>
      <c r="G134" s="47" t="inlineStr">
        <is>
          <t>LTE</t>
        </is>
      </c>
      <c r="H134" s="48" t="n">
        <v>13400</v>
      </c>
      <c r="I134" s="48" t="n"/>
      <c r="J134" s="48" t="n"/>
      <c r="K134" s="47">
        <f t="array" ref="K134">_xlfn.XLOOKUP(1,(참조!$B$2:$B$15=E134)*(참조!$D$2:$D$15=C134)*(참조!$E$2:$E$15=D134),참조!$C$2:$C$15,"")</f>
        <v/>
      </c>
    </row>
    <row r="135" hidden="1" s="27">
      <c r="A135" s="47" t="inlineStr">
        <is>
          <t>티플러스</t>
        </is>
      </c>
      <c r="B135" s="47" t="inlineStr">
        <is>
          <t>티플 일5G＋(밀리의서재＋올리브영 5,000원 상품권)</t>
        </is>
      </c>
      <c r="C135" s="47" t="inlineStr">
        <is>
          <t>무제한</t>
        </is>
      </c>
      <c r="D135" s="47" t="inlineStr">
        <is>
          <t>무제한</t>
        </is>
      </c>
      <c r="E135" s="47" t="inlineStr">
        <is>
          <t>매일 5GB + 5Mbps</t>
        </is>
      </c>
      <c r="F135" s="47" t="inlineStr">
        <is>
          <t>KT</t>
        </is>
      </c>
      <c r="G135" s="47" t="inlineStr">
        <is>
          <t>LTE</t>
        </is>
      </c>
      <c r="H135" s="48" t="n">
        <v>8900</v>
      </c>
      <c r="I135" s="48" t="n">
        <v>7</v>
      </c>
      <c r="J135" s="48" t="n">
        <v>55000</v>
      </c>
      <c r="K135" s="47">
        <f t="array" ref="K135">_xlfn.XLOOKUP(1,(참조!$B$2:$B$15=E135)*(참조!$D$2:$D$15=C135)*(참조!$E$2:$E$15=D135),참조!$C$2:$C$15,"")</f>
        <v/>
      </c>
    </row>
    <row r="136" hidden="1" s="27">
      <c r="A136" s="47" t="inlineStr">
        <is>
          <t>KT엠모바일</t>
        </is>
      </c>
      <c r="B136" s="47" t="inlineStr">
        <is>
          <t>데이터 충분 15GB/100분</t>
        </is>
      </c>
      <c r="C136" s="47" t="inlineStr">
        <is>
          <t>100분</t>
        </is>
      </c>
      <c r="D136" s="47" t="inlineStr">
        <is>
          <t>100건</t>
        </is>
      </c>
      <c r="E136" s="47" t="inlineStr">
        <is>
          <t>월 15GB</t>
        </is>
      </c>
      <c r="F136" s="47" t="inlineStr">
        <is>
          <t>KT</t>
        </is>
      </c>
      <c r="G136" s="47" t="inlineStr">
        <is>
          <t>LTE</t>
        </is>
      </c>
      <c r="H136" s="48" t="n">
        <v>11400</v>
      </c>
      <c r="I136" s="48" t="n"/>
      <c r="J136" s="48" t="n"/>
      <c r="K136" s="47">
        <f t="array" ref="K136">_xlfn.XLOOKUP(1,(참조!$B$2:$B$15=E136)*(참조!$D$2:$D$15=C136)*(참조!$E$2:$E$15=D136),참조!$C$2:$C$15,"")</f>
        <v/>
      </c>
    </row>
    <row r="137" hidden="1" s="27">
      <c r="A137" s="47" t="inlineStr">
        <is>
          <t>더원모바일</t>
        </is>
      </c>
      <c r="B137" s="47" t="inlineStr">
        <is>
          <t>TOP 5G 110GB 기본 (올리브영)</t>
        </is>
      </c>
      <c r="C137" s="47" t="inlineStr">
        <is>
          <t>무제한</t>
        </is>
      </c>
      <c r="D137" s="47" t="inlineStr">
        <is>
          <t>무제한</t>
        </is>
      </c>
      <c r="E137" s="47" t="inlineStr">
        <is>
          <t>월 110GB + 5Mbps</t>
        </is>
      </c>
      <c r="F137" s="47" t="inlineStr">
        <is>
          <t>KT</t>
        </is>
      </c>
      <c r="G137" s="47" t="inlineStr">
        <is>
          <t>5G</t>
        </is>
      </c>
      <c r="H137" s="48" t="n">
        <v>26400</v>
      </c>
      <c r="I137" s="48" t="n">
        <v>12</v>
      </c>
      <c r="J137" s="48" t="n">
        <v>47300</v>
      </c>
      <c r="K137" s="47">
        <f t="array" ref="K137">_xlfn.XLOOKUP(1,(참조!$B$2:$B$15=E137)*(참조!$D$2:$D$15=C137)*(참조!$E$2:$E$15=D137),참조!$C$2:$C$15,"")</f>
        <v/>
      </c>
    </row>
    <row r="138" hidden="1" s="27">
      <c r="A138" s="47" t="inlineStr">
        <is>
          <t>모나</t>
        </is>
      </c>
      <c r="B138" s="47" t="inlineStr">
        <is>
          <t>모나기본4.5G안심1+</t>
        </is>
      </c>
      <c r="C138" s="47" t="inlineStr">
        <is>
          <t>무제한</t>
        </is>
      </c>
      <c r="D138" s="47" t="inlineStr">
        <is>
          <t>무제한</t>
        </is>
      </c>
      <c r="E138" s="47" t="inlineStr">
        <is>
          <t>월 4.5GB + 1Mbps</t>
        </is>
      </c>
      <c r="F138" s="47" t="inlineStr">
        <is>
          <t>LG U+</t>
        </is>
      </c>
      <c r="G138" s="47" t="inlineStr">
        <is>
          <t>LTE</t>
        </is>
      </c>
      <c r="H138" s="48" t="n">
        <v>10</v>
      </c>
      <c r="I138" s="48" t="n">
        <v>6</v>
      </c>
      <c r="J138" s="48" t="n">
        <v>29700</v>
      </c>
      <c r="K138" s="47">
        <f t="array" ref="K138">_xlfn.XLOOKUP(1,(참조!$B$2:$B$15=E138)*(참조!$D$2:$D$15=C138)*(참조!$E$2:$E$15=D138),참조!$C$2:$C$15,"")</f>
        <v/>
      </c>
    </row>
    <row r="139" hidden="1" s="27">
      <c r="A139" s="47" t="inlineStr">
        <is>
          <t>티플러스</t>
        </is>
      </c>
      <c r="B139" s="47" t="inlineStr">
        <is>
          <t>5G 가성비플러스(6GB/350분)</t>
        </is>
      </c>
      <c r="C139" s="47" t="inlineStr">
        <is>
          <t>350분</t>
        </is>
      </c>
      <c r="D139" s="47" t="inlineStr">
        <is>
          <t>100건</t>
        </is>
      </c>
      <c r="E139" s="47" t="inlineStr">
        <is>
          <t>월 6GB</t>
        </is>
      </c>
      <c r="F139" s="47" t="inlineStr">
        <is>
          <t>KT</t>
        </is>
      </c>
      <c r="G139" s="47" t="inlineStr">
        <is>
          <t>5G</t>
        </is>
      </c>
      <c r="H139" s="48" t="n">
        <v>10</v>
      </c>
      <c r="I139" s="48" t="n">
        <v>6</v>
      </c>
      <c r="J139" s="48" t="n">
        <v>9900</v>
      </c>
      <c r="K139" s="47">
        <f t="array" ref="K139">_xlfn.XLOOKUP(1,(참조!$B$2:$B$15=E139)*(참조!$D$2:$D$15=C139)*(참조!$E$2:$E$15=D139),참조!$C$2:$C$15,"")</f>
        <v/>
      </c>
    </row>
    <row r="140" hidden="1" s="27">
      <c r="A140" s="47" t="inlineStr">
        <is>
          <t>모나</t>
        </is>
      </c>
      <c r="B140" s="47" t="inlineStr">
        <is>
          <t>코나아이데이터11G+일2G</t>
        </is>
      </c>
      <c r="C140" s="47" t="inlineStr">
        <is>
          <t>무제한</t>
        </is>
      </c>
      <c r="D140" s="47" t="inlineStr">
        <is>
          <t>무제한</t>
        </is>
      </c>
      <c r="E140" s="47" t="inlineStr">
        <is>
          <t>월 11GB + 매일 2GB + 3Mbps</t>
        </is>
      </c>
      <c r="F140" s="47" t="inlineStr">
        <is>
          <t>LG U+</t>
        </is>
      </c>
      <c r="G140" s="47" t="inlineStr">
        <is>
          <t>LTE</t>
        </is>
      </c>
      <c r="H140" s="48" t="n">
        <v>27900</v>
      </c>
      <c r="I140" s="48" t="n"/>
      <c r="J140" s="48" t="n"/>
      <c r="K140" s="47">
        <f t="array" ref="K140">_xlfn.XLOOKUP(1,(참조!$B$2:$B$15=E140)*(참조!$D$2:$D$15=C140)*(참조!$E$2:$E$15=D140),참조!$C$2:$C$15,"")</f>
        <v/>
      </c>
    </row>
    <row r="141" hidden="1" s="27">
      <c r="A141" s="47" t="inlineStr">
        <is>
          <t>쉐이크모바일</t>
        </is>
      </c>
      <c r="B141" s="47" t="inlineStr">
        <is>
          <t>[모요only] 쉐이크 LTE 100GB+_밀리의서재</t>
        </is>
      </c>
      <c r="C141" s="47" t="inlineStr">
        <is>
          <t>무제한</t>
        </is>
      </c>
      <c r="D141" s="47" t="inlineStr">
        <is>
          <t>무제한</t>
        </is>
      </c>
      <c r="E141" s="47" t="inlineStr">
        <is>
          <t>월 100GB + 5Mbps</t>
        </is>
      </c>
      <c r="F141" s="47" t="inlineStr">
        <is>
          <t>KT</t>
        </is>
      </c>
      <c r="G141" s="47" t="inlineStr">
        <is>
          <t>LTE</t>
        </is>
      </c>
      <c r="H141" s="48" t="n">
        <v>22000</v>
      </c>
      <c r="I141" s="48" t="n">
        <v>12</v>
      </c>
      <c r="J141" s="48" t="n">
        <v>45100</v>
      </c>
      <c r="K141" s="47">
        <f t="array" ref="K141">_xlfn.XLOOKUP(1,(참조!$B$2:$B$15=E141)*(참조!$D$2:$D$15=C141)*(참조!$E$2:$E$15=D141),참조!$C$2:$C$15,"")</f>
        <v/>
      </c>
    </row>
    <row r="142" hidden="1" s="27">
      <c r="A142" s="47" t="inlineStr">
        <is>
          <t>더원모바일</t>
        </is>
      </c>
      <c r="B142" s="47" t="inlineStr">
        <is>
          <t>TOP 5G 110GB 기본 (다이소)</t>
        </is>
      </c>
      <c r="C142" s="47" t="inlineStr">
        <is>
          <t>무제한</t>
        </is>
      </c>
      <c r="D142" s="47" t="inlineStr">
        <is>
          <t>무제한</t>
        </is>
      </c>
      <c r="E142" s="47" t="inlineStr">
        <is>
          <t>월 110GB + 5Mbps</t>
        </is>
      </c>
      <c r="F142" s="47" t="inlineStr">
        <is>
          <t>KT</t>
        </is>
      </c>
      <c r="G142" s="47" t="inlineStr">
        <is>
          <t>5G</t>
        </is>
      </c>
      <c r="H142" s="48" t="n">
        <v>26400</v>
      </c>
      <c r="I142" s="48" t="n">
        <v>12</v>
      </c>
      <c r="J142" s="48" t="n">
        <v>47300</v>
      </c>
      <c r="K142" s="47">
        <f t="array" ref="K142">_xlfn.XLOOKUP(1,(참조!$B$2:$B$15=E142)*(참조!$D$2:$D$15=C142)*(참조!$E$2:$E$15=D142),참조!$C$2:$C$15,"")</f>
        <v/>
      </c>
    </row>
    <row r="143" hidden="1" s="27">
      <c r="A143" s="47" t="inlineStr">
        <is>
          <t>마블링</t>
        </is>
      </c>
      <c r="B143" s="47" t="inlineStr">
        <is>
          <t>[모요only] 마블링 무제한 11GB+</t>
        </is>
      </c>
      <c r="C143" s="47" t="inlineStr">
        <is>
          <t>무제한</t>
        </is>
      </c>
      <c r="D143" s="47" t="inlineStr">
        <is>
          <t>무제한</t>
        </is>
      </c>
      <c r="E143" s="47" t="inlineStr">
        <is>
          <t>월 11GB + 매일 2GB + 3Mbps</t>
        </is>
      </c>
      <c r="F143" s="47" t="inlineStr">
        <is>
          <t>LG U+</t>
        </is>
      </c>
      <c r="G143" s="47" t="inlineStr">
        <is>
          <t>LTE</t>
        </is>
      </c>
      <c r="H143" s="48" t="n">
        <v>21698</v>
      </c>
      <c r="I143" s="48" t="n">
        <v>12</v>
      </c>
      <c r="J143" s="48" t="n">
        <v>38900</v>
      </c>
      <c r="K143" s="47">
        <f t="array" ref="K143">_xlfn.XLOOKUP(1,(참조!$B$2:$B$15=E143)*(참조!$D$2:$D$15=C143)*(참조!$E$2:$E$15=D143),참조!$C$2:$C$15,"")</f>
        <v/>
      </c>
    </row>
    <row r="144" hidden="1" s="27">
      <c r="A144" s="47" t="inlineStr">
        <is>
          <t>더원모바일</t>
        </is>
      </c>
      <c r="B144" s="47" t="inlineStr">
        <is>
          <t>TOP 100GB 기본 (쿠팡캐시)</t>
        </is>
      </c>
      <c r="C144" s="47" t="inlineStr">
        <is>
          <t>무제한</t>
        </is>
      </c>
      <c r="D144" s="47" t="inlineStr">
        <is>
          <t>무제한</t>
        </is>
      </c>
      <c r="E144" s="47" t="inlineStr">
        <is>
          <t>월 100GB + 5Mbps</t>
        </is>
      </c>
      <c r="F144" s="47" t="inlineStr">
        <is>
          <t>KT</t>
        </is>
      </c>
      <c r="G144" s="47" t="inlineStr">
        <is>
          <t>LTE</t>
        </is>
      </c>
      <c r="H144" s="48" t="n">
        <v>22990</v>
      </c>
      <c r="I144" s="48" t="n">
        <v>12</v>
      </c>
      <c r="J144" s="48" t="n">
        <v>46200</v>
      </c>
      <c r="K144" s="47">
        <f t="array" ref="K144">_xlfn.XLOOKUP(1,(참조!$B$2:$B$15=E144)*(참조!$D$2:$D$15=C144)*(참조!$E$2:$E$15=D144),참조!$C$2:$C$15,"")</f>
        <v/>
      </c>
    </row>
    <row r="145" hidden="1" s="27">
      <c r="A145" s="47" t="inlineStr">
        <is>
          <t>KG모바일</t>
        </is>
      </c>
      <c r="B145" s="47" t="inlineStr">
        <is>
          <t>[일반] 유심 5G 150GB+_24개월</t>
        </is>
      </c>
      <c r="C145" s="47" t="inlineStr">
        <is>
          <t>무제한</t>
        </is>
      </c>
      <c r="D145" s="47" t="inlineStr">
        <is>
          <t>무제한</t>
        </is>
      </c>
      <c r="E145" s="47" t="inlineStr">
        <is>
          <t>월 150GB + 5Mbps</t>
        </is>
      </c>
      <c r="F145" s="47" t="inlineStr">
        <is>
          <t>LG U+</t>
        </is>
      </c>
      <c r="G145" s="47" t="inlineStr">
        <is>
          <t>5G</t>
        </is>
      </c>
      <c r="H145" s="48" t="n">
        <v>27000</v>
      </c>
      <c r="I145" s="48" t="n">
        <v>24</v>
      </c>
      <c r="J145" s="48" t="n">
        <v>56100</v>
      </c>
      <c r="K145" s="47">
        <f t="array" ref="K145">_xlfn.XLOOKUP(1,(참조!$B$2:$B$15=E145)*(참조!$D$2:$D$15=C145)*(참조!$E$2:$E$15=D145),참조!$C$2:$C$15,"")</f>
        <v/>
      </c>
    </row>
    <row r="146" hidden="1" s="27">
      <c r="A146" s="47" t="inlineStr">
        <is>
          <t>이지모바일</t>
        </is>
      </c>
      <c r="B146" s="47" t="inlineStr">
        <is>
          <t>EG 10무제한 11G+3(CU할인)</t>
        </is>
      </c>
      <c r="C146" s="47" t="inlineStr">
        <is>
          <t>무제한</t>
        </is>
      </c>
      <c r="D146" s="47" t="inlineStr">
        <is>
          <t>무제한</t>
        </is>
      </c>
      <c r="E146" s="47" t="inlineStr">
        <is>
          <t>월 11GB + 매일 2GB + 3Mbps</t>
        </is>
      </c>
      <c r="F146" s="47" t="inlineStr">
        <is>
          <t>KT</t>
        </is>
      </c>
      <c r="G146" s="47" t="inlineStr">
        <is>
          <t>LTE</t>
        </is>
      </c>
      <c r="H146" s="48" t="n">
        <v>17900</v>
      </c>
      <c r="I146" s="48" t="n">
        <v>10</v>
      </c>
      <c r="J146" s="48" t="n">
        <v>39600</v>
      </c>
      <c r="K146" s="47">
        <f t="array" ref="K146">_xlfn.XLOOKUP(1,(참조!$B$2:$B$15=E146)*(참조!$D$2:$D$15=C146)*(참조!$E$2:$E$15=D146),참조!$C$2:$C$15,"")</f>
        <v/>
      </c>
    </row>
    <row r="147" hidden="1" s="27">
      <c r="A147" s="47" t="inlineStr">
        <is>
          <t>스마텔</t>
        </is>
      </c>
      <c r="B147" s="47" t="inlineStr">
        <is>
          <t>USIM 스마일 (200분/10GB)</t>
        </is>
      </c>
      <c r="C147" s="47" t="inlineStr">
        <is>
          <t>200분</t>
        </is>
      </c>
      <c r="D147" s="47" t="inlineStr">
        <is>
          <t>100건</t>
        </is>
      </c>
      <c r="E147" s="47" t="inlineStr">
        <is>
          <t>월 10GB</t>
        </is>
      </c>
      <c r="F147" s="47" t="inlineStr">
        <is>
          <t>SKT</t>
        </is>
      </c>
      <c r="G147" s="47" t="inlineStr">
        <is>
          <t>LTE</t>
        </is>
      </c>
      <c r="H147" s="48" t="n">
        <v>990</v>
      </c>
      <c r="I147" s="48" t="n">
        <v>12</v>
      </c>
      <c r="J147" s="48" t="n">
        <v>17600</v>
      </c>
      <c r="K147" s="47">
        <f t="array" ref="K147">_xlfn.XLOOKUP(1,(참조!$B$2:$B$15=E147)*(참조!$D$2:$D$15=C147)*(참조!$E$2:$E$15=D147),참조!$C$2:$C$15,"")</f>
        <v/>
      </c>
    </row>
    <row r="148" hidden="1" s="27">
      <c r="A148" s="47" t="inlineStr">
        <is>
          <t>슈가모바일</t>
        </is>
      </c>
      <c r="B148" s="47" t="inlineStr">
        <is>
          <t>Sugar(120분/9GB)</t>
        </is>
      </c>
      <c r="C148" s="47" t="inlineStr">
        <is>
          <t>120분</t>
        </is>
      </c>
      <c r="D148" s="47" t="inlineStr">
        <is>
          <t>100건</t>
        </is>
      </c>
      <c r="E148" s="47" t="inlineStr">
        <is>
          <t>월 9GB</t>
        </is>
      </c>
      <c r="F148" s="47" t="inlineStr">
        <is>
          <t>LG U+</t>
        </is>
      </c>
      <c r="G148" s="47" t="inlineStr">
        <is>
          <t>LTE</t>
        </is>
      </c>
      <c r="H148" s="48" t="n">
        <v>4400</v>
      </c>
      <c r="I148" s="48" t="n"/>
      <c r="J148" s="48" t="n"/>
      <c r="K148" s="47">
        <f t="array" ref="K148">_xlfn.XLOOKUP(1,(참조!$B$2:$B$15=E148)*(참조!$D$2:$D$15=C148)*(참조!$E$2:$E$15=D148),참조!$C$2:$C$15,"")</f>
        <v/>
      </c>
    </row>
    <row r="149" hidden="1" s="27">
      <c r="A149" s="47" t="inlineStr">
        <is>
          <t>티플러스</t>
        </is>
      </c>
      <c r="B149" s="47" t="inlineStr">
        <is>
          <t>5G 티플온 125GB+</t>
        </is>
      </c>
      <c r="C149" s="47" t="inlineStr">
        <is>
          <t>무제한</t>
        </is>
      </c>
      <c r="D149" s="47" t="inlineStr">
        <is>
          <t>무제한</t>
        </is>
      </c>
      <c r="E149" s="47" t="inlineStr">
        <is>
          <t>월 125GB + 5Mbps</t>
        </is>
      </c>
      <c r="F149" s="47" t="inlineStr">
        <is>
          <t>LG U+</t>
        </is>
      </c>
      <c r="G149" s="47" t="inlineStr">
        <is>
          <t>5G</t>
        </is>
      </c>
      <c r="H149" s="48" t="n">
        <v>8900</v>
      </c>
      <c r="I149" s="48" t="n">
        <v>7</v>
      </c>
      <c r="J149" s="48" t="n">
        <v>55000</v>
      </c>
      <c r="K149" s="47">
        <f t="array" ref="K149">_xlfn.XLOOKUP(1,(참조!$B$2:$B$15=E149)*(참조!$D$2:$D$15=C149)*(참조!$E$2:$E$15=D149),참조!$C$2:$C$15,"")</f>
        <v/>
      </c>
    </row>
    <row r="150" hidden="1" s="27">
      <c r="A150" s="47" t="inlineStr">
        <is>
          <t>스마텔</t>
        </is>
      </c>
      <c r="B150" s="47" t="inlineStr">
        <is>
          <t>스위트 11GB+(밀리의서재)</t>
        </is>
      </c>
      <c r="C150" s="47" t="inlineStr">
        <is>
          <t>무제한</t>
        </is>
      </c>
      <c r="D150" s="47" t="inlineStr">
        <is>
          <t>무제한</t>
        </is>
      </c>
      <c r="E150" s="47" t="inlineStr">
        <is>
          <t>월 11GB + 매일 2GB + 3Mbps</t>
        </is>
      </c>
      <c r="F150" s="47" t="inlineStr">
        <is>
          <t>KT</t>
        </is>
      </c>
      <c r="G150" s="47" t="inlineStr">
        <is>
          <t>LTE</t>
        </is>
      </c>
      <c r="H150" s="48" t="n">
        <v>22500</v>
      </c>
      <c r="I150" s="48" t="n">
        <v>12</v>
      </c>
      <c r="J150" s="48" t="n">
        <v>41800</v>
      </c>
      <c r="K150" s="47">
        <f t="array" ref="K150">_xlfn.XLOOKUP(1,(참조!$B$2:$B$15=E150)*(참조!$D$2:$D$15=C150)*(참조!$E$2:$E$15=D150),참조!$C$2:$C$15,"")</f>
        <v/>
      </c>
    </row>
    <row r="151" hidden="1" s="27">
      <c r="A151" s="47" t="inlineStr">
        <is>
          <t>U+유모바일</t>
        </is>
      </c>
      <c r="B151" s="47" t="inlineStr">
        <is>
          <t>[평생할인] 5G 10GB/200분</t>
        </is>
      </c>
      <c r="C151" s="47" t="inlineStr">
        <is>
          <t>200분</t>
        </is>
      </c>
      <c r="D151" s="47" t="inlineStr">
        <is>
          <t>100건</t>
        </is>
      </c>
      <c r="E151" s="47" t="inlineStr">
        <is>
          <t>월 10GB</t>
        </is>
      </c>
      <c r="F151" s="47" t="inlineStr">
        <is>
          <t>LG U+</t>
        </is>
      </c>
      <c r="G151" s="47" t="inlineStr">
        <is>
          <t>5G</t>
        </is>
      </c>
      <c r="H151" s="48" t="n">
        <v>9900</v>
      </c>
      <c r="I151" s="48" t="n"/>
      <c r="J151" s="48" t="n"/>
      <c r="K151" s="47">
        <f t="array" ref="K151">_xlfn.XLOOKUP(1,(참조!$B$2:$B$15=E151)*(참조!$D$2:$D$15=C151)*(참조!$E$2:$E$15=D151),참조!$C$2:$C$15,"")</f>
        <v/>
      </c>
    </row>
    <row r="152" hidden="1" s="27">
      <c r="A152" s="47" t="inlineStr">
        <is>
          <t>슈가모바일</t>
        </is>
      </c>
      <c r="B152" s="47" t="inlineStr">
        <is>
          <t>Sugar 100GB++ (12개월+)</t>
        </is>
      </c>
      <c r="C152" s="47" t="inlineStr">
        <is>
          <t>무제한</t>
        </is>
      </c>
      <c r="D152" s="47" t="inlineStr">
        <is>
          <t>무제한</t>
        </is>
      </c>
      <c r="E152" s="47" t="inlineStr">
        <is>
          <t>월 100GB + 5Mbps</t>
        </is>
      </c>
      <c r="F152" s="47" t="inlineStr">
        <is>
          <t>LG U+</t>
        </is>
      </c>
      <c r="G152" s="47" t="inlineStr">
        <is>
          <t>LTE</t>
        </is>
      </c>
      <c r="H152" s="48" t="n">
        <v>25500</v>
      </c>
      <c r="I152" s="48" t="n">
        <v>12</v>
      </c>
      <c r="J152" s="48" t="n">
        <v>49000</v>
      </c>
      <c r="K152" s="47">
        <f t="array" ref="K152">_xlfn.XLOOKUP(1,(참조!$B$2:$B$15=E152)*(참조!$D$2:$D$15=C152)*(참조!$E$2:$E$15=D152),참조!$C$2:$C$15,"")</f>
        <v/>
      </c>
    </row>
    <row r="153" hidden="1" s="27">
      <c r="A153" s="47" t="inlineStr">
        <is>
          <t>슈가모바일</t>
        </is>
      </c>
      <c r="B153" s="47" t="inlineStr">
        <is>
          <t>5G Sugar 통화마음대로 180GB++</t>
        </is>
      </c>
      <c r="C153" s="47" t="inlineStr">
        <is>
          <t>무제한</t>
        </is>
      </c>
      <c r="D153" s="47" t="inlineStr">
        <is>
          <t>무제한</t>
        </is>
      </c>
      <c r="E153" s="47" t="inlineStr">
        <is>
          <t>월 180GB + 10Mbps</t>
        </is>
      </c>
      <c r="F153" s="47" t="inlineStr">
        <is>
          <t>LG U+</t>
        </is>
      </c>
      <c r="G153" s="47" t="inlineStr">
        <is>
          <t>5G</t>
        </is>
      </c>
      <c r="H153" s="48" t="n">
        <v>13000</v>
      </c>
      <c r="I153" s="48" t="n">
        <v>7</v>
      </c>
      <c r="J153" s="48" t="n">
        <v>69000</v>
      </c>
      <c r="K153" s="47">
        <f t="array" ref="K153">_xlfn.XLOOKUP(1,(참조!$B$2:$B$15=E153)*(참조!$D$2:$D$15=C153)*(참조!$E$2:$E$15=D153),참조!$C$2:$C$15,"")</f>
        <v/>
      </c>
    </row>
    <row r="154" hidden="1" s="27">
      <c r="A154" s="47" t="inlineStr">
        <is>
          <t>더원모바일</t>
        </is>
      </c>
      <c r="B154" s="47" t="inlineStr">
        <is>
          <t>TOP 15GB 100분 (다이소)</t>
        </is>
      </c>
      <c r="C154" s="47" t="inlineStr">
        <is>
          <t>100분</t>
        </is>
      </c>
      <c r="D154" s="47" t="inlineStr">
        <is>
          <t>100건</t>
        </is>
      </c>
      <c r="E154" s="47" t="inlineStr">
        <is>
          <t>월 15GB + 3Mbps</t>
        </is>
      </c>
      <c r="F154" s="47" t="inlineStr">
        <is>
          <t>KT</t>
        </is>
      </c>
      <c r="G154" s="47" t="inlineStr">
        <is>
          <t>LTE</t>
        </is>
      </c>
      <c r="H154" s="48" t="n">
        <v>14300</v>
      </c>
      <c r="I154" s="48" t="n">
        <v>12</v>
      </c>
      <c r="J154" s="48" t="n">
        <v>35200</v>
      </c>
      <c r="K154" s="47">
        <f t="array" ref="K154">_xlfn.XLOOKUP(1,(참조!$B$2:$B$15=E154)*(참조!$D$2:$D$15=C154)*(참조!$E$2:$E$15=D154),참조!$C$2:$C$15,"")</f>
        <v/>
      </c>
    </row>
    <row r="155" hidden="1" s="27">
      <c r="A155" s="47" t="inlineStr">
        <is>
          <t>쉐이크모바일</t>
        </is>
      </c>
      <c r="B155" s="47" t="inlineStr">
        <is>
          <t>[모요only] 쉐이크 LTE 100GB+_다이소 매 월 5,000원</t>
        </is>
      </c>
      <c r="C155" s="47" t="inlineStr">
        <is>
          <t>무제한</t>
        </is>
      </c>
      <c r="D155" s="47" t="inlineStr">
        <is>
          <t>무제한</t>
        </is>
      </c>
      <c r="E155" s="47" t="inlineStr">
        <is>
          <t>월 100GB + 5Mbps</t>
        </is>
      </c>
      <c r="F155" s="47" t="inlineStr">
        <is>
          <t>KT</t>
        </is>
      </c>
      <c r="G155" s="47" t="inlineStr">
        <is>
          <t>LTE</t>
        </is>
      </c>
      <c r="H155" s="48" t="n">
        <v>9900</v>
      </c>
      <c r="I155" s="48" t="n">
        <v>7</v>
      </c>
      <c r="J155" s="48" t="n">
        <v>49500</v>
      </c>
      <c r="K155" s="47">
        <f t="array" ref="K155">_xlfn.XLOOKUP(1,(참조!$B$2:$B$15=E155)*(참조!$D$2:$D$15=C155)*(참조!$E$2:$E$15=D155),참조!$C$2:$C$15,"")</f>
        <v/>
      </c>
    </row>
    <row r="156" hidden="1" s="27">
      <c r="A156" s="47" t="inlineStr">
        <is>
          <t>슈가모바일</t>
        </is>
      </c>
      <c r="B156" s="47" t="inlineStr">
        <is>
          <t>5G 슈가(Sugar)통화마음대로 125GB++</t>
        </is>
      </c>
      <c r="C156" s="47" t="inlineStr">
        <is>
          <t>무제한</t>
        </is>
      </c>
      <c r="D156" s="47" t="inlineStr">
        <is>
          <t>무제한</t>
        </is>
      </c>
      <c r="E156" s="47" t="inlineStr">
        <is>
          <t>월 125GB + 5Mbps</t>
        </is>
      </c>
      <c r="F156" s="47" t="inlineStr">
        <is>
          <t>LG U+</t>
        </is>
      </c>
      <c r="G156" s="47" t="inlineStr">
        <is>
          <t>5G</t>
        </is>
      </c>
      <c r="H156" s="48" t="n">
        <v>28300</v>
      </c>
      <c r="I156" s="48" t="n"/>
      <c r="J156" s="48" t="n"/>
      <c r="K156" s="47">
        <f t="array" ref="K156">_xlfn.XLOOKUP(1,(참조!$B$2:$B$15=E156)*(참조!$D$2:$D$15=C156)*(참조!$E$2:$E$15=D156),참조!$C$2:$C$15,"")</f>
        <v/>
      </c>
    </row>
    <row r="157" hidden="1" s="27">
      <c r="A157" s="47" t="inlineStr">
        <is>
          <t>인스모바일</t>
        </is>
      </c>
      <c r="B157" s="47" t="inlineStr">
        <is>
          <t>[평생할인]실속 300분+5GB(USIM)</t>
        </is>
      </c>
      <c r="C157" s="47" t="inlineStr">
        <is>
          <t>300분</t>
        </is>
      </c>
      <c r="D157" s="47" t="inlineStr">
        <is>
          <t>100건</t>
        </is>
      </c>
      <c r="E157" s="47" t="inlineStr">
        <is>
          <t>월 5GB</t>
        </is>
      </c>
      <c r="F157" s="47" t="inlineStr">
        <is>
          <t>LG U+</t>
        </is>
      </c>
      <c r="G157" s="47" t="inlineStr">
        <is>
          <t>LTE</t>
        </is>
      </c>
      <c r="H157" s="48" t="n">
        <v>2200</v>
      </c>
      <c r="I157" s="48" t="n"/>
      <c r="J157" s="48" t="n"/>
      <c r="K157" s="47">
        <f t="array" ref="K157">_xlfn.XLOOKUP(1,(참조!$B$2:$B$15=E157)*(참조!$D$2:$D$15=C157)*(참조!$E$2:$E$15=D157),참조!$C$2:$C$15,"")</f>
        <v/>
      </c>
    </row>
    <row r="158" hidden="1" s="27">
      <c r="A158" s="47" t="inlineStr">
        <is>
          <t>티플러스</t>
        </is>
      </c>
      <c r="B158" s="47" t="inlineStr">
        <is>
          <t>가성비플러스(30GB/350분)_12개월할인</t>
        </is>
      </c>
      <c r="C158" s="47" t="inlineStr">
        <is>
          <t>350분</t>
        </is>
      </c>
      <c r="D158" s="47" t="inlineStr">
        <is>
          <t>100건</t>
        </is>
      </c>
      <c r="E158" s="47" t="inlineStr">
        <is>
          <t>월 30GB</t>
        </is>
      </c>
      <c r="F158" s="47" t="inlineStr">
        <is>
          <t>KT</t>
        </is>
      </c>
      <c r="G158" s="47" t="inlineStr">
        <is>
          <t>LTE</t>
        </is>
      </c>
      <c r="H158" s="48" t="n">
        <v>10900</v>
      </c>
      <c r="I158" s="48" t="n">
        <v>12</v>
      </c>
      <c r="J158" s="48" t="n">
        <v>39600</v>
      </c>
      <c r="K158" s="47">
        <f t="array" ref="K158">_xlfn.XLOOKUP(1,(참조!$B$2:$B$15=E158)*(참조!$D$2:$D$15=C158)*(참조!$E$2:$E$15=D158),참조!$C$2:$C$15,"")</f>
        <v/>
      </c>
    </row>
    <row r="159" hidden="1" s="27">
      <c r="A159" s="47" t="inlineStr">
        <is>
          <t>티플러스</t>
        </is>
      </c>
      <c r="B159" s="47" t="inlineStr">
        <is>
          <t>5G 티플 110G＋(밀리의서재)</t>
        </is>
      </c>
      <c r="C159" s="47" t="inlineStr">
        <is>
          <t>무제한</t>
        </is>
      </c>
      <c r="D159" s="47" t="inlineStr">
        <is>
          <t>무제한</t>
        </is>
      </c>
      <c r="E159" s="47" t="inlineStr">
        <is>
          <t>월 110GB + 5Mbps</t>
        </is>
      </c>
      <c r="F159" s="47" t="inlineStr">
        <is>
          <t>KT</t>
        </is>
      </c>
      <c r="G159" s="47" t="inlineStr">
        <is>
          <t>5G</t>
        </is>
      </c>
      <c r="H159" s="48" t="n">
        <v>12900</v>
      </c>
      <c r="I159" s="48" t="n">
        <v>7</v>
      </c>
      <c r="J159" s="48" t="n">
        <v>58300</v>
      </c>
      <c r="K159" s="47">
        <f t="array" ref="K159">_xlfn.XLOOKUP(1,(참조!$B$2:$B$15=E159)*(참조!$D$2:$D$15=C159)*(참조!$E$2:$E$15=D159),참조!$C$2:$C$15,"")</f>
        <v/>
      </c>
    </row>
    <row r="160" hidden="1" s="27">
      <c r="A160" s="47" t="inlineStr">
        <is>
          <t>더원모바일</t>
        </is>
      </c>
      <c r="B160" s="47" t="inlineStr">
        <is>
          <t>TOP 11GB 기본 (올리브영)</t>
        </is>
      </c>
      <c r="C160" s="47" t="inlineStr">
        <is>
          <t>무제한</t>
        </is>
      </c>
      <c r="D160" s="47" t="inlineStr">
        <is>
          <t>무제한</t>
        </is>
      </c>
      <c r="E160" s="47" t="inlineStr">
        <is>
          <t>월 11GB + 매일 2GB + 3Mbps</t>
        </is>
      </c>
      <c r="F160" s="47" t="inlineStr">
        <is>
          <t>KT</t>
        </is>
      </c>
      <c r="G160" s="47" t="inlineStr">
        <is>
          <t>LTE</t>
        </is>
      </c>
      <c r="H160" s="48" t="n">
        <v>18700</v>
      </c>
      <c r="I160" s="48" t="n">
        <v>12</v>
      </c>
      <c r="J160" s="48" t="n">
        <v>40700</v>
      </c>
      <c r="K160" s="47">
        <f t="array" ref="K160">_xlfn.XLOOKUP(1,(참조!$B$2:$B$15=E160)*(참조!$D$2:$D$15=C160)*(참조!$E$2:$E$15=D160),참조!$C$2:$C$15,"")</f>
        <v/>
      </c>
    </row>
    <row r="161" hidden="1" s="27">
      <c r="A161" s="47" t="inlineStr">
        <is>
          <t>더원모바일</t>
        </is>
      </c>
      <c r="B161" s="47" t="inlineStr">
        <is>
          <t>TOP 15GB 기본 (후후)</t>
        </is>
      </c>
      <c r="C161" s="47" t="inlineStr">
        <is>
          <t>무제한</t>
        </is>
      </c>
      <c r="D161" s="47" t="inlineStr">
        <is>
          <t>무제한</t>
        </is>
      </c>
      <c r="E161" s="47" t="inlineStr">
        <is>
          <t>월 15GB + 1Mbps</t>
        </is>
      </c>
      <c r="F161" s="47" t="inlineStr">
        <is>
          <t>KT</t>
        </is>
      </c>
      <c r="G161" s="47" t="inlineStr">
        <is>
          <t>LTE</t>
        </is>
      </c>
      <c r="H161" s="48" t="n">
        <v>11000</v>
      </c>
      <c r="I161" s="48" t="n">
        <v>12</v>
      </c>
      <c r="J161" s="48" t="n">
        <v>29700</v>
      </c>
      <c r="K161" s="47">
        <f t="array" ref="K161">_xlfn.XLOOKUP(1,(참조!$B$2:$B$15=E161)*(참조!$D$2:$D$15=C161)*(참조!$E$2:$E$15=D161),참조!$C$2:$C$15,"")</f>
        <v/>
      </c>
    </row>
    <row r="162" hidden="1" s="27">
      <c r="A162" s="47" t="inlineStr">
        <is>
          <t>슈가모바일</t>
        </is>
      </c>
      <c r="B162" s="47" t="inlineStr">
        <is>
          <t>슈가안심차단100분1G</t>
        </is>
      </c>
      <c r="C162" s="47" t="inlineStr">
        <is>
          <t>100분</t>
        </is>
      </c>
      <c r="D162" s="47" t="inlineStr">
        <is>
          <t>50건</t>
        </is>
      </c>
      <c r="E162" s="47" t="inlineStr">
        <is>
          <t>월 1GB</t>
        </is>
      </c>
      <c r="F162" s="47" t="inlineStr">
        <is>
          <t>LG U+</t>
        </is>
      </c>
      <c r="G162" s="47" t="inlineStr">
        <is>
          <t>LTE</t>
        </is>
      </c>
      <c r="H162" s="48" t="n">
        <v>2800</v>
      </c>
      <c r="I162" s="48" t="n"/>
      <c r="J162" s="48" t="n"/>
      <c r="K162" s="47">
        <f t="array" ref="K162">_xlfn.XLOOKUP(1,(참조!$B$2:$B$15=E162)*(참조!$D$2:$D$15=C162)*(참조!$E$2:$E$15=D162),참조!$C$2:$C$15,"")</f>
        <v/>
      </c>
    </row>
    <row r="163" hidden="1" s="27">
      <c r="A163" s="47" t="inlineStr">
        <is>
          <t>쉐이크모바일</t>
        </is>
      </c>
      <c r="B163" s="47" t="inlineStr">
        <is>
          <t>[모요only] 쉐이크 LTE 11GB+_밀리의서재</t>
        </is>
      </c>
      <c r="C163" s="47" t="inlineStr">
        <is>
          <t>무제한</t>
        </is>
      </c>
      <c r="D163" s="47" t="inlineStr">
        <is>
          <t>무제한</t>
        </is>
      </c>
      <c r="E163" s="47" t="inlineStr">
        <is>
          <t>월 11GB + 매일 2GB + 3Mbps</t>
        </is>
      </c>
      <c r="F163" s="47" t="inlineStr">
        <is>
          <t>KT</t>
        </is>
      </c>
      <c r="G163" s="47" t="inlineStr">
        <is>
          <t>LTE</t>
        </is>
      </c>
      <c r="H163" s="48" t="n">
        <v>7800</v>
      </c>
      <c r="I163" s="48" t="n">
        <v>7</v>
      </c>
      <c r="J163" s="48" t="n">
        <v>40700</v>
      </c>
      <c r="K163" s="47">
        <f t="array" ref="K163">_xlfn.XLOOKUP(1,(참조!$B$2:$B$15=E163)*(참조!$D$2:$D$15=C163)*(참조!$E$2:$E$15=D163),참조!$C$2:$C$15,"")</f>
        <v/>
      </c>
    </row>
    <row r="164" hidden="1" s="27">
      <c r="A164" s="47" t="inlineStr">
        <is>
          <t>모나</t>
        </is>
      </c>
      <c r="B164" s="47" t="inlineStr">
        <is>
          <t>코나아이데이터10G(+10G)+1M</t>
        </is>
      </c>
      <c r="C164" s="47" t="inlineStr">
        <is>
          <t>무제한</t>
        </is>
      </c>
      <c r="D164" s="47" t="inlineStr">
        <is>
          <t>무제한</t>
        </is>
      </c>
      <c r="E164" s="47" t="inlineStr">
        <is>
          <t>월 20GB + 1Mbps</t>
        </is>
      </c>
      <c r="F164" s="47" t="inlineStr">
        <is>
          <t>LG U+</t>
        </is>
      </c>
      <c r="G164" s="47" t="inlineStr">
        <is>
          <t>LTE</t>
        </is>
      </c>
      <c r="H164" s="48" t="n">
        <v>16990</v>
      </c>
      <c r="I164" s="48" t="n"/>
      <c r="J164" s="48" t="n"/>
      <c r="K164" s="47">
        <f t="array" ref="K164">_xlfn.XLOOKUP(1,(참조!$B$2:$B$15=E164)*(참조!$D$2:$D$15=C164)*(참조!$E$2:$E$15=D164),참조!$C$2:$C$15,"")</f>
        <v/>
      </c>
    </row>
    <row r="165" hidden="1" s="27">
      <c r="A165" s="47" t="inlineStr">
        <is>
          <t>찬스모바일</t>
        </is>
      </c>
      <c r="B165" s="47" t="inlineStr">
        <is>
          <t>5G 음성기본 150GB+5Mbps_24개월</t>
        </is>
      </c>
      <c r="C165" s="47" t="inlineStr">
        <is>
          <t>무제한</t>
        </is>
      </c>
      <c r="D165" s="47" t="inlineStr">
        <is>
          <t>무제한</t>
        </is>
      </c>
      <c r="E165" s="47" t="inlineStr">
        <is>
          <t>월 150GB + 5Mbps</t>
        </is>
      </c>
      <c r="F165" s="47" t="inlineStr">
        <is>
          <t>LG U+</t>
        </is>
      </c>
      <c r="G165" s="47" t="inlineStr">
        <is>
          <t>5G</t>
        </is>
      </c>
      <c r="H165" s="48" t="n">
        <v>25400</v>
      </c>
      <c r="I165" s="48" t="n">
        <v>24</v>
      </c>
      <c r="J165" s="48" t="n">
        <v>58300</v>
      </c>
      <c r="K165" s="47">
        <f t="array" ref="K165">_xlfn.XLOOKUP(1,(참조!$B$2:$B$15=E165)*(참조!$D$2:$D$15=C165)*(참조!$E$2:$E$15=D165),참조!$C$2:$C$15,"")</f>
        <v/>
      </c>
    </row>
    <row r="166" hidden="1" s="27">
      <c r="A166" s="47" t="inlineStr">
        <is>
          <t>모나</t>
        </is>
      </c>
      <c r="B166" s="47" t="inlineStr">
        <is>
          <t>5G_모나300분15G안심1</t>
        </is>
      </c>
      <c r="C166" s="47" t="inlineStr">
        <is>
          <t>300분</t>
        </is>
      </c>
      <c r="D166" s="47" t="inlineStr">
        <is>
          <t>300건</t>
        </is>
      </c>
      <c r="E166" s="47" t="inlineStr">
        <is>
          <t>월 15GB + 1Mbps</t>
        </is>
      </c>
      <c r="F166" s="47" t="inlineStr">
        <is>
          <t>LG U+</t>
        </is>
      </c>
      <c r="G166" s="47" t="inlineStr">
        <is>
          <t>5G</t>
        </is>
      </c>
      <c r="H166" s="48" t="n">
        <v>9900</v>
      </c>
      <c r="I166" s="48" t="n">
        <v>12</v>
      </c>
      <c r="J166" s="48" t="n">
        <v>42350</v>
      </c>
      <c r="K166" s="47">
        <f t="array" ref="K166">_xlfn.XLOOKUP(1,(참조!$B$2:$B$15=E166)*(참조!$D$2:$D$15=C166)*(참조!$E$2:$E$15=D166),참조!$C$2:$C$15,"")</f>
        <v/>
      </c>
    </row>
    <row r="167" hidden="1" s="27">
      <c r="A167" s="47" t="inlineStr">
        <is>
          <t>KG모바일</t>
        </is>
      </c>
      <c r="B167" s="47" t="inlineStr">
        <is>
          <t>[일반] 실속 5G 15GB/300분</t>
        </is>
      </c>
      <c r="C167" s="47" t="inlineStr">
        <is>
          <t>300분</t>
        </is>
      </c>
      <c r="D167" s="47" t="inlineStr">
        <is>
          <t>300건</t>
        </is>
      </c>
      <c r="E167" s="47" t="inlineStr">
        <is>
          <t>월 15GB</t>
        </is>
      </c>
      <c r="F167" s="47" t="inlineStr">
        <is>
          <t>LG U+</t>
        </is>
      </c>
      <c r="G167" s="47" t="inlineStr">
        <is>
          <t>5G</t>
        </is>
      </c>
      <c r="H167" s="48" t="n">
        <v>11000</v>
      </c>
      <c r="I167" s="48" t="n">
        <v>12</v>
      </c>
      <c r="J167" s="48" t="n">
        <v>22000</v>
      </c>
      <c r="K167" s="47">
        <f t="array" ref="K167">_xlfn.XLOOKUP(1,(참조!$B$2:$B$15=E167)*(참조!$D$2:$D$15=C167)*(참조!$E$2:$E$15=D167),참조!$C$2:$C$15,"")</f>
        <v/>
      </c>
    </row>
    <row r="168" hidden="1" s="27">
      <c r="A168" s="47" t="inlineStr">
        <is>
          <t>티플러스</t>
        </is>
      </c>
      <c r="B168" s="47" t="inlineStr">
        <is>
          <t>5G 티플 가성비(300분/15GB)</t>
        </is>
      </c>
      <c r="C168" s="47" t="inlineStr">
        <is>
          <t>300분</t>
        </is>
      </c>
      <c r="D168" s="47" t="inlineStr">
        <is>
          <t>300건</t>
        </is>
      </c>
      <c r="E168" s="47" t="inlineStr">
        <is>
          <t>월 15GB</t>
        </is>
      </c>
      <c r="F168" s="47" t="inlineStr">
        <is>
          <t>LG U+</t>
        </is>
      </c>
      <c r="G168" s="47" t="inlineStr">
        <is>
          <t>5G</t>
        </is>
      </c>
      <c r="H168" s="48" t="n">
        <v>10</v>
      </c>
      <c r="I168" s="48" t="n">
        <v>6</v>
      </c>
      <c r="J168" s="48" t="n">
        <v>24200</v>
      </c>
      <c r="K168" s="47">
        <f t="array" ref="K168">_xlfn.XLOOKUP(1,(참조!$B$2:$B$15=E168)*(참조!$D$2:$D$15=C168)*(참조!$E$2:$E$15=D168),참조!$C$2:$C$15,"")</f>
        <v/>
      </c>
    </row>
    <row r="169" hidden="1" s="27">
      <c r="A169" s="47" t="inlineStr">
        <is>
          <t>찬스모바일</t>
        </is>
      </c>
      <c r="B169" s="47" t="inlineStr">
        <is>
          <t>음성 200분 6GB+</t>
        </is>
      </c>
      <c r="C169" s="47" t="inlineStr">
        <is>
          <t>200분</t>
        </is>
      </c>
      <c r="D169" s="47" t="inlineStr">
        <is>
          <t>100건</t>
        </is>
      </c>
      <c r="E169" s="47" t="inlineStr">
        <is>
          <t>월 6GB + 1Mbps</t>
        </is>
      </c>
      <c r="F169" s="47" t="inlineStr">
        <is>
          <t>LG U+</t>
        </is>
      </c>
      <c r="G169" s="47" t="inlineStr">
        <is>
          <t>LTE</t>
        </is>
      </c>
      <c r="H169" s="48" t="n">
        <v>10</v>
      </c>
      <c r="I169" s="48" t="n">
        <v>6</v>
      </c>
      <c r="J169" s="48" t="n">
        <v>17600</v>
      </c>
      <c r="K169" s="47">
        <f t="array" ref="K169">_xlfn.XLOOKUP(1,(참조!$B$2:$B$15=E169)*(참조!$D$2:$D$15=C169)*(참조!$E$2:$E$15=D169),참조!$C$2:$C$15,"")</f>
        <v/>
      </c>
    </row>
    <row r="170" hidden="1" s="27">
      <c r="A170" s="47" t="inlineStr">
        <is>
          <t>이야기모바일</t>
        </is>
      </c>
      <c r="B170" s="47" t="inlineStr">
        <is>
          <t>내맘대로S(100+6GB)</t>
        </is>
      </c>
      <c r="C170" s="47" t="inlineStr">
        <is>
          <t>100분</t>
        </is>
      </c>
      <c r="D170" s="47" t="inlineStr">
        <is>
          <t>100건</t>
        </is>
      </c>
      <c r="E170" s="47" t="inlineStr">
        <is>
          <t>월 6GB</t>
        </is>
      </c>
      <c r="F170" s="47" t="inlineStr">
        <is>
          <t>SKT</t>
        </is>
      </c>
      <c r="G170" s="47" t="inlineStr">
        <is>
          <t>LTE</t>
        </is>
      </c>
      <c r="H170" s="48" t="n">
        <v>10</v>
      </c>
      <c r="I170" s="48" t="n">
        <v>12</v>
      </c>
      <c r="J170" s="48" t="n">
        <v>4900</v>
      </c>
      <c r="K170" s="47">
        <f t="array" ref="K170">_xlfn.XLOOKUP(1,(참조!$B$2:$B$15=E170)*(참조!$D$2:$D$15=C170)*(참조!$E$2:$E$15=D170),참조!$C$2:$C$15,"")</f>
        <v/>
      </c>
    </row>
    <row r="171" hidden="1" s="27">
      <c r="A171" s="47" t="inlineStr">
        <is>
          <t>티플러스</t>
        </is>
      </c>
      <c r="B171" s="47" t="inlineStr">
        <is>
          <t>티플 데이터마음껏5G(100분)</t>
        </is>
      </c>
      <c r="C171" s="47" t="inlineStr">
        <is>
          <t>100분</t>
        </is>
      </c>
      <c r="D171" s="47" t="inlineStr">
        <is>
          <t>100건</t>
        </is>
      </c>
      <c r="E171" s="47" t="inlineStr">
        <is>
          <t>월 5GB + 1Mbps</t>
        </is>
      </c>
      <c r="F171" s="47" t="inlineStr">
        <is>
          <t>LG U+</t>
        </is>
      </c>
      <c r="G171" s="47" t="inlineStr">
        <is>
          <t>LTE</t>
        </is>
      </c>
      <c r="H171" s="48" t="n">
        <v>10</v>
      </c>
      <c r="I171" s="48" t="n">
        <v>7</v>
      </c>
      <c r="J171" s="48" t="n">
        <v>11550</v>
      </c>
      <c r="K171" s="47">
        <f t="array" ref="K171">_xlfn.XLOOKUP(1,(참조!$B$2:$B$15=E171)*(참조!$D$2:$D$15=C171)*(참조!$E$2:$E$15=D171),참조!$C$2:$C$15,"")</f>
        <v/>
      </c>
    </row>
    <row r="172" hidden="1" s="27">
      <c r="A172" s="47" t="inlineStr">
        <is>
          <t>KG모바일</t>
        </is>
      </c>
      <c r="B172" s="47" t="inlineStr">
        <is>
          <t>[KG모바일 스페셜2] 통화, 데이터 마음대로 100GB+</t>
        </is>
      </c>
      <c r="C172" s="47" t="inlineStr">
        <is>
          <t>무제한</t>
        </is>
      </c>
      <c r="D172" s="47" t="inlineStr">
        <is>
          <t>무제한</t>
        </is>
      </c>
      <c r="E172" s="47" t="inlineStr">
        <is>
          <t>월 100GB + 5Mbps</t>
        </is>
      </c>
      <c r="F172" s="47" t="inlineStr">
        <is>
          <t>LG U+</t>
        </is>
      </c>
      <c r="G172" s="47" t="inlineStr">
        <is>
          <t>LTE</t>
        </is>
      </c>
      <c r="H172" s="48" t="n">
        <v>9900</v>
      </c>
      <c r="I172" s="48" t="n">
        <v>7</v>
      </c>
      <c r="J172" s="48" t="n">
        <v>47300</v>
      </c>
      <c r="K172" s="47">
        <f t="array" ref="K172">_xlfn.XLOOKUP(1,(참조!$B$2:$B$15=E172)*(참조!$D$2:$D$15=C172)*(참조!$E$2:$E$15=D172),참조!$C$2:$C$15,"")</f>
        <v/>
      </c>
    </row>
    <row r="173" hidden="1" s="27">
      <c r="A173" s="47" t="inlineStr">
        <is>
          <t>KT엠모바일</t>
        </is>
      </c>
      <c r="B173" s="47" t="inlineStr">
        <is>
          <t>모두다 맘껏 안심 20GB+</t>
        </is>
      </c>
      <c r="C173" s="47" t="inlineStr">
        <is>
          <t>무제한</t>
        </is>
      </c>
      <c r="D173" s="47" t="inlineStr">
        <is>
          <t>무제한</t>
        </is>
      </c>
      <c r="E173" s="47" t="inlineStr">
        <is>
          <t>월 20GB + 400Kbps</t>
        </is>
      </c>
      <c r="F173" s="47" t="inlineStr">
        <is>
          <t>KT</t>
        </is>
      </c>
      <c r="G173" s="47" t="inlineStr">
        <is>
          <t>LTE</t>
        </is>
      </c>
      <c r="H173" s="48" t="n">
        <v>16400</v>
      </c>
      <c r="I173" s="48" t="n"/>
      <c r="J173" s="48" t="n"/>
      <c r="K173" s="47">
        <f t="array" ref="K173">_xlfn.XLOOKUP(1,(참조!$B$2:$B$15=E173)*(참조!$D$2:$D$15=C173)*(참조!$E$2:$E$15=D173),참조!$C$2:$C$15,"")</f>
        <v/>
      </c>
    </row>
    <row r="174" hidden="1" s="27">
      <c r="A174" s="47" t="inlineStr">
        <is>
          <t>모나</t>
        </is>
      </c>
      <c r="B174" s="47" t="inlineStr">
        <is>
          <t>5G_모나기본150G안심5</t>
        </is>
      </c>
      <c r="C174" s="47" t="inlineStr">
        <is>
          <t>무제한</t>
        </is>
      </c>
      <c r="D174" s="47" t="inlineStr">
        <is>
          <t>무제한</t>
        </is>
      </c>
      <c r="E174" s="47" t="inlineStr">
        <is>
          <t>월 150GB + 5Mbps</t>
        </is>
      </c>
      <c r="F174" s="47" t="inlineStr">
        <is>
          <t>LG U+</t>
        </is>
      </c>
      <c r="G174" s="47" t="inlineStr">
        <is>
          <t>5G</t>
        </is>
      </c>
      <c r="H174" s="48" t="n">
        <v>25900</v>
      </c>
      <c r="I174" s="48" t="n">
        <v>24</v>
      </c>
      <c r="J174" s="48" t="n">
        <v>62700</v>
      </c>
      <c r="K174" s="47">
        <f t="array" ref="K174">_xlfn.XLOOKUP(1,(참조!$B$2:$B$15=E174)*(참조!$D$2:$D$15=C174)*(참조!$E$2:$E$15=D174),참조!$C$2:$C$15,"")</f>
        <v/>
      </c>
    </row>
    <row r="175" hidden="1" s="27">
      <c r="A175" s="47" t="inlineStr">
        <is>
          <t>핀다이렉트</t>
        </is>
      </c>
      <c r="B175" s="47" t="inlineStr">
        <is>
          <t>[모요only] [S] DIGITAL DETOX 7GB 챌린지 _PIN</t>
        </is>
      </c>
      <c r="C175" s="47" t="inlineStr">
        <is>
          <t>100분</t>
        </is>
      </c>
      <c r="D175" s="47" t="inlineStr">
        <is>
          <t>100건</t>
        </is>
      </c>
      <c r="E175" s="47" t="inlineStr">
        <is>
          <t>월 7GB</t>
        </is>
      </c>
      <c r="F175" s="47" t="inlineStr">
        <is>
          <t>SKT</t>
        </is>
      </c>
      <c r="G175" s="47" t="inlineStr">
        <is>
          <t>LTE</t>
        </is>
      </c>
      <c r="H175" s="48" t="n">
        <v>10</v>
      </c>
      <c r="I175" s="48" t="n">
        <v>7</v>
      </c>
      <c r="J175" s="48" t="n">
        <v>17600</v>
      </c>
      <c r="K175" s="47">
        <f t="array" ref="K175">_xlfn.XLOOKUP(1,(참조!$B$2:$B$15=E175)*(참조!$D$2:$D$15=C175)*(참조!$E$2:$E$15=D175),참조!$C$2:$C$15,"")</f>
        <v/>
      </c>
    </row>
    <row r="176" hidden="1" s="27">
      <c r="A176" s="47" t="inlineStr">
        <is>
          <t>더원모바일</t>
        </is>
      </c>
      <c r="B176" s="47" t="inlineStr">
        <is>
          <t>TOP 11GB 기본 (다이소)</t>
        </is>
      </c>
      <c r="C176" s="47" t="inlineStr">
        <is>
          <t>무제한</t>
        </is>
      </c>
      <c r="D176" s="47" t="inlineStr">
        <is>
          <t>무제한</t>
        </is>
      </c>
      <c r="E176" s="47" t="inlineStr">
        <is>
          <t>월 11GB + 매일 2GB + 3Mbps</t>
        </is>
      </c>
      <c r="F176" s="47" t="inlineStr">
        <is>
          <t>KT</t>
        </is>
      </c>
      <c r="G176" s="47" t="inlineStr">
        <is>
          <t>LTE</t>
        </is>
      </c>
      <c r="H176" s="48" t="n">
        <v>18700</v>
      </c>
      <c r="I176" s="48" t="n">
        <v>12</v>
      </c>
      <c r="J176" s="48" t="n">
        <v>40700</v>
      </c>
      <c r="K176" s="47">
        <f t="array" ref="K176">_xlfn.XLOOKUP(1,(참조!$B$2:$B$15=E176)*(참조!$D$2:$D$15=C176)*(참조!$E$2:$E$15=D176),참조!$C$2:$C$15,"")</f>
        <v/>
      </c>
    </row>
    <row r="177" hidden="1" s="27">
      <c r="A177" s="47" t="inlineStr">
        <is>
          <t>이야기모바일</t>
        </is>
      </c>
      <c r="B177" s="47" t="inlineStr">
        <is>
          <t>함께이야기해S 무한 20GB</t>
        </is>
      </c>
      <c r="C177" s="47" t="inlineStr">
        <is>
          <t>무제한</t>
        </is>
      </c>
      <c r="D177" s="47" t="inlineStr">
        <is>
          <t>무제한</t>
        </is>
      </c>
      <c r="E177" s="47" t="inlineStr">
        <is>
          <t>월 20GB</t>
        </is>
      </c>
      <c r="F177" s="47" t="inlineStr">
        <is>
          <t>SKT</t>
        </is>
      </c>
      <c r="G177" s="47" t="inlineStr">
        <is>
          <t>LTE</t>
        </is>
      </c>
      <c r="H177" s="48" t="n">
        <v>6600</v>
      </c>
      <c r="I177" s="48" t="n">
        <v>12</v>
      </c>
      <c r="J177" s="48" t="n">
        <v>16500</v>
      </c>
      <c r="K177" s="47">
        <f t="array" ref="K177">_xlfn.XLOOKUP(1,(참조!$B$2:$B$15=E177)*(참조!$D$2:$D$15=C177)*(참조!$E$2:$E$15=D177),참조!$C$2:$C$15,"")</f>
        <v/>
      </c>
    </row>
    <row r="178" hidden="1" s="27">
      <c r="A178" s="47" t="inlineStr">
        <is>
          <t>더원모바일</t>
        </is>
      </c>
      <c r="B178" s="47" t="inlineStr">
        <is>
          <t>TOP 11GB 기본 (웨이브 광고형)</t>
        </is>
      </c>
      <c r="C178" s="47" t="inlineStr">
        <is>
          <t>무제한</t>
        </is>
      </c>
      <c r="D178" s="47" t="inlineStr">
        <is>
          <t>무제한</t>
        </is>
      </c>
      <c r="E178" s="47" t="inlineStr">
        <is>
          <t>월 11GB + 매일 2GB + 3Mbps</t>
        </is>
      </c>
      <c r="F178" s="47" t="inlineStr">
        <is>
          <t>KT</t>
        </is>
      </c>
      <c r="G178" s="47" t="inlineStr">
        <is>
          <t>LTE</t>
        </is>
      </c>
      <c r="H178" s="48" t="n">
        <v>18700</v>
      </c>
      <c r="I178" s="48" t="n">
        <v>12</v>
      </c>
      <c r="J178" s="48" t="n">
        <v>40700</v>
      </c>
      <c r="K178" s="47">
        <f t="array" ref="K178">_xlfn.XLOOKUP(1,(참조!$B$2:$B$15=E178)*(참조!$D$2:$D$15=C178)*(참조!$E$2:$E$15=D178),참조!$C$2:$C$15,"")</f>
        <v/>
      </c>
    </row>
    <row r="179" hidden="1" s="27">
      <c r="A179" s="47" t="inlineStr">
        <is>
          <t>스마텔</t>
        </is>
      </c>
      <c r="B179" s="47" t="inlineStr">
        <is>
          <t>5G 심플(350분+7GB)</t>
        </is>
      </c>
      <c r="C179" s="47" t="inlineStr">
        <is>
          <t>350분</t>
        </is>
      </c>
      <c r="D179" s="47" t="inlineStr">
        <is>
          <t>100건</t>
        </is>
      </c>
      <c r="E179" s="47" t="inlineStr">
        <is>
          <t>월 7GB</t>
        </is>
      </c>
      <c r="F179" s="47" t="inlineStr">
        <is>
          <t>LG U+</t>
        </is>
      </c>
      <c r="G179" s="47" t="inlineStr">
        <is>
          <t>5G</t>
        </is>
      </c>
      <c r="H179" s="48" t="n">
        <v>100</v>
      </c>
      <c r="I179" s="48" t="n">
        <v>6</v>
      </c>
      <c r="J179" s="48" t="n">
        <v>17600</v>
      </c>
      <c r="K179" s="47">
        <f t="array" ref="K179">_xlfn.XLOOKUP(1,(참조!$B$2:$B$15=E179)*(참조!$D$2:$D$15=C179)*(참조!$E$2:$E$15=D179),참조!$C$2:$C$15,"")</f>
        <v/>
      </c>
    </row>
    <row r="180" hidden="1" s="27">
      <c r="A180" s="47" t="inlineStr">
        <is>
          <t>이야기모바일</t>
        </is>
      </c>
      <c r="B180" s="47" t="inlineStr">
        <is>
          <t>함께이야기해S(500분+10GB)</t>
        </is>
      </c>
      <c r="C180" s="47" t="inlineStr">
        <is>
          <t>500분</t>
        </is>
      </c>
      <c r="D180" s="47" t="inlineStr">
        <is>
          <t>100건</t>
        </is>
      </c>
      <c r="E180" s="47" t="inlineStr">
        <is>
          <t>월 10GB</t>
        </is>
      </c>
      <c r="F180" s="47" t="inlineStr">
        <is>
          <t>SKT</t>
        </is>
      </c>
      <c r="G180" s="47" t="inlineStr">
        <is>
          <t>LTE</t>
        </is>
      </c>
      <c r="H180" s="48" t="n">
        <v>990</v>
      </c>
      <c r="I180" s="48" t="n">
        <v>12</v>
      </c>
      <c r="J180" s="48" t="n">
        <v>11000</v>
      </c>
      <c r="K180" s="47">
        <f t="array" ref="K180">_xlfn.XLOOKUP(1,(참조!$B$2:$B$15=E180)*(참조!$D$2:$D$15=C180)*(참조!$E$2:$E$15=D180),참조!$C$2:$C$15,"")</f>
        <v/>
      </c>
    </row>
    <row r="181" hidden="1" s="27">
      <c r="A181" s="47" t="inlineStr">
        <is>
          <t>이지모바일</t>
        </is>
      </c>
      <c r="B181" s="47" t="inlineStr">
        <is>
          <t>오래쓰는 All 무제한</t>
        </is>
      </c>
      <c r="C181" s="47" t="inlineStr">
        <is>
          <t>무제한</t>
        </is>
      </c>
      <c r="D181" s="47" t="inlineStr">
        <is>
          <t>무제한</t>
        </is>
      </c>
      <c r="E181" s="47" t="inlineStr">
        <is>
          <t>월 11GB + 매일 2GB + 3Mbps</t>
        </is>
      </c>
      <c r="F181" s="47" t="inlineStr">
        <is>
          <t>LG U+</t>
        </is>
      </c>
      <c r="G181" s="47" t="inlineStr">
        <is>
          <t>LTE</t>
        </is>
      </c>
      <c r="H181" s="48" t="n">
        <v>23100</v>
      </c>
      <c r="I181" s="48" t="n">
        <v>12</v>
      </c>
      <c r="J181" s="48" t="n">
        <v>39600</v>
      </c>
      <c r="K181" s="47">
        <f t="array" ref="K181">_xlfn.XLOOKUP(1,(참조!$B$2:$B$15=E181)*(참조!$D$2:$D$15=C181)*(참조!$E$2:$E$15=D181),참조!$C$2:$C$15,"")</f>
        <v/>
      </c>
    </row>
    <row r="182" hidden="1" s="27">
      <c r="A182" s="47" t="inlineStr">
        <is>
          <t>이야기모바일</t>
        </is>
      </c>
      <c r="B182" s="47" t="inlineStr">
        <is>
          <t>함께이야기해S(300분+20GB)</t>
        </is>
      </c>
      <c r="C182" s="47" t="inlineStr">
        <is>
          <t>300분</t>
        </is>
      </c>
      <c r="D182" s="47" t="inlineStr">
        <is>
          <t>200건</t>
        </is>
      </c>
      <c r="E182" s="47" t="inlineStr">
        <is>
          <t>월 20GB</t>
        </is>
      </c>
      <c r="F182" s="47" t="inlineStr">
        <is>
          <t>SKT</t>
        </is>
      </c>
      <c r="G182" s="47" t="inlineStr">
        <is>
          <t>LTE</t>
        </is>
      </c>
      <c r="H182" s="48" t="n">
        <v>11000</v>
      </c>
      <c r="I182" s="48" t="n">
        <v>12</v>
      </c>
      <c r="J182" s="48" t="n">
        <v>19800</v>
      </c>
      <c r="K182" s="47">
        <f t="array" ref="K182">_xlfn.XLOOKUP(1,(참조!$B$2:$B$15=E182)*(참조!$D$2:$D$15=C182)*(참조!$E$2:$E$15=D182),참조!$C$2:$C$15,"")</f>
        <v/>
      </c>
    </row>
    <row r="183" hidden="1" s="27">
      <c r="A183" s="47" t="inlineStr">
        <is>
          <t>티플러스</t>
        </is>
      </c>
      <c r="B183" s="47" t="inlineStr">
        <is>
          <t>완전마음껏 100GB＋＋(CU 20%)_24개월할인</t>
        </is>
      </c>
      <c r="C183" s="47" t="inlineStr">
        <is>
          <t>무제한</t>
        </is>
      </c>
      <c r="D183" s="47" t="inlineStr">
        <is>
          <t>무제한</t>
        </is>
      </c>
      <c r="E183" s="47" t="inlineStr">
        <is>
          <t>월 100GB + 5Mbps</t>
        </is>
      </c>
      <c r="F183" s="47" t="inlineStr">
        <is>
          <t>KT</t>
        </is>
      </c>
      <c r="G183" s="47" t="inlineStr">
        <is>
          <t>LTE</t>
        </is>
      </c>
      <c r="H183" s="48" t="n">
        <v>26900</v>
      </c>
      <c r="I183" s="48" t="n">
        <v>24</v>
      </c>
      <c r="J183" s="48" t="n">
        <v>48400</v>
      </c>
      <c r="K183" s="47">
        <f t="array" ref="K183">_xlfn.XLOOKUP(1,(참조!$B$2:$B$15=E183)*(참조!$D$2:$D$15=C183)*(참조!$E$2:$E$15=D183),참조!$C$2:$C$15,"")</f>
        <v/>
      </c>
    </row>
    <row r="184" hidden="1" s="27">
      <c r="A184" s="47" t="inlineStr">
        <is>
          <t>고고모바일</t>
        </is>
      </c>
      <c r="B184" s="47" t="inlineStr">
        <is>
          <t>[모요only] 고고딜 무제한 7GB+1M(Npay 5000P)_12개월</t>
        </is>
      </c>
      <c r="C184" s="47" t="inlineStr">
        <is>
          <t>무제한</t>
        </is>
      </c>
      <c r="D184" s="47" t="inlineStr">
        <is>
          <t>무제한</t>
        </is>
      </c>
      <c r="E184" s="47" t="inlineStr">
        <is>
          <t>월 7GB + 1Mbps</t>
        </is>
      </c>
      <c r="F184" s="47" t="inlineStr">
        <is>
          <t>KT</t>
        </is>
      </c>
      <c r="G184" s="47" t="inlineStr">
        <is>
          <t>LTE</t>
        </is>
      </c>
      <c r="H184" s="48" t="n">
        <v>10000</v>
      </c>
      <c r="I184" s="48" t="n">
        <v>12</v>
      </c>
      <c r="J184" s="48" t="n">
        <v>24200</v>
      </c>
      <c r="K184" s="47">
        <f t="array" ref="K184">_xlfn.XLOOKUP(1,(참조!$B$2:$B$15=E184)*(참조!$D$2:$D$15=C184)*(참조!$E$2:$E$15=D184),참조!$C$2:$C$15,"")</f>
        <v/>
      </c>
    </row>
    <row r="185" hidden="1" s="27">
      <c r="A185" s="47" t="inlineStr">
        <is>
          <t>티플러스</t>
        </is>
      </c>
      <c r="B185" s="47" t="inlineStr">
        <is>
          <t>티플 가성비(300분/6GB)_평생요금</t>
        </is>
      </c>
      <c r="C185" s="47" t="inlineStr">
        <is>
          <t>300분</t>
        </is>
      </c>
      <c r="D185" s="47" t="inlineStr">
        <is>
          <t>300건</t>
        </is>
      </c>
      <c r="E185" s="47" t="inlineStr">
        <is>
          <t>월 6GB</t>
        </is>
      </c>
      <c r="F185" s="47" t="inlineStr">
        <is>
          <t>LG U+</t>
        </is>
      </c>
      <c r="G185" s="47" t="inlineStr">
        <is>
          <t>LTE</t>
        </is>
      </c>
      <c r="H185" s="48" t="n">
        <v>1900</v>
      </c>
      <c r="I185" s="48" t="n"/>
      <c r="J185" s="48" t="n"/>
      <c r="K185" s="47">
        <f t="array" ref="K185">_xlfn.XLOOKUP(1,(참조!$B$2:$B$15=E185)*(참조!$D$2:$D$15=C185)*(참조!$E$2:$E$15=D185),참조!$C$2:$C$15,"")</f>
        <v/>
      </c>
    </row>
    <row r="186" hidden="1" s="27">
      <c r="A186" s="47" t="inlineStr">
        <is>
          <t>쉐이크모바일</t>
        </is>
      </c>
      <c r="B186" s="47" t="inlineStr">
        <is>
          <t>[모요only] 쉐이크 LTE 100GB+_다이소 매 월 5,000원</t>
        </is>
      </c>
      <c r="C186" s="47" t="inlineStr">
        <is>
          <t>무제한</t>
        </is>
      </c>
      <c r="D186" s="47" t="inlineStr">
        <is>
          <t>무제한</t>
        </is>
      </c>
      <c r="E186" s="47" t="inlineStr">
        <is>
          <t>월 100GB + 5Mbps</t>
        </is>
      </c>
      <c r="F186" s="47" t="inlineStr">
        <is>
          <t>KT</t>
        </is>
      </c>
      <c r="G186" s="47" t="inlineStr">
        <is>
          <t>LTE</t>
        </is>
      </c>
      <c r="H186" s="48" t="n">
        <v>24000</v>
      </c>
      <c r="I186" s="48" t="n">
        <v>12</v>
      </c>
      <c r="J186" s="48" t="n">
        <v>47300</v>
      </c>
      <c r="K186" s="47">
        <f t="array" ref="K186">_xlfn.XLOOKUP(1,(참조!$B$2:$B$15=E186)*(참조!$D$2:$D$15=C186)*(참조!$E$2:$E$15=D186),참조!$C$2:$C$15,"")</f>
        <v/>
      </c>
    </row>
    <row r="187" hidden="1" s="27">
      <c r="A187" s="47" t="inlineStr">
        <is>
          <t>KT엠모바일</t>
        </is>
      </c>
      <c r="B187" s="47" t="inlineStr">
        <is>
          <t>5G 데이터 충분 20GB/200분</t>
        </is>
      </c>
      <c r="C187" s="47" t="inlineStr">
        <is>
          <t>200분</t>
        </is>
      </c>
      <c r="D187" s="47" t="inlineStr">
        <is>
          <t>100건</t>
        </is>
      </c>
      <c r="E187" s="47" t="inlineStr">
        <is>
          <t>월 20GB</t>
        </is>
      </c>
      <c r="F187" s="47" t="inlineStr">
        <is>
          <t>KT</t>
        </is>
      </c>
      <c r="G187" s="47" t="inlineStr">
        <is>
          <t>5G</t>
        </is>
      </c>
      <c r="H187" s="48" t="n">
        <v>14400</v>
      </c>
      <c r="I187" s="48" t="n"/>
      <c r="J187" s="48" t="n"/>
      <c r="K187" s="47">
        <f t="array" ref="K187">_xlfn.XLOOKUP(1,(참조!$B$2:$B$15=E187)*(참조!$D$2:$D$15=C187)*(참조!$E$2:$E$15=D187),참조!$C$2:$C$15,"")</f>
        <v/>
      </c>
    </row>
    <row r="188" hidden="1" s="27">
      <c r="A188" s="47" t="inlineStr">
        <is>
          <t>티플러스</t>
        </is>
      </c>
      <c r="B188" s="47" t="inlineStr">
        <is>
          <t>티플 가성비(300분/6GB)_평생요금</t>
        </is>
      </c>
      <c r="C188" s="47" t="inlineStr">
        <is>
          <t>300분</t>
        </is>
      </c>
      <c r="D188" s="47" t="inlineStr">
        <is>
          <t>300건</t>
        </is>
      </c>
      <c r="E188" s="47" t="inlineStr">
        <is>
          <t>월 6GB</t>
        </is>
      </c>
      <c r="F188" s="47" t="inlineStr">
        <is>
          <t>SKT</t>
        </is>
      </c>
      <c r="G188" s="47" t="inlineStr">
        <is>
          <t>LTE</t>
        </is>
      </c>
      <c r="H188" s="48" t="n">
        <v>1900</v>
      </c>
      <c r="I188" s="48" t="n"/>
      <c r="J188" s="48" t="n"/>
      <c r="K188" s="47">
        <f t="array" ref="K188">_xlfn.XLOOKUP(1,(참조!$B$2:$B$15=E188)*(참조!$D$2:$D$15=C188)*(참조!$E$2:$E$15=D188),참조!$C$2:$C$15,"")</f>
        <v/>
      </c>
    </row>
    <row r="189" hidden="1" s="27">
      <c r="A189" s="47" t="inlineStr">
        <is>
          <t>더원모바일</t>
        </is>
      </c>
      <c r="B189" s="47" t="inlineStr">
        <is>
          <t>ONE 5G 10GB 200분</t>
        </is>
      </c>
      <c r="C189" s="47" t="inlineStr">
        <is>
          <t>200분</t>
        </is>
      </c>
      <c r="D189" s="47" t="inlineStr">
        <is>
          <t>100건</t>
        </is>
      </c>
      <c r="E189" s="47" t="inlineStr">
        <is>
          <t>월 10GB</t>
        </is>
      </c>
      <c r="F189" s="47" t="inlineStr">
        <is>
          <t>KT</t>
        </is>
      </c>
      <c r="G189" s="47" t="inlineStr">
        <is>
          <t>5G</t>
        </is>
      </c>
      <c r="H189" s="48" t="n">
        <v>110</v>
      </c>
      <c r="I189" s="48" t="n">
        <v>6</v>
      </c>
      <c r="J189" s="48" t="n">
        <v>19800</v>
      </c>
      <c r="K189" s="47">
        <f t="array" ref="K189">_xlfn.XLOOKUP(1,(참조!$B$2:$B$15=E189)*(참조!$D$2:$D$15=C189)*(참조!$E$2:$E$15=D189),참조!$C$2:$C$15,"")</f>
        <v/>
      </c>
    </row>
    <row r="190" hidden="1" s="27">
      <c r="A190" s="47" t="inlineStr">
        <is>
          <t>고고모바일</t>
        </is>
      </c>
      <c r="B190" s="47" t="inlineStr">
        <is>
          <t>고고 LTE 300분/5GB_모요</t>
        </is>
      </c>
      <c r="C190" s="47" t="inlineStr">
        <is>
          <t>300분</t>
        </is>
      </c>
      <c r="D190" s="47" t="inlineStr">
        <is>
          <t>300건</t>
        </is>
      </c>
      <c r="E190" s="47" t="inlineStr">
        <is>
          <t>월 5GB</t>
        </is>
      </c>
      <c r="F190" s="47" t="inlineStr">
        <is>
          <t>SKT</t>
        </is>
      </c>
      <c r="G190" s="47" t="inlineStr">
        <is>
          <t>LTE</t>
        </is>
      </c>
      <c r="H190" s="48" t="n">
        <v>10</v>
      </c>
      <c r="I190" s="48" t="n">
        <v>7</v>
      </c>
      <c r="J190" s="48" t="n">
        <v>12100</v>
      </c>
      <c r="K190" s="47">
        <f t="array" ref="K190">_xlfn.XLOOKUP(1,(참조!$B$2:$B$15=E190)*(참조!$D$2:$D$15=C190)*(참조!$E$2:$E$15=D190),참조!$C$2:$C$15,"")</f>
        <v/>
      </c>
    </row>
    <row r="191" hidden="1" s="27">
      <c r="A191" s="47" t="inlineStr">
        <is>
          <t>시월모바일</t>
        </is>
      </c>
      <c r="B191" s="47" t="inlineStr">
        <is>
          <t>두해 통화기본11GB+매일2GB</t>
        </is>
      </c>
      <c r="C191" s="47" t="inlineStr">
        <is>
          <t>무제한</t>
        </is>
      </c>
      <c r="D191" s="47" t="inlineStr">
        <is>
          <t>무제한</t>
        </is>
      </c>
      <c r="E191" s="47" t="inlineStr">
        <is>
          <t>월 11GB + 매일 2GB + 3Mbps</t>
        </is>
      </c>
      <c r="F191" s="47" t="inlineStr">
        <is>
          <t>LG U+</t>
        </is>
      </c>
      <c r="G191" s="47" t="inlineStr">
        <is>
          <t>LTE</t>
        </is>
      </c>
      <c r="H191" s="48" t="n">
        <v>25860</v>
      </c>
      <c r="I191" s="48" t="n">
        <v>24</v>
      </c>
      <c r="J191" s="48" t="n">
        <v>39610</v>
      </c>
      <c r="K191" s="47">
        <f t="array" ref="K191">_xlfn.XLOOKUP(1,(참조!$B$2:$B$15=E191)*(참조!$D$2:$D$15=C191)*(참조!$E$2:$E$15=D191),참조!$C$2:$C$15,"")</f>
        <v/>
      </c>
    </row>
    <row r="192" hidden="1" s="27">
      <c r="A192" s="47" t="inlineStr">
        <is>
          <t>더원모바일</t>
        </is>
      </c>
      <c r="B192" s="47" t="inlineStr">
        <is>
          <t>TOP 7GB 기본 (밀리의서재)</t>
        </is>
      </c>
      <c r="C192" s="47" t="inlineStr">
        <is>
          <t>무제한</t>
        </is>
      </c>
      <c r="D192" s="47" t="inlineStr">
        <is>
          <t>무제한</t>
        </is>
      </c>
      <c r="E192" s="47" t="inlineStr">
        <is>
          <t>월 7GB + 1Mbps</t>
        </is>
      </c>
      <c r="F192" s="47" t="inlineStr">
        <is>
          <t>KT</t>
        </is>
      </c>
      <c r="G192" s="47" t="inlineStr">
        <is>
          <t>LTE</t>
        </is>
      </c>
      <c r="H192" s="48" t="n">
        <v>6930</v>
      </c>
      <c r="I192" s="48" t="n">
        <v>12</v>
      </c>
      <c r="J192" s="48" t="n">
        <v>22000</v>
      </c>
      <c r="K192" s="47">
        <f t="array" ref="K192">_xlfn.XLOOKUP(1,(참조!$B$2:$B$15=E192)*(참조!$D$2:$D$15=C192)*(참조!$E$2:$E$15=D192),참조!$C$2:$C$15,"")</f>
        <v/>
      </c>
    </row>
    <row r="193" hidden="1" s="27">
      <c r="A193" s="47" t="inlineStr">
        <is>
          <t>KG모바일</t>
        </is>
      </c>
      <c r="B193" s="47" t="inlineStr">
        <is>
          <t>[일반] 데이터 마음대로 (10GB+/200분)_12개월</t>
        </is>
      </c>
      <c r="C193" s="47" t="inlineStr">
        <is>
          <t>200분</t>
        </is>
      </c>
      <c r="D193" s="47" t="inlineStr">
        <is>
          <t>100건</t>
        </is>
      </c>
      <c r="E193" s="47" t="inlineStr">
        <is>
          <t>월 10GB + 1Mbps</t>
        </is>
      </c>
      <c r="F193" s="47" t="inlineStr">
        <is>
          <t>LG U+</t>
        </is>
      </c>
      <c r="G193" s="47" t="inlineStr">
        <is>
          <t>LTE</t>
        </is>
      </c>
      <c r="H193" s="48" t="n">
        <v>4000</v>
      </c>
      <c r="I193" s="48" t="n">
        <v>12</v>
      </c>
      <c r="J193" s="48" t="n">
        <v>26400</v>
      </c>
      <c r="K193" s="47">
        <f t="array" ref="K193">_xlfn.XLOOKUP(1,(참조!$B$2:$B$15=E193)*(참조!$D$2:$D$15=C193)*(참조!$E$2:$E$15=D193),참조!$C$2:$C$15,"")</f>
        <v/>
      </c>
    </row>
    <row r="194" hidden="1" s="27">
      <c r="A194" s="47" t="inlineStr">
        <is>
          <t>고고모바일</t>
        </is>
      </c>
      <c r="B194" s="47" t="inlineStr">
        <is>
          <t>LTE 100분/10GB_모요</t>
        </is>
      </c>
      <c r="C194" s="47" t="inlineStr">
        <is>
          <t>100분</t>
        </is>
      </c>
      <c r="D194" s="47" t="inlineStr">
        <is>
          <t>100건</t>
        </is>
      </c>
      <c r="E194" s="47" t="inlineStr">
        <is>
          <t>월 10GB</t>
        </is>
      </c>
      <c r="F194" s="47" t="inlineStr">
        <is>
          <t>SKT</t>
        </is>
      </c>
      <c r="G194" s="47" t="inlineStr">
        <is>
          <t>LTE</t>
        </is>
      </c>
      <c r="H194" s="48" t="n">
        <v>10</v>
      </c>
      <c r="I194" s="48" t="n">
        <v>7</v>
      </c>
      <c r="J194" s="48" t="n">
        <v>15180</v>
      </c>
      <c r="K194" s="47">
        <f t="array" ref="K194">_xlfn.XLOOKUP(1,(참조!$B$2:$B$15=E194)*(참조!$D$2:$D$15=C194)*(참조!$E$2:$E$15=D194),참조!$C$2:$C$15,"")</f>
        <v/>
      </c>
    </row>
    <row r="195" hidden="1" s="27">
      <c r="A195" s="47" t="inlineStr">
        <is>
          <t>시월모바일</t>
        </is>
      </c>
      <c r="B195" s="47" t="inlineStr">
        <is>
          <t>두해 통화기본15GB+</t>
        </is>
      </c>
      <c r="C195" s="47" t="inlineStr">
        <is>
          <t>무제한</t>
        </is>
      </c>
      <c r="D195" s="47" t="inlineStr">
        <is>
          <t>무제한</t>
        </is>
      </c>
      <c r="E195" s="47" t="inlineStr">
        <is>
          <t>월 15GB + 1Mbps</t>
        </is>
      </c>
      <c r="F195" s="47" t="inlineStr">
        <is>
          <t>LG U+</t>
        </is>
      </c>
      <c r="G195" s="47" t="inlineStr">
        <is>
          <t>LTE</t>
        </is>
      </c>
      <c r="H195" s="48" t="n">
        <v>13280</v>
      </c>
      <c r="I195" s="48" t="n">
        <v>24</v>
      </c>
      <c r="J195" s="48" t="n">
        <v>31980</v>
      </c>
      <c r="K195" s="47">
        <f t="array" ref="K195">_xlfn.XLOOKUP(1,(참조!$B$2:$B$15=E195)*(참조!$D$2:$D$15=C195)*(참조!$E$2:$E$15=D195),참조!$C$2:$C$15,"")</f>
        <v/>
      </c>
    </row>
    <row r="196" hidden="1" s="27">
      <c r="A196" s="47" t="inlineStr">
        <is>
          <t>이야기모바일</t>
        </is>
      </c>
      <c r="B196" s="47" t="inlineStr">
        <is>
          <t>내맘대로S(300+6GB)</t>
        </is>
      </c>
      <c r="C196" s="47" t="inlineStr">
        <is>
          <t>300분</t>
        </is>
      </c>
      <c r="D196" s="47" t="inlineStr">
        <is>
          <t>300건</t>
        </is>
      </c>
      <c r="E196" s="47" t="inlineStr">
        <is>
          <t>월 6GB</t>
        </is>
      </c>
      <c r="F196" s="47" t="inlineStr">
        <is>
          <t>SKT</t>
        </is>
      </c>
      <c r="G196" s="47" t="inlineStr">
        <is>
          <t>LTE</t>
        </is>
      </c>
      <c r="H196" s="48" t="n">
        <v>1600</v>
      </c>
      <c r="I196" s="48" t="n">
        <v>12</v>
      </c>
      <c r="J196" s="48" t="n">
        <v>5500</v>
      </c>
      <c r="K196" s="47">
        <f t="array" ref="K196">_xlfn.XLOOKUP(1,(참조!$B$2:$B$15=E196)*(참조!$D$2:$D$15=C196)*(참조!$E$2:$E$15=D196),참조!$C$2:$C$15,"")</f>
        <v/>
      </c>
    </row>
    <row r="197" hidden="1" s="27">
      <c r="A197" s="47" t="inlineStr">
        <is>
          <t>쉐이크모바일</t>
        </is>
      </c>
      <c r="B197" s="47" t="inlineStr">
        <is>
          <t>[모요only] 쉐이크 LTE 100GB+_웨이브</t>
        </is>
      </c>
      <c r="C197" s="47" t="inlineStr">
        <is>
          <t>무제한</t>
        </is>
      </c>
      <c r="D197" s="47" t="inlineStr">
        <is>
          <t>무제한</t>
        </is>
      </c>
      <c r="E197" s="47" t="inlineStr">
        <is>
          <t>월 100GB + 5Mbps</t>
        </is>
      </c>
      <c r="F197" s="47" t="inlineStr">
        <is>
          <t>KT</t>
        </is>
      </c>
      <c r="G197" s="47" t="inlineStr">
        <is>
          <t>LTE</t>
        </is>
      </c>
      <c r="H197" s="48" t="n">
        <v>9900</v>
      </c>
      <c r="I197" s="48" t="n">
        <v>7</v>
      </c>
      <c r="J197" s="48" t="n">
        <v>49500</v>
      </c>
      <c r="K197" s="47">
        <f t="array" ref="K197">_xlfn.XLOOKUP(1,(참조!$B$2:$B$15=E197)*(참조!$D$2:$D$15=C197)*(참조!$E$2:$E$15=D197),참조!$C$2:$C$15,"")</f>
        <v/>
      </c>
    </row>
    <row r="198" hidden="1" s="27">
      <c r="A198" s="47" t="inlineStr">
        <is>
          <t>고고모바일</t>
        </is>
      </c>
      <c r="B198" s="47" t="inlineStr">
        <is>
          <t>고고 LTE 200분/10GB_모요</t>
        </is>
      </c>
      <c r="C198" s="47" t="inlineStr">
        <is>
          <t>200분</t>
        </is>
      </c>
      <c r="D198" s="47" t="inlineStr">
        <is>
          <t>200건</t>
        </is>
      </c>
      <c r="E198" s="47" t="inlineStr">
        <is>
          <t>월 10GB</t>
        </is>
      </c>
      <c r="F198" s="47" t="inlineStr">
        <is>
          <t>SKT</t>
        </is>
      </c>
      <c r="G198" s="47" t="inlineStr">
        <is>
          <t>LTE</t>
        </is>
      </c>
      <c r="H198" s="48" t="n">
        <v>10</v>
      </c>
      <c r="I198" s="48" t="n">
        <v>7</v>
      </c>
      <c r="J198" s="48" t="n">
        <v>18700</v>
      </c>
      <c r="K198" s="47">
        <f t="array" ref="K198">_xlfn.XLOOKUP(1,(참조!$B$2:$B$15=E198)*(참조!$D$2:$D$15=C198)*(참조!$E$2:$E$15=D198),참조!$C$2:$C$15,"")</f>
        <v/>
      </c>
    </row>
    <row r="199" hidden="1" s="27">
      <c r="A199" s="47" t="inlineStr">
        <is>
          <t>이야기모바일</t>
        </is>
      </c>
      <c r="B199" s="47" t="inlineStr">
        <is>
          <t>내맘대로S(100+10GB)</t>
        </is>
      </c>
      <c r="C199" s="47" t="inlineStr">
        <is>
          <t>100분</t>
        </is>
      </c>
      <c r="D199" s="47" t="inlineStr">
        <is>
          <t>100건</t>
        </is>
      </c>
      <c r="E199" s="47" t="inlineStr">
        <is>
          <t>월 10GB</t>
        </is>
      </c>
      <c r="F199" s="47" t="inlineStr">
        <is>
          <t>SKT</t>
        </is>
      </c>
      <c r="G199" s="47" t="inlineStr">
        <is>
          <t>LTE</t>
        </is>
      </c>
      <c r="H199" s="48" t="n">
        <v>10</v>
      </c>
      <c r="I199" s="48" t="n">
        <v>7</v>
      </c>
      <c r="J199" s="48" t="n">
        <v>14300</v>
      </c>
      <c r="K199" s="47">
        <f t="array" ref="K199">_xlfn.XLOOKUP(1,(참조!$B$2:$B$15=E199)*(참조!$D$2:$D$15=C199)*(참조!$E$2:$E$15=D199),참조!$C$2:$C$15,"")</f>
        <v/>
      </c>
    </row>
    <row r="200" hidden="1" s="27">
      <c r="A200" s="47" t="inlineStr">
        <is>
          <t>인스모바일</t>
        </is>
      </c>
      <c r="B200" s="47" t="inlineStr">
        <is>
          <t>인스 유심 스피드(5G) 95GB+</t>
        </is>
      </c>
      <c r="C200" s="47" t="inlineStr">
        <is>
          <t>무제한</t>
        </is>
      </c>
      <c r="D200" s="47" t="inlineStr">
        <is>
          <t>무제한</t>
        </is>
      </c>
      <c r="E200" s="47" t="inlineStr">
        <is>
          <t>월 95GB + 3Mbps</t>
        </is>
      </c>
      <c r="F200" s="47" t="inlineStr">
        <is>
          <t>LG U+</t>
        </is>
      </c>
      <c r="G200" s="47" t="inlineStr">
        <is>
          <t>5G</t>
        </is>
      </c>
      <c r="H200" s="48" t="n">
        <v>7920</v>
      </c>
      <c r="I200" s="48" t="n">
        <v>7</v>
      </c>
      <c r="J200" s="48" t="n">
        <v>53240</v>
      </c>
      <c r="K200" s="47">
        <f t="array" ref="K200">_xlfn.XLOOKUP(1,(참조!$B$2:$B$15=E200)*(참조!$D$2:$D$15=C200)*(참조!$E$2:$E$15=D200),참조!$C$2:$C$15,"")</f>
        <v/>
      </c>
    </row>
    <row r="201" hidden="1" s="27">
      <c r="A201" s="47" t="inlineStr">
        <is>
          <t>핀다이렉트</t>
        </is>
      </c>
      <c r="B201" s="47" t="inlineStr">
        <is>
          <t>[모요only] [S] DIGITAL DETOX 5GB 챌린지 _PIN</t>
        </is>
      </c>
      <c r="C201" s="47" t="inlineStr">
        <is>
          <t>100분</t>
        </is>
      </c>
      <c r="D201" s="47" t="inlineStr">
        <is>
          <t>100건</t>
        </is>
      </c>
      <c r="E201" s="47" t="inlineStr">
        <is>
          <t>월 5GB</t>
        </is>
      </c>
      <c r="F201" s="47" t="inlineStr">
        <is>
          <t>SKT</t>
        </is>
      </c>
      <c r="G201" s="47" t="inlineStr">
        <is>
          <t>LTE</t>
        </is>
      </c>
      <c r="H201" s="48" t="n">
        <v>10</v>
      </c>
      <c r="I201" s="48" t="n">
        <v>12</v>
      </c>
      <c r="J201" s="48" t="n">
        <v>13200</v>
      </c>
      <c r="K201" s="47">
        <f t="array" ref="K201">_xlfn.XLOOKUP(1,(참조!$B$2:$B$15=E201)*(참조!$D$2:$D$15=C201)*(참조!$E$2:$E$15=D201),참조!$C$2:$C$15,"")</f>
        <v/>
      </c>
    </row>
    <row r="202" hidden="1" s="27">
      <c r="A202" s="47" t="inlineStr">
        <is>
          <t>찬스모바일</t>
        </is>
      </c>
      <c r="B202" s="47" t="inlineStr">
        <is>
          <t>찬스100GB+5Mbps_12</t>
        </is>
      </c>
      <c r="C202" s="47" t="inlineStr">
        <is>
          <t>무제한</t>
        </is>
      </c>
      <c r="D202" s="47" t="inlineStr">
        <is>
          <t>무제한</t>
        </is>
      </c>
      <c r="E202" s="47" t="inlineStr">
        <is>
          <t>월 100GB + 5Mbps</t>
        </is>
      </c>
      <c r="F202" s="47" t="inlineStr">
        <is>
          <t>LG U+</t>
        </is>
      </c>
      <c r="G202" s="47" t="inlineStr">
        <is>
          <t>LTE</t>
        </is>
      </c>
      <c r="H202" s="48" t="n">
        <v>24209</v>
      </c>
      <c r="I202" s="48" t="n">
        <v>12</v>
      </c>
      <c r="J202" s="48" t="n">
        <v>47939</v>
      </c>
      <c r="K202" s="47">
        <f t="array" ref="K202">_xlfn.XLOOKUP(1,(참조!$B$2:$B$15=E202)*(참조!$D$2:$D$15=C202)*(참조!$E$2:$E$15=D202),참조!$C$2:$C$15,"")</f>
        <v/>
      </c>
    </row>
    <row r="203" hidden="1" s="27">
      <c r="A203" s="47" t="inlineStr">
        <is>
          <t>이야기모바일</t>
        </is>
      </c>
      <c r="B203" s="47" t="inlineStr">
        <is>
          <t>내맘대로S(200+5GB)</t>
        </is>
      </c>
      <c r="C203" s="47" t="inlineStr">
        <is>
          <t>200분</t>
        </is>
      </c>
      <c r="D203" s="47" t="inlineStr">
        <is>
          <t>200건</t>
        </is>
      </c>
      <c r="E203" s="47" t="inlineStr">
        <is>
          <t>월 5GB</t>
        </is>
      </c>
      <c r="F203" s="47" t="inlineStr">
        <is>
          <t>SKT</t>
        </is>
      </c>
      <c r="G203" s="47" t="inlineStr">
        <is>
          <t>LTE</t>
        </is>
      </c>
      <c r="H203" s="48" t="n">
        <v>10</v>
      </c>
      <c r="I203" s="48" t="n">
        <v>12</v>
      </c>
      <c r="J203" s="48" t="n">
        <v>4800</v>
      </c>
      <c r="K203" s="47">
        <f t="array" ref="K203">_xlfn.XLOOKUP(1,(참조!$B$2:$B$15=E203)*(참조!$D$2:$D$15=C203)*(참조!$E$2:$E$15=D203),참조!$C$2:$C$15,"")</f>
        <v/>
      </c>
    </row>
    <row r="204" hidden="1" s="27">
      <c r="A204" s="47" t="inlineStr">
        <is>
          <t>핀다이렉트</t>
        </is>
      </c>
      <c r="B204" s="47" t="inlineStr">
        <is>
          <t>[L] DIGITAL DETOX 5GB 챌린지</t>
        </is>
      </c>
      <c r="C204" s="47" t="inlineStr">
        <is>
          <t>100분</t>
        </is>
      </c>
      <c r="D204" s="47" t="inlineStr">
        <is>
          <t>100건</t>
        </is>
      </c>
      <c r="E204" s="47" t="inlineStr">
        <is>
          <t>월 5GB</t>
        </is>
      </c>
      <c r="F204" s="47" t="inlineStr">
        <is>
          <t>LG U+</t>
        </is>
      </c>
      <c r="G204" s="47" t="inlineStr">
        <is>
          <t>LTE</t>
        </is>
      </c>
      <c r="H204" s="48" t="n">
        <v>10</v>
      </c>
      <c r="I204" s="48" t="n">
        <v>12</v>
      </c>
      <c r="J204" s="48" t="n">
        <v>13200</v>
      </c>
      <c r="K204" s="47">
        <f t="array" ref="K204">_xlfn.XLOOKUP(1,(참조!$B$2:$B$15=E204)*(참조!$D$2:$D$15=C204)*(참조!$E$2:$E$15=D204),참조!$C$2:$C$15,"")</f>
        <v/>
      </c>
    </row>
    <row r="205" hidden="1" s="27">
      <c r="A205" s="47" t="inlineStr">
        <is>
          <t>이지모바일</t>
        </is>
      </c>
      <c r="B205" s="47" t="inlineStr">
        <is>
          <t>오래쓰는 무한100GB+</t>
        </is>
      </c>
      <c r="C205" s="47" t="inlineStr">
        <is>
          <t>무제한</t>
        </is>
      </c>
      <c r="D205" s="47" t="inlineStr">
        <is>
          <t>무제한</t>
        </is>
      </c>
      <c r="E205" s="47" t="inlineStr">
        <is>
          <t>월 100GB + 5Mbps</t>
        </is>
      </c>
      <c r="F205" s="47" t="inlineStr">
        <is>
          <t>LG U+</t>
        </is>
      </c>
      <c r="G205" s="47" t="inlineStr">
        <is>
          <t>LTE</t>
        </is>
      </c>
      <c r="H205" s="48" t="n">
        <v>25850</v>
      </c>
      <c r="I205" s="48" t="n">
        <v>12</v>
      </c>
      <c r="J205" s="48" t="n">
        <v>46200</v>
      </c>
      <c r="K205" s="47">
        <f t="array" ref="K205">_xlfn.XLOOKUP(1,(참조!$B$2:$B$15=E205)*(참조!$D$2:$D$15=C205)*(참조!$E$2:$E$15=D205),참조!$C$2:$C$15,"")</f>
        <v/>
      </c>
    </row>
    <row r="206" hidden="1" s="27">
      <c r="A206" s="47" t="inlineStr">
        <is>
          <t>스마텔</t>
        </is>
      </c>
      <c r="B206" s="47" t="inlineStr">
        <is>
          <t>데이터충분히(10G+200분)</t>
        </is>
      </c>
      <c r="C206" s="47" t="inlineStr">
        <is>
          <t>200분</t>
        </is>
      </c>
      <c r="D206" s="47" t="inlineStr">
        <is>
          <t>100건</t>
        </is>
      </c>
      <c r="E206" s="47" t="inlineStr">
        <is>
          <t>월 10GB</t>
        </is>
      </c>
      <c r="F206" s="47" t="inlineStr">
        <is>
          <t>LG U+</t>
        </is>
      </c>
      <c r="G206" s="47" t="inlineStr">
        <is>
          <t>LTE</t>
        </is>
      </c>
      <c r="H206" s="48" t="n">
        <v>10</v>
      </c>
      <c r="I206" s="48" t="n">
        <v>8</v>
      </c>
      <c r="J206" s="48" t="n">
        <v>15400</v>
      </c>
      <c r="K206" s="47">
        <f t="array" ref="K206">_xlfn.XLOOKUP(1,(참조!$B$2:$B$15=E206)*(참조!$D$2:$D$15=C206)*(참조!$E$2:$E$15=D206),참조!$C$2:$C$15,"")</f>
        <v/>
      </c>
    </row>
    <row r="207" hidden="1" s="27">
      <c r="A207" s="47" t="inlineStr">
        <is>
          <t>모나</t>
        </is>
      </c>
      <c r="B207" s="47" t="inlineStr">
        <is>
          <t>5G_모나기본125G안심5</t>
        </is>
      </c>
      <c r="C207" s="47" t="inlineStr">
        <is>
          <t>무제한</t>
        </is>
      </c>
      <c r="D207" s="47" t="inlineStr">
        <is>
          <t>무제한</t>
        </is>
      </c>
      <c r="E207" s="47" t="inlineStr">
        <is>
          <t>월 125GB + 5Mbps</t>
        </is>
      </c>
      <c r="F207" s="47" t="inlineStr">
        <is>
          <t>LG U+</t>
        </is>
      </c>
      <c r="G207" s="47" t="inlineStr">
        <is>
          <t>5G</t>
        </is>
      </c>
      <c r="H207" s="48" t="n">
        <v>28500</v>
      </c>
      <c r="I207" s="48" t="n">
        <v>24</v>
      </c>
      <c r="J207" s="48" t="n">
        <v>57200</v>
      </c>
      <c r="K207" s="47">
        <f t="array" ref="K207">_xlfn.XLOOKUP(1,(참조!$B$2:$B$15=E207)*(참조!$D$2:$D$15=C207)*(참조!$E$2:$E$15=D207),참조!$C$2:$C$15,"")</f>
        <v/>
      </c>
    </row>
    <row r="208" hidden="1" s="27">
      <c r="A208" s="47" t="inlineStr">
        <is>
          <t>KG모바일</t>
        </is>
      </c>
      <c r="B208" s="47" t="inlineStr">
        <is>
          <t>[일반] 유심 5G 95GB+_24개월</t>
        </is>
      </c>
      <c r="C208" s="47" t="inlineStr">
        <is>
          <t>무제한</t>
        </is>
      </c>
      <c r="D208" s="47" t="inlineStr">
        <is>
          <t>무제한</t>
        </is>
      </c>
      <c r="E208" s="47" t="inlineStr">
        <is>
          <t>월 95GB + 3Mbps</t>
        </is>
      </c>
      <c r="F208" s="47" t="inlineStr">
        <is>
          <t>LG U+</t>
        </is>
      </c>
      <c r="G208" s="47" t="inlineStr">
        <is>
          <t>5G</t>
        </is>
      </c>
      <c r="H208" s="48" t="n">
        <v>26800</v>
      </c>
      <c r="I208" s="48" t="n">
        <v>24</v>
      </c>
      <c r="J208" s="48" t="n">
        <v>49500</v>
      </c>
      <c r="K208" s="47">
        <f t="array" ref="K208">_xlfn.XLOOKUP(1,(참조!$B$2:$B$15=E208)*(참조!$D$2:$D$15=C208)*(참조!$E$2:$E$15=D208),참조!$C$2:$C$15,"")</f>
        <v/>
      </c>
    </row>
    <row r="209" hidden="1" s="27">
      <c r="A209" s="47" t="inlineStr">
        <is>
          <t>찬스모바일</t>
        </is>
      </c>
      <c r="B209" s="47" t="inlineStr">
        <is>
          <t>[CHM] 5G 음성기본 150GB+5Mbps</t>
        </is>
      </c>
      <c r="C209" s="47" t="inlineStr">
        <is>
          <t>무제한</t>
        </is>
      </c>
      <c r="D209" s="47" t="inlineStr">
        <is>
          <t>무제한</t>
        </is>
      </c>
      <c r="E209" s="47" t="inlineStr">
        <is>
          <t>월 150GB + 5Mbps</t>
        </is>
      </c>
      <c r="F209" s="47" t="inlineStr">
        <is>
          <t>LG U+</t>
        </is>
      </c>
      <c r="G209" s="47" t="inlineStr">
        <is>
          <t>5G</t>
        </is>
      </c>
      <c r="H209" s="48" t="n">
        <v>9750</v>
      </c>
      <c r="I209" s="48" t="n">
        <v>7</v>
      </c>
      <c r="J209" s="48" t="n">
        <v>55000</v>
      </c>
      <c r="K209" s="47">
        <f t="array" ref="K209">_xlfn.XLOOKUP(1,(참조!$B$2:$B$15=E209)*(참조!$D$2:$D$15=C209)*(참조!$E$2:$E$15=D209),참조!$C$2:$C$15,"")</f>
        <v/>
      </c>
    </row>
    <row r="210" hidden="1" s="27">
      <c r="A210" s="47" t="inlineStr">
        <is>
          <t>KG모바일</t>
        </is>
      </c>
      <c r="B210" s="47" t="inlineStr">
        <is>
          <t>[평생할인] 데이터 마음대로 (6GB+/200분)</t>
        </is>
      </c>
      <c r="C210" s="47" t="inlineStr">
        <is>
          <t>200분</t>
        </is>
      </c>
      <c r="D210" s="47" t="inlineStr">
        <is>
          <t>100건</t>
        </is>
      </c>
      <c r="E210" s="47" t="inlineStr">
        <is>
          <t>월 6GB + 1Mbps</t>
        </is>
      </c>
      <c r="F210" s="47" t="inlineStr">
        <is>
          <t>LG U+</t>
        </is>
      </c>
      <c r="G210" s="47" t="inlineStr">
        <is>
          <t>LTE</t>
        </is>
      </c>
      <c r="H210" s="48" t="n">
        <v>3200</v>
      </c>
      <c r="I210" s="48" t="n"/>
      <c r="J210" s="48" t="n"/>
      <c r="K210" s="47">
        <f t="array" ref="K210">_xlfn.XLOOKUP(1,(참조!$B$2:$B$15=E210)*(참조!$D$2:$D$15=C210)*(참조!$E$2:$E$15=D210),참조!$C$2:$C$15,"")</f>
        <v/>
      </c>
    </row>
    <row r="211" hidden="1" s="27">
      <c r="A211" s="47" t="inlineStr">
        <is>
          <t>슈가모바일</t>
        </is>
      </c>
      <c r="B211" s="47" t="inlineStr">
        <is>
          <t>5G 슈가통화마음대로 125GB++</t>
        </is>
      </c>
      <c r="C211" s="47" t="inlineStr">
        <is>
          <t>무제한</t>
        </is>
      </c>
      <c r="D211" s="47" t="inlineStr">
        <is>
          <t>무제한</t>
        </is>
      </c>
      <c r="E211" s="47" t="inlineStr">
        <is>
          <t>월 125GB + 5Mbps</t>
        </is>
      </c>
      <c r="F211" s="47" t="inlineStr">
        <is>
          <t>LG U+</t>
        </is>
      </c>
      <c r="G211" s="47" t="inlineStr">
        <is>
          <t>5G</t>
        </is>
      </c>
      <c r="H211" s="48" t="n">
        <v>12000</v>
      </c>
      <c r="I211" s="48" t="n">
        <v>7</v>
      </c>
      <c r="J211" s="48" t="n">
        <v>51700</v>
      </c>
      <c r="K211" s="47">
        <f t="array" ref="K211">_xlfn.XLOOKUP(1,(참조!$B$2:$B$15=E211)*(참조!$D$2:$D$15=C211)*(참조!$E$2:$E$15=D211),참조!$C$2:$C$15,"")</f>
        <v/>
      </c>
    </row>
    <row r="212" hidden="1" s="27">
      <c r="A212" s="47" t="inlineStr">
        <is>
          <t>KG모바일</t>
        </is>
      </c>
      <c r="B212" s="47" t="inlineStr">
        <is>
          <t>[모빌카드 스페셜] 통화, 데이터 마음대로 Pro</t>
        </is>
      </c>
      <c r="C212" s="47" t="inlineStr">
        <is>
          <t>무제한</t>
        </is>
      </c>
      <c r="D212" s="47" t="inlineStr">
        <is>
          <t>무제한</t>
        </is>
      </c>
      <c r="E212" s="47" t="inlineStr">
        <is>
          <t>매일 5GB + 5Mbps</t>
        </is>
      </c>
      <c r="F212" s="47" t="inlineStr">
        <is>
          <t>LG U+</t>
        </is>
      </c>
      <c r="G212" s="47" t="inlineStr">
        <is>
          <t>LTE</t>
        </is>
      </c>
      <c r="H212" s="48" t="n">
        <v>9900</v>
      </c>
      <c r="I212" s="48" t="n">
        <v>7</v>
      </c>
      <c r="J212" s="48" t="n">
        <v>47300</v>
      </c>
      <c r="K212" s="47">
        <f t="array" ref="K212">_xlfn.XLOOKUP(1,(참조!$B$2:$B$15=E212)*(참조!$D$2:$D$15=C212)*(참조!$E$2:$E$15=D212),참조!$C$2:$C$15,"")</f>
        <v/>
      </c>
    </row>
    <row r="213" hidden="1" s="27">
      <c r="A213" s="47" t="inlineStr">
        <is>
          <t>티플러스</t>
        </is>
      </c>
      <c r="B213" s="47" t="inlineStr">
        <is>
          <t>티플 위드유 11GB＋(G car)</t>
        </is>
      </c>
      <c r="C213" s="47" t="inlineStr">
        <is>
          <t>무제한</t>
        </is>
      </c>
      <c r="D213" s="47" t="inlineStr">
        <is>
          <t>무제한</t>
        </is>
      </c>
      <c r="E213" s="47" t="inlineStr">
        <is>
          <t>월 11GB + 매일 2GB + 3Mbps</t>
        </is>
      </c>
      <c r="F213" s="47" t="inlineStr">
        <is>
          <t>SKT</t>
        </is>
      </c>
      <c r="G213" s="47" t="inlineStr">
        <is>
          <t>LTE</t>
        </is>
      </c>
      <c r="H213" s="48" t="n">
        <v>7900</v>
      </c>
      <c r="I213" s="48" t="n">
        <v>7</v>
      </c>
      <c r="J213" s="48" t="n">
        <v>39600</v>
      </c>
      <c r="K213" s="47">
        <f t="array" ref="K213">_xlfn.XLOOKUP(1,(참조!$B$2:$B$15=E213)*(참조!$D$2:$D$15=C213)*(참조!$E$2:$E$15=D213),참조!$C$2:$C$15,"")</f>
        <v/>
      </c>
    </row>
    <row r="214" hidden="1" s="27">
      <c r="A214" s="47" t="inlineStr">
        <is>
          <t>이야기모바일</t>
        </is>
      </c>
      <c r="B214" s="47" t="inlineStr">
        <is>
          <t>함께이야기해S(100분+15GB)</t>
        </is>
      </c>
      <c r="C214" s="47" t="inlineStr">
        <is>
          <t>100분</t>
        </is>
      </c>
      <c r="D214" s="47" t="inlineStr">
        <is>
          <t>150건</t>
        </is>
      </c>
      <c r="E214" s="47" t="inlineStr">
        <is>
          <t>월 15GB</t>
        </is>
      </c>
      <c r="F214" s="47" t="inlineStr">
        <is>
          <t>SKT</t>
        </is>
      </c>
      <c r="G214" s="47" t="inlineStr">
        <is>
          <t>LTE</t>
        </is>
      </c>
      <c r="H214" s="48" t="n">
        <v>7700</v>
      </c>
      <c r="I214" s="48" t="n">
        <v>12</v>
      </c>
      <c r="J214" s="48" t="n">
        <v>14850</v>
      </c>
      <c r="K214" s="47">
        <f t="array" ref="K214">_xlfn.XLOOKUP(1,(참조!$B$2:$B$15=E214)*(참조!$D$2:$D$15=C214)*(참조!$E$2:$E$15=D214),참조!$C$2:$C$15,"")</f>
        <v/>
      </c>
    </row>
    <row r="215" hidden="1" s="27">
      <c r="A215" s="47" t="inlineStr">
        <is>
          <t>마블링</t>
        </is>
      </c>
      <c r="B215" s="47" t="inlineStr">
        <is>
          <t>[모요only] 마블링 프라임 100GB+5Mbps</t>
        </is>
      </c>
      <c r="C215" s="47" t="inlineStr">
        <is>
          <t>무제한</t>
        </is>
      </c>
      <c r="D215" s="47" t="inlineStr">
        <is>
          <t>무제한</t>
        </is>
      </c>
      <c r="E215" s="47" t="inlineStr">
        <is>
          <t>월 100GB + 5Mbps</t>
        </is>
      </c>
      <c r="F215" s="47" t="inlineStr">
        <is>
          <t>LG U+</t>
        </is>
      </c>
      <c r="G215" s="47" t="inlineStr">
        <is>
          <t>LTE</t>
        </is>
      </c>
      <c r="H215" s="48" t="n">
        <v>9900</v>
      </c>
      <c r="I215" s="48" t="n">
        <v>7</v>
      </c>
      <c r="J215" s="48" t="n">
        <v>44900</v>
      </c>
      <c r="K215" s="47">
        <f t="array" ref="K215">_xlfn.XLOOKUP(1,(참조!$B$2:$B$15=E215)*(참조!$D$2:$D$15=C215)*(참조!$E$2:$E$15=D215),참조!$C$2:$C$15,"")</f>
        <v/>
      </c>
    </row>
    <row r="216" hidden="1" s="27">
      <c r="A216" s="47" t="inlineStr">
        <is>
          <t>스마텔</t>
        </is>
      </c>
      <c r="B216" s="47" t="inlineStr">
        <is>
          <t>USIM 스위트 심플(200분+7GB)</t>
        </is>
      </c>
      <c r="C216" s="47" t="inlineStr">
        <is>
          <t>200분</t>
        </is>
      </c>
      <c r="D216" s="47" t="inlineStr">
        <is>
          <t>100건</t>
        </is>
      </c>
      <c r="E216" s="47" t="inlineStr">
        <is>
          <t>월 7GB</t>
        </is>
      </c>
      <c r="F216" s="47" t="inlineStr">
        <is>
          <t>KT</t>
        </is>
      </c>
      <c r="G216" s="47" t="inlineStr">
        <is>
          <t>LTE</t>
        </is>
      </c>
      <c r="H216" s="48" t="n">
        <v>90</v>
      </c>
      <c r="I216" s="48" t="n">
        <v>7</v>
      </c>
      <c r="J216" s="48" t="n">
        <v>12100</v>
      </c>
      <c r="K216" s="47">
        <f t="array" ref="K216">_xlfn.XLOOKUP(1,(참조!$B$2:$B$15=E216)*(참조!$D$2:$D$15=C216)*(참조!$E$2:$E$15=D216),참조!$C$2:$C$15,"")</f>
        <v/>
      </c>
    </row>
    <row r="217" hidden="1" s="27">
      <c r="A217" s="47" t="inlineStr">
        <is>
          <t>고고모바일</t>
        </is>
      </c>
      <c r="B217" s="47" t="inlineStr">
        <is>
          <t>[모요only] 5G 200분/10GB_12개월</t>
        </is>
      </c>
      <c r="C217" s="47" t="inlineStr">
        <is>
          <t>200분</t>
        </is>
      </c>
      <c r="D217" s="47" t="inlineStr">
        <is>
          <t>100건</t>
        </is>
      </c>
      <c r="E217" s="47" t="inlineStr">
        <is>
          <t>월 10GB</t>
        </is>
      </c>
      <c r="F217" s="47" t="inlineStr">
        <is>
          <t>KT</t>
        </is>
      </c>
      <c r="G217" s="47" t="inlineStr">
        <is>
          <t>5G</t>
        </is>
      </c>
      <c r="H217" s="48" t="n">
        <v>4400</v>
      </c>
      <c r="I217" s="48" t="n">
        <v>12</v>
      </c>
      <c r="J217" s="48" t="n">
        <v>18700</v>
      </c>
      <c r="K217" s="47">
        <f t="array" ref="K217">_xlfn.XLOOKUP(1,(참조!$B$2:$B$15=E217)*(참조!$D$2:$D$15=C217)*(참조!$E$2:$E$15=D217),참조!$C$2:$C$15,"")</f>
        <v/>
      </c>
    </row>
    <row r="218" hidden="1" s="27">
      <c r="A218" s="47" t="inlineStr">
        <is>
          <t>KT엠모바일</t>
        </is>
      </c>
      <c r="B218" s="47" t="inlineStr">
        <is>
          <t>5G 데이터 충분 10GB/200분</t>
        </is>
      </c>
      <c r="C218" s="47" t="inlineStr">
        <is>
          <t>200분</t>
        </is>
      </c>
      <c r="D218" s="47" t="inlineStr">
        <is>
          <t>100건</t>
        </is>
      </c>
      <c r="E218" s="47" t="inlineStr">
        <is>
          <t>월 10GB</t>
        </is>
      </c>
      <c r="F218" s="47" t="inlineStr">
        <is>
          <t>KT</t>
        </is>
      </c>
      <c r="G218" s="47" t="inlineStr">
        <is>
          <t>5G</t>
        </is>
      </c>
      <c r="H218" s="48" t="n">
        <v>9400</v>
      </c>
      <c r="I218" s="48" t="n"/>
      <c r="J218" s="48" t="n"/>
      <c r="K218" s="47">
        <f t="array" ref="K218">_xlfn.XLOOKUP(1,(참조!$B$2:$B$15=E218)*(참조!$D$2:$D$15=C218)*(참조!$E$2:$E$15=D218),참조!$C$2:$C$15,"")</f>
        <v/>
      </c>
    </row>
    <row r="219" hidden="1" s="27">
      <c r="A219" s="47" t="inlineStr">
        <is>
          <t>KG모바일</t>
        </is>
      </c>
      <c r="B219" s="47" t="inlineStr">
        <is>
          <t>[평생할인] 데이터 마음대로 (5GB+/200분)</t>
        </is>
      </c>
      <c r="C219" s="47" t="inlineStr">
        <is>
          <t>200분</t>
        </is>
      </c>
      <c r="D219" s="47" t="inlineStr">
        <is>
          <t>100건</t>
        </is>
      </c>
      <c r="E219" s="47" t="inlineStr">
        <is>
          <t>월 5GB + 1Mbps</t>
        </is>
      </c>
      <c r="F219" s="47" t="inlineStr">
        <is>
          <t>LG U+</t>
        </is>
      </c>
      <c r="G219" s="47" t="inlineStr">
        <is>
          <t>LTE</t>
        </is>
      </c>
      <c r="H219" s="48" t="n">
        <v>3100</v>
      </c>
      <c r="I219" s="48" t="n"/>
      <c r="J219" s="48" t="n"/>
      <c r="K219" s="47">
        <f t="array" ref="K219">_xlfn.XLOOKUP(1,(참조!$B$2:$B$15=E219)*(참조!$D$2:$D$15=C219)*(참조!$E$2:$E$15=D219),참조!$C$2:$C$15,"")</f>
        <v/>
      </c>
    </row>
    <row r="220" hidden="1" s="27">
      <c r="A220" s="47" t="inlineStr">
        <is>
          <t>쉐이크모바일</t>
        </is>
      </c>
      <c r="B220" s="47" t="inlineStr">
        <is>
          <t>[모요only] 쉐이크 LTE 11GB+_CU</t>
        </is>
      </c>
      <c r="C220" s="47" t="inlineStr">
        <is>
          <t>무제한</t>
        </is>
      </c>
      <c r="D220" s="47" t="inlineStr">
        <is>
          <t>무제한</t>
        </is>
      </c>
      <c r="E220" s="47" t="inlineStr">
        <is>
          <t>월 11GB + 매일 2GB + 3Mbps</t>
        </is>
      </c>
      <c r="F220" s="47" t="inlineStr">
        <is>
          <t>KT</t>
        </is>
      </c>
      <c r="G220" s="47" t="inlineStr">
        <is>
          <t>LTE</t>
        </is>
      </c>
      <c r="H220" s="48" t="n">
        <v>7800</v>
      </c>
      <c r="I220" s="48" t="n">
        <v>7</v>
      </c>
      <c r="J220" s="48" t="n">
        <v>40700</v>
      </c>
      <c r="K220" s="47">
        <f t="array" ref="K220">_xlfn.XLOOKUP(1,(참조!$B$2:$B$15=E220)*(참조!$D$2:$D$15=C220)*(참조!$E$2:$E$15=D220),참조!$C$2:$C$15,"")</f>
        <v/>
      </c>
    </row>
    <row r="221" hidden="1" s="27">
      <c r="A221" s="47" t="inlineStr">
        <is>
          <t>이지모바일</t>
        </is>
      </c>
      <c r="B221" s="47" t="inlineStr">
        <is>
          <t>이지 데이터 5GB</t>
        </is>
      </c>
      <c r="C221" s="47" t="inlineStr">
        <is>
          <t>300분</t>
        </is>
      </c>
      <c r="D221" s="47" t="inlineStr">
        <is>
          <t>100건</t>
        </is>
      </c>
      <c r="E221" s="47" t="inlineStr">
        <is>
          <t>월 5GB</t>
        </is>
      </c>
      <c r="F221" s="47" t="inlineStr">
        <is>
          <t>LG U+</t>
        </is>
      </c>
      <c r="G221" s="47" t="inlineStr">
        <is>
          <t>LTE</t>
        </is>
      </c>
      <c r="H221" s="48" t="n">
        <v>10</v>
      </c>
      <c r="I221" s="48" t="n">
        <v>6</v>
      </c>
      <c r="J221" s="48" t="n">
        <v>15950</v>
      </c>
      <c r="K221" s="47">
        <f t="array" ref="K221">_xlfn.XLOOKUP(1,(참조!$B$2:$B$15=E221)*(참조!$D$2:$D$15=C221)*(참조!$E$2:$E$15=D221),참조!$C$2:$C$15,"")</f>
        <v/>
      </c>
    </row>
    <row r="222" hidden="1" s="27">
      <c r="A222" s="47" t="inlineStr">
        <is>
          <t>티플러스</t>
        </is>
      </c>
      <c r="B222" s="47" t="inlineStr">
        <is>
          <t>5G 티플 95GB+</t>
        </is>
      </c>
      <c r="C222" s="47" t="inlineStr">
        <is>
          <t>무제한</t>
        </is>
      </c>
      <c r="D222" s="47" t="inlineStr">
        <is>
          <t>무제한</t>
        </is>
      </c>
      <c r="E222" s="47" t="inlineStr">
        <is>
          <t>월 95GB + 3Mbps</t>
        </is>
      </c>
      <c r="F222" s="47" t="inlineStr">
        <is>
          <t>LG U+</t>
        </is>
      </c>
      <c r="G222" s="47" t="inlineStr">
        <is>
          <t>5G</t>
        </is>
      </c>
      <c r="H222" s="48" t="n">
        <v>7900</v>
      </c>
      <c r="I222" s="48" t="n">
        <v>7</v>
      </c>
      <c r="J222" s="48" t="n">
        <v>50600</v>
      </c>
      <c r="K222" s="47">
        <f t="array" ref="K222">_xlfn.XLOOKUP(1,(참조!$B$2:$B$15=E222)*(참조!$D$2:$D$15=C222)*(참조!$E$2:$E$15=D222),참조!$C$2:$C$15,"")</f>
        <v/>
      </c>
    </row>
    <row r="223" hidden="1" s="27">
      <c r="A223" s="47" t="inlineStr">
        <is>
          <t>이야기모바일</t>
        </is>
      </c>
      <c r="B223" s="47" t="inlineStr">
        <is>
          <t>이야기 K 데이터 11GB+(모아진)</t>
        </is>
      </c>
      <c r="C223" s="47" t="inlineStr">
        <is>
          <t>무제한</t>
        </is>
      </c>
      <c r="D223" s="47" t="inlineStr">
        <is>
          <t>무제한</t>
        </is>
      </c>
      <c r="E223" s="47" t="inlineStr">
        <is>
          <t>월 11GB + 매일 2GB + 3Mbps</t>
        </is>
      </c>
      <c r="F223" s="47" t="inlineStr">
        <is>
          <t>KT</t>
        </is>
      </c>
      <c r="G223" s="47" t="inlineStr">
        <is>
          <t>LTE</t>
        </is>
      </c>
      <c r="H223" s="48" t="n">
        <v>25400</v>
      </c>
      <c r="I223" s="48" t="n">
        <v>24</v>
      </c>
      <c r="J223" s="48" t="n">
        <v>40590</v>
      </c>
      <c r="K223" s="47">
        <f t="array" ref="K223">_xlfn.XLOOKUP(1,(참조!$B$2:$B$15=E223)*(참조!$D$2:$D$15=C223)*(참조!$E$2:$E$15=D223),참조!$C$2:$C$15,"")</f>
        <v/>
      </c>
    </row>
    <row r="224" hidden="1" s="27">
      <c r="A224" s="47" t="inlineStr">
        <is>
          <t>찬스모바일</t>
        </is>
      </c>
      <c r="B224" s="47" t="inlineStr">
        <is>
          <t>찬스 음성기본 15GB+</t>
        </is>
      </c>
      <c r="C224" s="47" t="inlineStr">
        <is>
          <t>무제한</t>
        </is>
      </c>
      <c r="D224" s="47" t="inlineStr">
        <is>
          <t>무제한</t>
        </is>
      </c>
      <c r="E224" s="47" t="inlineStr">
        <is>
          <t>월 15GB + 1Mbps</t>
        </is>
      </c>
      <c r="F224" s="47" t="inlineStr">
        <is>
          <t>LG U+</t>
        </is>
      </c>
      <c r="G224" s="47" t="inlineStr">
        <is>
          <t>LTE</t>
        </is>
      </c>
      <c r="H224" s="48" t="n">
        <v>12989</v>
      </c>
      <c r="I224" s="48" t="n">
        <v>12</v>
      </c>
      <c r="J224" s="48" t="n">
        <v>24100</v>
      </c>
      <c r="K224" s="47">
        <f t="array" ref="K224">_xlfn.XLOOKUP(1,(참조!$B$2:$B$15=E224)*(참조!$D$2:$D$15=C224)*(참조!$E$2:$E$15=D224),참조!$C$2:$C$15,"")</f>
        <v/>
      </c>
    </row>
    <row r="225" hidden="1" s="27">
      <c r="A225" s="47" t="inlineStr">
        <is>
          <t>티플러스</t>
        </is>
      </c>
      <c r="B225" s="47" t="inlineStr">
        <is>
          <t>5G 티플 5GB＋(통화기본)</t>
        </is>
      </c>
      <c r="C225" s="47" t="inlineStr">
        <is>
          <t>무제한</t>
        </is>
      </c>
      <c r="D225" s="47" t="inlineStr">
        <is>
          <t>100건</t>
        </is>
      </c>
      <c r="E225" s="47" t="inlineStr">
        <is>
          <t>월 5GB + 1Mbps</t>
        </is>
      </c>
      <c r="F225" s="47" t="inlineStr">
        <is>
          <t>LG U+</t>
        </is>
      </c>
      <c r="G225" s="47" t="inlineStr">
        <is>
          <t>5G</t>
        </is>
      </c>
      <c r="H225" s="48" t="n">
        <v>10</v>
      </c>
      <c r="I225" s="48" t="n">
        <v>6</v>
      </c>
      <c r="J225" s="48" t="n">
        <v>18150</v>
      </c>
      <c r="K225" s="47">
        <f t="array" ref="K225">_xlfn.XLOOKUP(1,(참조!$B$2:$B$15=E225)*(참조!$D$2:$D$15=C225)*(참조!$E$2:$E$15=D225),참조!$C$2:$C$15,"")</f>
        <v/>
      </c>
    </row>
    <row r="226" hidden="1" s="27">
      <c r="A226" s="47" t="inlineStr">
        <is>
          <t>더원모바일</t>
        </is>
      </c>
      <c r="B226" s="47" t="inlineStr">
        <is>
          <t>TOP 11GB 기본 (다이소)</t>
        </is>
      </c>
      <c r="C226" s="47" t="inlineStr">
        <is>
          <t>무제한</t>
        </is>
      </c>
      <c r="D226" s="47" t="inlineStr">
        <is>
          <t>무제한</t>
        </is>
      </c>
      <c r="E226" s="47" t="inlineStr">
        <is>
          <t>월 11GB + 매일 2GB + 3Mbps</t>
        </is>
      </c>
      <c r="F226" s="47" t="inlineStr">
        <is>
          <t>KT</t>
        </is>
      </c>
      <c r="G226" s="47" t="inlineStr">
        <is>
          <t>LTE</t>
        </is>
      </c>
      <c r="H226" s="48" t="n">
        <v>9900</v>
      </c>
      <c r="I226" s="48" t="n">
        <v>7</v>
      </c>
      <c r="J226" s="48" t="n">
        <v>40700</v>
      </c>
      <c r="K226" s="47">
        <f t="array" ref="K226">_xlfn.XLOOKUP(1,(참조!$B$2:$B$15=E226)*(참조!$D$2:$D$15=C226)*(참조!$E$2:$E$15=D226),참조!$C$2:$C$15,"")</f>
        <v/>
      </c>
    </row>
    <row r="227" hidden="1" s="27">
      <c r="A227" s="47" t="inlineStr">
        <is>
          <t>KG모바일</t>
        </is>
      </c>
      <c r="B227" s="47" t="inlineStr">
        <is>
          <t>[평생할인] 데이터 마음대로 (10GB+/200분)</t>
        </is>
      </c>
      <c r="C227" s="47" t="inlineStr">
        <is>
          <t>200분</t>
        </is>
      </c>
      <c r="D227" s="47" t="inlineStr">
        <is>
          <t>100건</t>
        </is>
      </c>
      <c r="E227" s="47" t="inlineStr">
        <is>
          <t>월 10GB + 1Mbps</t>
        </is>
      </c>
      <c r="F227" s="47" t="inlineStr">
        <is>
          <t>LG U+</t>
        </is>
      </c>
      <c r="G227" s="47" t="inlineStr">
        <is>
          <t>LTE</t>
        </is>
      </c>
      <c r="H227" s="48" t="n">
        <v>5800</v>
      </c>
      <c r="I227" s="48" t="n"/>
      <c r="J227" s="48" t="n"/>
      <c r="K227" s="47">
        <f t="array" ref="K227">_xlfn.XLOOKUP(1,(참조!$B$2:$B$15=E227)*(참조!$D$2:$D$15=C227)*(참조!$E$2:$E$15=D227),참조!$C$2:$C$15,"")</f>
        <v/>
      </c>
    </row>
    <row r="228" hidden="1" s="27">
      <c r="A228" s="47" t="inlineStr">
        <is>
          <t>티플러스</t>
        </is>
      </c>
      <c r="B228" s="47" t="inlineStr">
        <is>
          <t>5G 가성비플러스(5GB/350분)_평생요금</t>
        </is>
      </c>
      <c r="C228" s="47" t="inlineStr">
        <is>
          <t>350분</t>
        </is>
      </c>
      <c r="D228" s="47" t="inlineStr">
        <is>
          <t>100건</t>
        </is>
      </c>
      <c r="E228" s="47" t="inlineStr">
        <is>
          <t>월 5GB</t>
        </is>
      </c>
      <c r="F228" s="47" t="inlineStr">
        <is>
          <t>LG U+</t>
        </is>
      </c>
      <c r="G228" s="47" t="inlineStr">
        <is>
          <t>5G</t>
        </is>
      </c>
      <c r="H228" s="48" t="n">
        <v>1900</v>
      </c>
      <c r="I228" s="48" t="n"/>
      <c r="J228" s="48" t="n"/>
      <c r="K228" s="47">
        <f t="array" ref="K228">_xlfn.XLOOKUP(1,(참조!$B$2:$B$15=E228)*(참조!$D$2:$D$15=C228)*(참조!$E$2:$E$15=D228),참조!$C$2:$C$15,"")</f>
        <v/>
      </c>
    </row>
    <row r="229" hidden="1" s="27">
      <c r="A229" s="47" t="inlineStr">
        <is>
          <t>모나</t>
        </is>
      </c>
      <c r="B229" s="47" t="inlineStr">
        <is>
          <t>모나100분6.6G안심1</t>
        </is>
      </c>
      <c r="C229" s="47" t="inlineStr">
        <is>
          <t>100분</t>
        </is>
      </c>
      <c r="D229" s="47" t="inlineStr">
        <is>
          <t>100건</t>
        </is>
      </c>
      <c r="E229" s="47" t="inlineStr">
        <is>
          <t>월 6.6GB + 1Mbps</t>
        </is>
      </c>
      <c r="F229" s="47" t="inlineStr">
        <is>
          <t>LG U+</t>
        </is>
      </c>
      <c r="G229" s="47" t="inlineStr">
        <is>
          <t>LTE</t>
        </is>
      </c>
      <c r="H229" s="48" t="n">
        <v>10</v>
      </c>
      <c r="I229" s="48" t="n">
        <v>7</v>
      </c>
      <c r="J229" s="48" t="n">
        <v>25300</v>
      </c>
      <c r="K229" s="47">
        <f t="array" ref="K229">_xlfn.XLOOKUP(1,(참조!$B$2:$B$15=E229)*(참조!$D$2:$D$15=C229)*(참조!$E$2:$E$15=D229),참조!$C$2:$C$15,"")</f>
        <v/>
      </c>
    </row>
    <row r="230" hidden="1" s="27">
      <c r="A230" s="47" t="inlineStr">
        <is>
          <t>쉐이크모바일</t>
        </is>
      </c>
      <c r="B230" s="47" t="inlineStr">
        <is>
          <t>[모요only] 쉐이크 LTE 11GB+_모아진 전자 구독</t>
        </is>
      </c>
      <c r="C230" s="47" t="inlineStr">
        <is>
          <t>무제한</t>
        </is>
      </c>
      <c r="D230" s="47" t="inlineStr">
        <is>
          <t>무제한</t>
        </is>
      </c>
      <c r="E230" s="47" t="inlineStr">
        <is>
          <t>월 11GB + 매일 2GB + 3Mbps</t>
        </is>
      </c>
      <c r="F230" s="47" t="inlineStr">
        <is>
          <t>KT</t>
        </is>
      </c>
      <c r="G230" s="47" t="inlineStr">
        <is>
          <t>LTE</t>
        </is>
      </c>
      <c r="H230" s="48" t="n">
        <v>7800</v>
      </c>
      <c r="I230" s="48" t="n">
        <v>7</v>
      </c>
      <c r="J230" s="48" t="n">
        <v>40700</v>
      </c>
      <c r="K230" s="47">
        <f t="array" ref="K230">_xlfn.XLOOKUP(1,(참조!$B$2:$B$15=E230)*(참조!$D$2:$D$15=C230)*(참조!$E$2:$E$15=D230),참조!$C$2:$C$15,"")</f>
        <v/>
      </c>
    </row>
    <row r="231" hidden="1" s="27">
      <c r="A231" s="47" t="inlineStr">
        <is>
          <t>이지모바일</t>
        </is>
      </c>
      <c r="B231" s="47" t="inlineStr">
        <is>
          <t>이지 오래쓰는 데이터 10GB+1/100분</t>
        </is>
      </c>
      <c r="C231" s="47" t="inlineStr">
        <is>
          <t>100분</t>
        </is>
      </c>
      <c r="D231" s="47" t="inlineStr">
        <is>
          <t>100건</t>
        </is>
      </c>
      <c r="E231" s="47" t="inlineStr">
        <is>
          <t>월 10GB + 1Mbps</t>
        </is>
      </c>
      <c r="F231" s="47" t="inlineStr">
        <is>
          <t>LG U+</t>
        </is>
      </c>
      <c r="G231" s="47" t="inlineStr">
        <is>
          <t>LTE</t>
        </is>
      </c>
      <c r="H231" s="48" t="n">
        <v>4950</v>
      </c>
      <c r="I231" s="48" t="n">
        <v>12</v>
      </c>
      <c r="J231" s="48" t="n">
        <v>19800</v>
      </c>
      <c r="K231" s="47">
        <f t="array" ref="K231">_xlfn.XLOOKUP(1,(참조!$B$2:$B$15=E231)*(참조!$D$2:$D$15=C231)*(참조!$E$2:$E$15=D231),참조!$C$2:$C$15,"")</f>
        <v/>
      </c>
    </row>
    <row r="232" hidden="1" s="27">
      <c r="A232" s="47" t="inlineStr">
        <is>
          <t>인스모바일</t>
        </is>
      </c>
      <c r="B232" s="47" t="inlineStr">
        <is>
          <t>데이터 안심 6GB+(USIM)</t>
        </is>
      </c>
      <c r="C232" s="47" t="inlineStr">
        <is>
          <t>200분</t>
        </is>
      </c>
      <c r="D232" s="47" t="inlineStr">
        <is>
          <t>100건</t>
        </is>
      </c>
      <c r="E232" s="47" t="inlineStr">
        <is>
          <t>월 6GB + 1Mbps</t>
        </is>
      </c>
      <c r="F232" s="47" t="inlineStr">
        <is>
          <t>LG U+</t>
        </is>
      </c>
      <c r="G232" s="47" t="inlineStr">
        <is>
          <t>LTE</t>
        </is>
      </c>
      <c r="H232" s="48" t="n">
        <v>10</v>
      </c>
      <c r="I232" s="48" t="n">
        <v>6</v>
      </c>
      <c r="J232" s="48" t="n">
        <v>27500</v>
      </c>
      <c r="K232" s="47">
        <f t="array" ref="K232">_xlfn.XLOOKUP(1,(참조!$B$2:$B$15=E232)*(참조!$D$2:$D$15=C232)*(참조!$E$2:$E$15=D232),참조!$C$2:$C$15,"")</f>
        <v/>
      </c>
    </row>
    <row r="233" hidden="1" s="27">
      <c r="A233" s="47" t="inlineStr">
        <is>
          <t>찬스모바일</t>
        </is>
      </c>
      <c r="B233" s="47" t="inlineStr">
        <is>
          <t>음성기본 11GB+일 2GB+_24개월</t>
        </is>
      </c>
      <c r="C233" s="47" t="inlineStr">
        <is>
          <t>무제한</t>
        </is>
      </c>
      <c r="D233" s="47" t="inlineStr">
        <is>
          <t>무제한</t>
        </is>
      </c>
      <c r="E233" s="47" t="inlineStr">
        <is>
          <t>월 11GB + 매일 2GB + 3Mbps</t>
        </is>
      </c>
      <c r="F233" s="47" t="inlineStr">
        <is>
          <t>LG U+</t>
        </is>
      </c>
      <c r="G233" s="47" t="inlineStr">
        <is>
          <t>LTE</t>
        </is>
      </c>
      <c r="H233" s="48" t="n">
        <v>25410</v>
      </c>
      <c r="I233" s="48" t="n">
        <v>24</v>
      </c>
      <c r="J233" s="48" t="n">
        <v>38500</v>
      </c>
      <c r="K233" s="47">
        <f t="array" ref="K233">_xlfn.XLOOKUP(1,(참조!$B$2:$B$15=E233)*(참조!$D$2:$D$15=C233)*(참조!$E$2:$E$15=D233),참조!$C$2:$C$15,"")</f>
        <v/>
      </c>
    </row>
    <row r="234" hidden="1" s="27">
      <c r="A234" s="47" t="inlineStr">
        <is>
          <t>스마텔</t>
        </is>
      </c>
      <c r="B234" s="47" t="inlineStr">
        <is>
          <t>USIM 심플 (200분 + 5GB)</t>
        </is>
      </c>
      <c r="C234" s="47" t="inlineStr">
        <is>
          <t>200분</t>
        </is>
      </c>
      <c r="D234" s="47" t="inlineStr">
        <is>
          <t>100건</t>
        </is>
      </c>
      <c r="E234" s="47" t="inlineStr">
        <is>
          <t>월 5GB</t>
        </is>
      </c>
      <c r="F234" s="47" t="inlineStr">
        <is>
          <t>LG U+</t>
        </is>
      </c>
      <c r="G234" s="47" t="inlineStr">
        <is>
          <t>LTE</t>
        </is>
      </c>
      <c r="H234" s="48" t="n">
        <v>10</v>
      </c>
      <c r="I234" s="48" t="n">
        <v>10</v>
      </c>
      <c r="J234" s="48" t="n">
        <v>9900</v>
      </c>
      <c r="K234" s="47">
        <f t="array" ref="K234">_xlfn.XLOOKUP(1,(참조!$B$2:$B$15=E234)*(참조!$D$2:$D$15=C234)*(참조!$E$2:$E$15=D234),참조!$C$2:$C$15,"")</f>
        <v/>
      </c>
    </row>
    <row r="235" hidden="1" s="27">
      <c r="A235" s="47" t="inlineStr">
        <is>
          <t>인스모바일</t>
        </is>
      </c>
      <c r="B235" s="47" t="inlineStr">
        <is>
          <t>[24개월] 인스 유심 스트롱 15GB+</t>
        </is>
      </c>
      <c r="C235" s="47" t="inlineStr">
        <is>
          <t>100분</t>
        </is>
      </c>
      <c r="D235" s="47" t="inlineStr">
        <is>
          <t>100건</t>
        </is>
      </c>
      <c r="E235" s="47" t="inlineStr">
        <is>
          <t>월 15GB + 3Mbps</t>
        </is>
      </c>
      <c r="F235" s="47" t="inlineStr">
        <is>
          <t>LG U+</t>
        </is>
      </c>
      <c r="G235" s="47" t="inlineStr">
        <is>
          <t>LTE</t>
        </is>
      </c>
      <c r="H235" s="48" t="n">
        <v>17500</v>
      </c>
      <c r="I235" s="48" t="n">
        <v>24</v>
      </c>
      <c r="J235" s="48" t="n">
        <v>34000</v>
      </c>
      <c r="K235" s="47">
        <f t="array" ref="K235">_xlfn.XLOOKUP(1,(참조!$B$2:$B$15=E235)*(참조!$D$2:$D$15=C235)*(참조!$E$2:$E$15=D235),참조!$C$2:$C$15,"")</f>
        <v/>
      </c>
    </row>
    <row r="236" hidden="1" s="27">
      <c r="A236" s="47" t="inlineStr">
        <is>
          <t>찬스모바일</t>
        </is>
      </c>
      <c r="B236" s="47" t="inlineStr">
        <is>
          <t>[CHM] 음성 200분 5GB</t>
        </is>
      </c>
      <c r="C236" s="47" t="inlineStr">
        <is>
          <t>200분</t>
        </is>
      </c>
      <c r="D236" s="47" t="inlineStr">
        <is>
          <t>100건</t>
        </is>
      </c>
      <c r="E236" s="47" t="inlineStr">
        <is>
          <t>월 5GB</t>
        </is>
      </c>
      <c r="F236" s="47" t="inlineStr">
        <is>
          <t>LG U+</t>
        </is>
      </c>
      <c r="G236" s="47" t="inlineStr">
        <is>
          <t>LTE</t>
        </is>
      </c>
      <c r="H236" s="48" t="n">
        <v>10</v>
      </c>
      <c r="I236" s="48" t="n">
        <v>6</v>
      </c>
      <c r="J236" s="48" t="n">
        <v>5500</v>
      </c>
      <c r="K236" s="47">
        <f t="array" ref="K236">_xlfn.XLOOKUP(1,(참조!$B$2:$B$15=E236)*(참조!$D$2:$D$15=C236)*(참조!$E$2:$E$15=D236),참조!$C$2:$C$15,"")</f>
        <v/>
      </c>
    </row>
    <row r="237" hidden="1" s="27">
      <c r="A237" s="47" t="inlineStr">
        <is>
          <t>티플러스</t>
        </is>
      </c>
      <c r="B237" s="47" t="inlineStr">
        <is>
          <t>완전마음껏 100GB＋＋(밀리의서재)_24개월할인</t>
        </is>
      </c>
      <c r="C237" s="47" t="inlineStr">
        <is>
          <t>무제한</t>
        </is>
      </c>
      <c r="D237" s="47" t="inlineStr">
        <is>
          <t>무제한</t>
        </is>
      </c>
      <c r="E237" s="47" t="inlineStr">
        <is>
          <t>월 100GB + 5Mbps</t>
        </is>
      </c>
      <c r="F237" s="47" t="inlineStr">
        <is>
          <t>KT</t>
        </is>
      </c>
      <c r="G237" s="47" t="inlineStr">
        <is>
          <t>LTE</t>
        </is>
      </c>
      <c r="H237" s="48" t="n">
        <v>26900</v>
      </c>
      <c r="I237" s="48" t="n">
        <v>24</v>
      </c>
      <c r="J237" s="48" t="n">
        <v>48400</v>
      </c>
      <c r="K237" s="47">
        <f t="array" ref="K237">_xlfn.XLOOKUP(1,(참조!$B$2:$B$15=E237)*(참조!$D$2:$D$15=C237)*(참조!$E$2:$E$15=D237),참조!$C$2:$C$15,"")</f>
        <v/>
      </c>
    </row>
    <row r="238" hidden="1" s="27">
      <c r="A238" s="47" t="inlineStr">
        <is>
          <t>고고모바일</t>
        </is>
      </c>
      <c r="B238" s="47" t="inlineStr">
        <is>
          <t>LTE 300분/15GB_모요</t>
        </is>
      </c>
      <c r="C238" s="47" t="inlineStr">
        <is>
          <t>300분</t>
        </is>
      </c>
      <c r="D238" s="47" t="inlineStr">
        <is>
          <t>100건</t>
        </is>
      </c>
      <c r="E238" s="47" t="inlineStr">
        <is>
          <t>월 15GB</t>
        </is>
      </c>
      <c r="F238" s="47" t="inlineStr">
        <is>
          <t>SKT</t>
        </is>
      </c>
      <c r="G238" s="47" t="inlineStr">
        <is>
          <t>LTE</t>
        </is>
      </c>
      <c r="H238" s="48" t="n">
        <v>2200</v>
      </c>
      <c r="I238" s="48" t="n">
        <v>7</v>
      </c>
      <c r="J238" s="48" t="n">
        <v>21230</v>
      </c>
      <c r="K238" s="47">
        <f t="array" ref="K238">_xlfn.XLOOKUP(1,(참조!$B$2:$B$15=E238)*(참조!$D$2:$D$15=C238)*(참조!$E$2:$E$15=D238),참조!$C$2:$C$15,"")</f>
        <v/>
      </c>
    </row>
    <row r="239" hidden="1" s="27">
      <c r="A239" s="47" t="inlineStr">
        <is>
          <t>티플러스</t>
        </is>
      </c>
      <c r="B239" s="47" t="inlineStr">
        <is>
          <t>5G 데이터마음껏 15G(300분)</t>
        </is>
      </c>
      <c r="C239" s="47" t="inlineStr">
        <is>
          <t>300분</t>
        </is>
      </c>
      <c r="D239" s="47" t="inlineStr">
        <is>
          <t>300건</t>
        </is>
      </c>
      <c r="E239" s="47" t="inlineStr">
        <is>
          <t>월 15GB + 1Mbps</t>
        </is>
      </c>
      <c r="F239" s="47" t="inlineStr">
        <is>
          <t>LG U+</t>
        </is>
      </c>
      <c r="G239" s="47" t="inlineStr">
        <is>
          <t>5G</t>
        </is>
      </c>
      <c r="H239" s="48" t="n">
        <v>1900</v>
      </c>
      <c r="I239" s="48" t="n">
        <v>6</v>
      </c>
      <c r="J239" s="48" t="n">
        <v>30800</v>
      </c>
      <c r="K239" s="47">
        <f t="array" ref="K239">_xlfn.XLOOKUP(1,(참조!$B$2:$B$15=E239)*(참조!$D$2:$D$15=C239)*(참조!$E$2:$E$15=D239),참조!$C$2:$C$15,"")</f>
        <v/>
      </c>
    </row>
    <row r="240" hidden="1" s="27">
      <c r="A240" s="47" t="inlineStr">
        <is>
          <t>마블링</t>
        </is>
      </c>
      <c r="B240" s="47" t="inlineStr">
        <is>
          <t>[모요only] 마블링 무제한 15GB+</t>
        </is>
      </c>
      <c r="C240" s="47" t="inlineStr">
        <is>
          <t>무제한</t>
        </is>
      </c>
      <c r="D240" s="47" t="inlineStr">
        <is>
          <t>무제한</t>
        </is>
      </c>
      <c r="E240" s="47" t="inlineStr">
        <is>
          <t>월 15GB + 1Mbps</t>
        </is>
      </c>
      <c r="F240" s="47" t="inlineStr">
        <is>
          <t>LG U+</t>
        </is>
      </c>
      <c r="G240" s="47" t="inlineStr">
        <is>
          <t>LTE</t>
        </is>
      </c>
      <c r="H240" s="48" t="n">
        <v>12980</v>
      </c>
      <c r="I240" s="48" t="n">
        <v>12</v>
      </c>
      <c r="J240" s="48" t="n">
        <v>24090</v>
      </c>
      <c r="K240" s="47">
        <f t="array" ref="K240">_xlfn.XLOOKUP(1,(참조!$B$2:$B$15=E240)*(참조!$D$2:$D$15=C240)*(참조!$E$2:$E$15=D240),참조!$C$2:$C$15,"")</f>
        <v/>
      </c>
    </row>
    <row r="241" hidden="1" s="27">
      <c r="A241" s="47" t="inlineStr">
        <is>
          <t>인스모바일</t>
        </is>
      </c>
      <c r="B241" s="47" t="inlineStr">
        <is>
          <t>인스 유심 스트롱 매일 5GB+</t>
        </is>
      </c>
      <c r="C241" s="47" t="inlineStr">
        <is>
          <t>무제한</t>
        </is>
      </c>
      <c r="D241" s="47" t="inlineStr">
        <is>
          <t>무제한</t>
        </is>
      </c>
      <c r="E241" s="47" t="inlineStr">
        <is>
          <t>매일 5GB + 5Mbps</t>
        </is>
      </c>
      <c r="F241" s="47" t="inlineStr">
        <is>
          <t>LG U+</t>
        </is>
      </c>
      <c r="G241" s="47" t="inlineStr">
        <is>
          <t>LTE</t>
        </is>
      </c>
      <c r="H241" s="48" t="n">
        <v>9600</v>
      </c>
      <c r="I241" s="48" t="n">
        <v>7</v>
      </c>
      <c r="J241" s="48" t="n">
        <v>47000</v>
      </c>
      <c r="K241" s="47">
        <f t="array" ref="K241">_xlfn.XLOOKUP(1,(참조!$B$2:$B$15=E241)*(참조!$D$2:$D$15=C241)*(참조!$E$2:$E$15=D241),참조!$C$2:$C$15,"")</f>
        <v/>
      </c>
    </row>
    <row r="242" hidden="1" s="27">
      <c r="A242" s="47" t="inlineStr">
        <is>
          <t>인스모바일</t>
        </is>
      </c>
      <c r="B242" s="47" t="inlineStr">
        <is>
          <t>인스 유심 스피드(5G) 180GB+</t>
        </is>
      </c>
      <c r="C242" s="47" t="inlineStr">
        <is>
          <t>무제한</t>
        </is>
      </c>
      <c r="D242" s="47" t="inlineStr">
        <is>
          <t>무제한</t>
        </is>
      </c>
      <c r="E242" s="47" t="inlineStr">
        <is>
          <t>월 180GB + 10Mbps</t>
        </is>
      </c>
      <c r="F242" s="47" t="inlineStr">
        <is>
          <t>LG U+</t>
        </is>
      </c>
      <c r="G242" s="47" t="inlineStr">
        <is>
          <t>5G</t>
        </is>
      </c>
      <c r="H242" s="48" t="n">
        <v>9920</v>
      </c>
      <c r="I242" s="48" t="n">
        <v>7</v>
      </c>
      <c r="J242" s="48" t="n">
        <v>64700</v>
      </c>
      <c r="K242" s="47">
        <f t="array" ref="K242">_xlfn.XLOOKUP(1,(참조!$B$2:$B$15=E242)*(참조!$D$2:$D$15=C242)*(참조!$E$2:$E$15=D242),참조!$C$2:$C$15,"")</f>
        <v/>
      </c>
    </row>
    <row r="243" hidden="1" s="27">
      <c r="A243" s="47" t="inlineStr">
        <is>
          <t>티플러스</t>
        </is>
      </c>
      <c r="B243" s="47" t="inlineStr">
        <is>
          <t>티플 15GB(15GB/300분)_평생요금</t>
        </is>
      </c>
      <c r="C243" s="47" t="inlineStr">
        <is>
          <t>300분</t>
        </is>
      </c>
      <c r="D243" s="47" t="inlineStr">
        <is>
          <t>100건</t>
        </is>
      </c>
      <c r="E243" s="47" t="inlineStr">
        <is>
          <t>월 15GB</t>
        </is>
      </c>
      <c r="F243" s="47" t="inlineStr">
        <is>
          <t>SKT</t>
        </is>
      </c>
      <c r="G243" s="47" t="inlineStr">
        <is>
          <t>LTE</t>
        </is>
      </c>
      <c r="H243" s="48" t="n">
        <v>7500</v>
      </c>
      <c r="I243" s="48" t="n"/>
      <c r="J243" s="48" t="n"/>
      <c r="K243" s="47">
        <f t="array" ref="K243">_xlfn.XLOOKUP(1,(참조!$B$2:$B$15=E243)*(참조!$D$2:$D$15=C243)*(참조!$E$2:$E$15=D243),참조!$C$2:$C$15,"")</f>
        <v/>
      </c>
    </row>
    <row r="244" hidden="1" s="27">
      <c r="A244" s="47" t="inlineStr">
        <is>
          <t>티플러스</t>
        </is>
      </c>
      <c r="B244" s="47" t="inlineStr">
        <is>
          <t>5G 티플 180GB+</t>
        </is>
      </c>
      <c r="C244" s="47" t="inlineStr">
        <is>
          <t>무제한</t>
        </is>
      </c>
      <c r="D244" s="47" t="inlineStr">
        <is>
          <t>무제한</t>
        </is>
      </c>
      <c r="E244" s="47" t="inlineStr">
        <is>
          <t>월 180GB + 10Mbps</t>
        </is>
      </c>
      <c r="F244" s="47" t="inlineStr">
        <is>
          <t>LG U+</t>
        </is>
      </c>
      <c r="G244" s="47" t="inlineStr">
        <is>
          <t>5G</t>
        </is>
      </c>
      <c r="H244" s="48" t="n">
        <v>10900</v>
      </c>
      <c r="I244" s="48" t="n">
        <v>7</v>
      </c>
      <c r="J244" s="48" t="n">
        <v>60500</v>
      </c>
      <c r="K244" s="47">
        <f t="array" ref="K244">_xlfn.XLOOKUP(1,(참조!$B$2:$B$15=E244)*(참조!$D$2:$D$15=C244)*(참조!$E$2:$E$15=D244),참조!$C$2:$C$15,"")</f>
        <v/>
      </c>
    </row>
    <row r="245" hidden="1" s="27">
      <c r="A245" s="47" t="inlineStr">
        <is>
          <t>찬스모바일</t>
        </is>
      </c>
      <c r="B245" s="47" t="inlineStr">
        <is>
          <t>[모요only] 알찬 음성기본 11GB+일 2GB+3Mbps</t>
        </is>
      </c>
      <c r="C245" s="47" t="inlineStr">
        <is>
          <t>무제한</t>
        </is>
      </c>
      <c r="D245" s="47" t="inlineStr">
        <is>
          <t>무제한</t>
        </is>
      </c>
      <c r="E245" s="47" t="inlineStr">
        <is>
          <t>월 11GB + 매일 2GB + 3Mbps</t>
        </is>
      </c>
      <c r="F245" s="47" t="inlineStr">
        <is>
          <t>LG U+</t>
        </is>
      </c>
      <c r="G245" s="47" t="inlineStr">
        <is>
          <t>LTE</t>
        </is>
      </c>
      <c r="H245" s="48" t="n">
        <v>9458</v>
      </c>
      <c r="I245" s="48" t="n">
        <v>7</v>
      </c>
      <c r="J245" s="48" t="n">
        <v>38940</v>
      </c>
      <c r="K245" s="47">
        <f t="array" ref="K245">_xlfn.XLOOKUP(1,(참조!$B$2:$B$15=E245)*(참조!$D$2:$D$15=C245)*(참조!$E$2:$E$15=D245),참조!$C$2:$C$15,"")</f>
        <v/>
      </c>
    </row>
    <row r="246" hidden="1" s="27">
      <c r="A246" s="47" t="inlineStr">
        <is>
          <t>더원모바일</t>
        </is>
      </c>
      <c r="B246" s="47" t="inlineStr">
        <is>
          <t>TOP 10GB 기본 (CU할인)</t>
        </is>
      </c>
      <c r="C246" s="47" t="inlineStr">
        <is>
          <t>무제한</t>
        </is>
      </c>
      <c r="D246" s="47" t="inlineStr">
        <is>
          <t>무제한</t>
        </is>
      </c>
      <c r="E246" s="47" t="inlineStr">
        <is>
          <t>월 10GB + 1Mbps</t>
        </is>
      </c>
      <c r="F246" s="47" t="inlineStr">
        <is>
          <t>KT</t>
        </is>
      </c>
      <c r="G246" s="47" t="inlineStr">
        <is>
          <t>LTE</t>
        </is>
      </c>
      <c r="H246" s="48" t="n">
        <v>7700</v>
      </c>
      <c r="I246" s="48" t="n">
        <v>12</v>
      </c>
      <c r="J246" s="48" t="n">
        <v>28600</v>
      </c>
      <c r="K246" s="47">
        <f t="array" ref="K246">_xlfn.XLOOKUP(1,(참조!$B$2:$B$15=E246)*(참조!$D$2:$D$15=C246)*(참조!$E$2:$E$15=D246),참조!$C$2:$C$15,"")</f>
        <v/>
      </c>
    </row>
    <row r="247" hidden="1" s="27">
      <c r="A247" s="47" t="inlineStr">
        <is>
          <t>인스모바일</t>
        </is>
      </c>
      <c r="B247" s="47" t="inlineStr">
        <is>
          <t>데이터 안심 5GB+(USIM)</t>
        </is>
      </c>
      <c r="C247" s="47" t="inlineStr">
        <is>
          <t>200분</t>
        </is>
      </c>
      <c r="D247" s="47" t="inlineStr">
        <is>
          <t>100건</t>
        </is>
      </c>
      <c r="E247" s="47" t="inlineStr">
        <is>
          <t>월 5GB + 1Mbps</t>
        </is>
      </c>
      <c r="F247" s="47" t="inlineStr">
        <is>
          <t>LG U+</t>
        </is>
      </c>
      <c r="G247" s="47" t="inlineStr">
        <is>
          <t>LTE</t>
        </is>
      </c>
      <c r="H247" s="48" t="n">
        <v>10</v>
      </c>
      <c r="I247" s="48" t="n">
        <v>6</v>
      </c>
      <c r="J247" s="48" t="n">
        <v>25300</v>
      </c>
      <c r="K247" s="47">
        <f t="array" ref="K247">_xlfn.XLOOKUP(1,(참조!$B$2:$B$15=E247)*(참조!$D$2:$D$15=C247)*(참조!$E$2:$E$15=D247),참조!$C$2:$C$15,"")</f>
        <v/>
      </c>
    </row>
    <row r="248" hidden="1" s="27">
      <c r="A248" s="47" t="inlineStr">
        <is>
          <t>KG모바일</t>
        </is>
      </c>
      <c r="B248" s="47" t="inlineStr">
        <is>
          <t>[모빌카드 스페셜] 통화, 데이터 마음대로 100GB+</t>
        </is>
      </c>
      <c r="C248" s="47" t="inlineStr">
        <is>
          <t>무제한</t>
        </is>
      </c>
      <c r="D248" s="47" t="inlineStr">
        <is>
          <t>무제한</t>
        </is>
      </c>
      <c r="E248" s="47" t="inlineStr">
        <is>
          <t>월 100GB + 5Mbps</t>
        </is>
      </c>
      <c r="F248" s="47" t="inlineStr">
        <is>
          <t>LG U+</t>
        </is>
      </c>
      <c r="G248" s="47" t="inlineStr">
        <is>
          <t>LTE</t>
        </is>
      </c>
      <c r="H248" s="48" t="n">
        <v>9900</v>
      </c>
      <c r="I248" s="48" t="n">
        <v>7</v>
      </c>
      <c r="J248" s="48" t="n">
        <v>47300</v>
      </c>
      <c r="K248" s="47">
        <f t="array" ref="K248">_xlfn.XLOOKUP(1,(참조!$B$2:$B$15=E248)*(참조!$D$2:$D$15=C248)*(참조!$E$2:$E$15=D248),참조!$C$2:$C$15,"")</f>
        <v/>
      </c>
    </row>
    <row r="249" hidden="1" s="27">
      <c r="A249" s="47" t="inlineStr">
        <is>
          <t>더원모바일</t>
        </is>
      </c>
      <c r="B249" s="47" t="inlineStr">
        <is>
          <t>TOP 100GB 기본 (웨이브 광고형)</t>
        </is>
      </c>
      <c r="C249" s="47" t="inlineStr">
        <is>
          <t>무제한</t>
        </is>
      </c>
      <c r="D249" s="47" t="inlineStr">
        <is>
          <t>무제한</t>
        </is>
      </c>
      <c r="E249" s="47" t="inlineStr">
        <is>
          <t>월 100GB + 5Mbps</t>
        </is>
      </c>
      <c r="F249" s="47" t="inlineStr">
        <is>
          <t>KT</t>
        </is>
      </c>
      <c r="G249" s="47" t="inlineStr">
        <is>
          <t>LTE</t>
        </is>
      </c>
      <c r="H249" s="48" t="n">
        <v>22990</v>
      </c>
      <c r="I249" s="48" t="n">
        <v>12</v>
      </c>
      <c r="J249" s="48" t="n">
        <v>46200</v>
      </c>
      <c r="K249" s="47">
        <f t="array" ref="K249">_xlfn.XLOOKUP(1,(참조!$B$2:$B$15=E249)*(참조!$D$2:$D$15=C249)*(참조!$E$2:$E$15=D249),참조!$C$2:$C$15,"")</f>
        <v/>
      </c>
    </row>
    <row r="250" hidden="1" s="27">
      <c r="A250" s="47" t="inlineStr">
        <is>
          <t>더원모바일</t>
        </is>
      </c>
      <c r="B250" s="47" t="inlineStr">
        <is>
          <t>TOP 100GB 기본 (올리브영)</t>
        </is>
      </c>
      <c r="C250" s="47" t="inlineStr">
        <is>
          <t>무제한</t>
        </is>
      </c>
      <c r="D250" s="47" t="inlineStr">
        <is>
          <t>무제한</t>
        </is>
      </c>
      <c r="E250" s="47" t="inlineStr">
        <is>
          <t>월 100GB + 5Mbps</t>
        </is>
      </c>
      <c r="F250" s="47" t="inlineStr">
        <is>
          <t>KT</t>
        </is>
      </c>
      <c r="G250" s="47" t="inlineStr">
        <is>
          <t>LTE</t>
        </is>
      </c>
      <c r="H250" s="48" t="n">
        <v>22990</v>
      </c>
      <c r="I250" s="48" t="n">
        <v>12</v>
      </c>
      <c r="J250" s="48" t="n">
        <v>46200</v>
      </c>
      <c r="K250" s="47">
        <f t="array" ref="K250">_xlfn.XLOOKUP(1,(참조!$B$2:$B$15=E250)*(참조!$D$2:$D$15=C250)*(참조!$E$2:$E$15=D250),참조!$C$2:$C$15,"")</f>
        <v/>
      </c>
    </row>
    <row r="251" hidden="1" s="27">
      <c r="A251" s="47" t="inlineStr">
        <is>
          <t>스마텔</t>
        </is>
      </c>
      <c r="B251" s="47" t="inlineStr">
        <is>
          <t>스마일플러스 (100분+6GB)</t>
        </is>
      </c>
      <c r="C251" s="47" t="inlineStr">
        <is>
          <t>100분</t>
        </is>
      </c>
      <c r="D251" s="47" t="inlineStr">
        <is>
          <t>100건</t>
        </is>
      </c>
      <c r="E251" s="47" t="inlineStr">
        <is>
          <t>월 6GB</t>
        </is>
      </c>
      <c r="F251" s="47" t="inlineStr">
        <is>
          <t>SKT</t>
        </is>
      </c>
      <c r="G251" s="47" t="inlineStr">
        <is>
          <t>LTE</t>
        </is>
      </c>
      <c r="H251" s="48" t="n">
        <v>990</v>
      </c>
      <c r="I251" s="48" t="n">
        <v>12</v>
      </c>
      <c r="J251" s="48" t="n">
        <v>9900</v>
      </c>
      <c r="K251" s="47">
        <f t="array" ref="K251">_xlfn.XLOOKUP(1,(참조!$B$2:$B$15=E251)*(참조!$D$2:$D$15=C251)*(참조!$E$2:$E$15=D251),참조!$C$2:$C$15,"")</f>
        <v/>
      </c>
    </row>
    <row r="252" hidden="1" s="27">
      <c r="A252" s="47" t="inlineStr">
        <is>
          <t>이야기모바일</t>
        </is>
      </c>
      <c r="B252" s="47" t="inlineStr">
        <is>
          <t>함께이야기해S(200분+10GB)</t>
        </is>
      </c>
      <c r="C252" s="47" t="inlineStr">
        <is>
          <t>200분</t>
        </is>
      </c>
      <c r="D252" s="47" t="inlineStr">
        <is>
          <t>100건</t>
        </is>
      </c>
      <c r="E252" s="47" t="inlineStr">
        <is>
          <t>월 10GB</t>
        </is>
      </c>
      <c r="F252" s="47" t="inlineStr">
        <is>
          <t>SKT</t>
        </is>
      </c>
      <c r="G252" s="47" t="inlineStr">
        <is>
          <t>LTE</t>
        </is>
      </c>
      <c r="H252" s="48" t="n">
        <v>100</v>
      </c>
      <c r="I252" s="48" t="n">
        <v>12</v>
      </c>
      <c r="J252" s="48" t="n">
        <v>9900</v>
      </c>
      <c r="K252" s="47">
        <f t="array" ref="K252">_xlfn.XLOOKUP(1,(참조!$B$2:$B$15=E252)*(참조!$D$2:$D$15=C252)*(참조!$E$2:$E$15=D252),참조!$C$2:$C$15,"")</f>
        <v/>
      </c>
    </row>
    <row r="253" hidden="1" s="27">
      <c r="A253" s="47" t="inlineStr">
        <is>
          <t>KG모바일</t>
        </is>
      </c>
      <c r="B253" s="47" t="inlineStr">
        <is>
          <t>[평생할인] 통화, 데이터 마음대로 11GB+</t>
        </is>
      </c>
      <c r="C253" s="47" t="inlineStr">
        <is>
          <t>무제한</t>
        </is>
      </c>
      <c r="D253" s="47" t="inlineStr">
        <is>
          <t>무제한</t>
        </is>
      </c>
      <c r="E253" s="47" t="inlineStr">
        <is>
          <t>월 11GB + 매일 2GB + 3Mbps</t>
        </is>
      </c>
      <c r="F253" s="47" t="inlineStr">
        <is>
          <t>LG U+</t>
        </is>
      </c>
      <c r="G253" s="47" t="inlineStr">
        <is>
          <t>LTE</t>
        </is>
      </c>
      <c r="H253" s="48" t="n">
        <v>28900</v>
      </c>
      <c r="I253" s="48" t="n"/>
      <c r="J253" s="48" t="n"/>
      <c r="K253" s="47">
        <f t="array" ref="K253">_xlfn.XLOOKUP(1,(참조!$B$2:$B$15=E253)*(참조!$D$2:$D$15=C253)*(참조!$E$2:$E$15=D253),참조!$C$2:$C$15,"")</f>
        <v/>
      </c>
    </row>
    <row r="254" hidden="1" s="27">
      <c r="A254" s="47" t="inlineStr">
        <is>
          <t>슈가모바일</t>
        </is>
      </c>
      <c r="B254" s="47" t="inlineStr">
        <is>
          <t>5G 슈가(Sugar)통화마음대로 95GB+</t>
        </is>
      </c>
      <c r="C254" s="47" t="inlineStr">
        <is>
          <t>무제한</t>
        </is>
      </c>
      <c r="D254" s="47" t="inlineStr">
        <is>
          <t>무제한</t>
        </is>
      </c>
      <c r="E254" s="47" t="inlineStr">
        <is>
          <t>월 95GB + 3Mbps</t>
        </is>
      </c>
      <c r="F254" s="47" t="inlineStr">
        <is>
          <t>LG U+</t>
        </is>
      </c>
      <c r="G254" s="47" t="inlineStr">
        <is>
          <t>5G</t>
        </is>
      </c>
      <c r="H254" s="48" t="n">
        <v>28800</v>
      </c>
      <c r="I254" s="48" t="n"/>
      <c r="J254" s="48" t="n"/>
      <c r="K254" s="47">
        <f t="array" ref="K254">_xlfn.XLOOKUP(1,(참조!$B$2:$B$15=E254)*(참조!$D$2:$D$15=C254)*(참조!$E$2:$E$15=D254),참조!$C$2:$C$15,"")</f>
        <v/>
      </c>
    </row>
    <row r="255" hidden="1" s="27">
      <c r="A255" s="47" t="inlineStr">
        <is>
          <t>티플러스</t>
        </is>
      </c>
      <c r="B255" s="47" t="inlineStr">
        <is>
          <t>티플 5GB(5GB/300분)</t>
        </is>
      </c>
      <c r="C255" s="47" t="inlineStr">
        <is>
          <t>300분</t>
        </is>
      </c>
      <c r="D255" s="47" t="inlineStr">
        <is>
          <t>100건</t>
        </is>
      </c>
      <c r="E255" s="47" t="inlineStr">
        <is>
          <t>월 5GB</t>
        </is>
      </c>
      <c r="F255" s="47" t="inlineStr">
        <is>
          <t>SKT</t>
        </is>
      </c>
      <c r="G255" s="47" t="inlineStr">
        <is>
          <t>LTE</t>
        </is>
      </c>
      <c r="H255" s="48" t="n">
        <v>10</v>
      </c>
      <c r="I255" s="48" t="n">
        <v>12</v>
      </c>
      <c r="J255" s="48" t="n">
        <v>11000</v>
      </c>
      <c r="K255" s="47">
        <f t="array" ref="K255">_xlfn.XLOOKUP(1,(참조!$B$2:$B$15=E255)*(참조!$D$2:$D$15=C255)*(참조!$E$2:$E$15=D255),참조!$C$2:$C$15,"")</f>
        <v/>
      </c>
    </row>
    <row r="256" hidden="1" s="27">
      <c r="A256" s="47" t="inlineStr">
        <is>
          <t>고고모바일</t>
        </is>
      </c>
      <c r="B256" s="47" t="inlineStr">
        <is>
          <t>[모요only] LTE 200분/ 10GB_12개월</t>
        </is>
      </c>
      <c r="C256" s="47" t="inlineStr">
        <is>
          <t>200분</t>
        </is>
      </c>
      <c r="D256" s="47" t="inlineStr">
        <is>
          <t>100건</t>
        </is>
      </c>
      <c r="E256" s="47" t="inlineStr">
        <is>
          <t>월 10GB</t>
        </is>
      </c>
      <c r="F256" s="47" t="inlineStr">
        <is>
          <t>KT</t>
        </is>
      </c>
      <c r="G256" s="47" t="inlineStr">
        <is>
          <t>LTE</t>
        </is>
      </c>
      <c r="H256" s="48" t="n">
        <v>4400</v>
      </c>
      <c r="I256" s="48" t="n">
        <v>12</v>
      </c>
      <c r="J256" s="48" t="n">
        <v>18480</v>
      </c>
      <c r="K256" s="47">
        <f t="array" ref="K256">_xlfn.XLOOKUP(1,(참조!$B$2:$B$15=E256)*(참조!$D$2:$D$15=C256)*(참조!$E$2:$E$15=D256),참조!$C$2:$C$15,"")</f>
        <v/>
      </c>
    </row>
    <row r="257" hidden="1" s="27">
      <c r="A257" s="47" t="inlineStr">
        <is>
          <t>U+유모바일</t>
        </is>
      </c>
      <c r="B257" s="47" t="inlineStr">
        <is>
          <t>데이터 플러스 10GB(평생 +10GB 추가 제공 프로모션)</t>
        </is>
      </c>
      <c r="C257" s="47" t="inlineStr">
        <is>
          <t>무제한</t>
        </is>
      </c>
      <c r="D257" s="47" t="inlineStr">
        <is>
          <t>무제한</t>
        </is>
      </c>
      <c r="E257" s="47" t="inlineStr">
        <is>
          <t>월 20GB + 1Mbps</t>
        </is>
      </c>
      <c r="F257" s="47" t="inlineStr">
        <is>
          <t>LG U+</t>
        </is>
      </c>
      <c r="G257" s="47" t="inlineStr">
        <is>
          <t>LTE</t>
        </is>
      </c>
      <c r="H257" s="48" t="n">
        <v>19900</v>
      </c>
      <c r="I257" s="48" t="n"/>
      <c r="J257" s="48" t="n"/>
      <c r="K257" s="47">
        <f t="array" ref="K257">_xlfn.XLOOKUP(1,(참조!$B$2:$B$15=E257)*(참조!$D$2:$D$15=C257)*(참조!$E$2:$E$15=D257),참조!$C$2:$C$15,"")</f>
        <v/>
      </c>
    </row>
    <row r="258" hidden="1" s="27">
      <c r="A258" s="47" t="inlineStr">
        <is>
          <t>시월모바일</t>
        </is>
      </c>
      <c r="B258" s="47" t="inlineStr">
        <is>
          <t>시월 무제한 11GB+매일2GB+3Mbps</t>
        </is>
      </c>
      <c r="C258" s="47" t="inlineStr">
        <is>
          <t>무제한</t>
        </is>
      </c>
      <c r="D258" s="47" t="inlineStr">
        <is>
          <t>무제한</t>
        </is>
      </c>
      <c r="E258" s="47" t="inlineStr">
        <is>
          <t>월 11GB + 매일 2GB + 3Mbps</t>
        </is>
      </c>
      <c r="F258" s="47" t="inlineStr">
        <is>
          <t>LG U+</t>
        </is>
      </c>
      <c r="G258" s="47" t="inlineStr">
        <is>
          <t>LTE</t>
        </is>
      </c>
      <c r="H258" s="48" t="n">
        <v>12730</v>
      </c>
      <c r="I258" s="48" t="n">
        <v>7</v>
      </c>
      <c r="J258" s="48" t="n">
        <v>39680</v>
      </c>
      <c r="K258" s="47">
        <f t="array" ref="K258">_xlfn.XLOOKUP(1,(참조!$B$2:$B$15=E258)*(참조!$D$2:$D$15=C258)*(참조!$E$2:$E$15=D258),참조!$C$2:$C$15,"")</f>
        <v/>
      </c>
    </row>
    <row r="259" hidden="1" s="27">
      <c r="A259" s="47" t="inlineStr">
        <is>
          <t>더원모바일</t>
        </is>
      </c>
      <c r="B259" s="47" t="inlineStr">
        <is>
          <t>ONE 20GB 300분</t>
        </is>
      </c>
      <c r="C259" s="47" t="inlineStr">
        <is>
          <t>300분</t>
        </is>
      </c>
      <c r="D259" s="47" t="inlineStr">
        <is>
          <t>200건</t>
        </is>
      </c>
      <c r="E259" s="47" t="inlineStr">
        <is>
          <t>월 20GB</t>
        </is>
      </c>
      <c r="F259" s="47" t="inlineStr">
        <is>
          <t>KT</t>
        </is>
      </c>
      <c r="G259" s="47" t="inlineStr">
        <is>
          <t>LTE</t>
        </is>
      </c>
      <c r="H259" s="48" t="n">
        <v>3960</v>
      </c>
      <c r="I259" s="48" t="n">
        <v>6</v>
      </c>
      <c r="J259" s="48" t="n">
        <v>29700</v>
      </c>
      <c r="K259" s="47">
        <f t="array" ref="K259">_xlfn.XLOOKUP(1,(참조!$B$2:$B$15=E259)*(참조!$D$2:$D$15=C259)*(참조!$E$2:$E$15=D259),참조!$C$2:$C$15,"")</f>
        <v/>
      </c>
    </row>
    <row r="260" hidden="1" s="27">
      <c r="A260" s="47" t="inlineStr">
        <is>
          <t>KT엠모바일</t>
        </is>
      </c>
      <c r="B260" s="47" t="inlineStr">
        <is>
          <t>통화 맘껏 25GB</t>
        </is>
      </c>
      <c r="C260" s="47" t="inlineStr">
        <is>
          <t>무제한</t>
        </is>
      </c>
      <c r="D260" s="47" t="inlineStr">
        <is>
          <t>무제한</t>
        </is>
      </c>
      <c r="E260" s="47" t="inlineStr">
        <is>
          <t>월 25GB</t>
        </is>
      </c>
      <c r="F260" s="47" t="inlineStr">
        <is>
          <t>KT</t>
        </is>
      </c>
      <c r="G260" s="47" t="inlineStr">
        <is>
          <t>LTE</t>
        </is>
      </c>
      <c r="H260" s="48" t="n">
        <v>16400</v>
      </c>
      <c r="I260" s="48" t="n"/>
      <c r="J260" s="48" t="n"/>
      <c r="K260" s="47">
        <f t="array" ref="K260">_xlfn.XLOOKUP(1,(참조!$B$2:$B$15=E260)*(참조!$D$2:$D$15=C260)*(참조!$E$2:$E$15=D260),참조!$C$2:$C$15,"")</f>
        <v/>
      </c>
    </row>
    <row r="261" hidden="1" s="27">
      <c r="A261" s="47" t="inlineStr">
        <is>
          <t>마블링</t>
        </is>
      </c>
      <c r="B261" s="47" t="inlineStr">
        <is>
          <t>[모요only] 마블링 프라임 7GB+1Mbps</t>
        </is>
      </c>
      <c r="C261" s="47" t="inlineStr">
        <is>
          <t>무제한</t>
        </is>
      </c>
      <c r="D261" s="47" t="inlineStr">
        <is>
          <t>무제한</t>
        </is>
      </c>
      <c r="E261" s="47" t="inlineStr">
        <is>
          <t>월 7GB + 1Mbps</t>
        </is>
      </c>
      <c r="F261" s="47" t="inlineStr">
        <is>
          <t>LG U+</t>
        </is>
      </c>
      <c r="G261" s="47" t="inlineStr">
        <is>
          <t>LTE</t>
        </is>
      </c>
      <c r="H261" s="48" t="n">
        <v>2990</v>
      </c>
      <c r="I261" s="48" t="n">
        <v>7</v>
      </c>
      <c r="J261" s="48" t="n">
        <v>19800</v>
      </c>
      <c r="K261" s="47">
        <f t="array" ref="K261">_xlfn.XLOOKUP(1,(참조!$B$2:$B$15=E261)*(참조!$D$2:$D$15=C261)*(참조!$E$2:$E$15=D261),참조!$C$2:$C$15,"")</f>
        <v/>
      </c>
    </row>
    <row r="262" hidden="1" s="27">
      <c r="A262" s="47" t="inlineStr">
        <is>
          <t>슈가모바일</t>
        </is>
      </c>
      <c r="B262" s="47" t="inlineStr">
        <is>
          <t>Sugar 11GB+매일2GB+ (12개월+)</t>
        </is>
      </c>
      <c r="C262" s="47" t="inlineStr">
        <is>
          <t>무제한</t>
        </is>
      </c>
      <c r="D262" s="47" t="inlineStr">
        <is>
          <t>무제한</t>
        </is>
      </c>
      <c r="E262" s="47" t="inlineStr">
        <is>
          <t>월 11GB + 매일 2GB + 3Mbps</t>
        </is>
      </c>
      <c r="F262" s="47" t="inlineStr">
        <is>
          <t>LG U+</t>
        </is>
      </c>
      <c r="G262" s="47" t="inlineStr">
        <is>
          <t>LTE</t>
        </is>
      </c>
      <c r="H262" s="48" t="n">
        <v>22000</v>
      </c>
      <c r="I262" s="48" t="n">
        <v>12</v>
      </c>
      <c r="J262" s="48" t="n">
        <v>41300</v>
      </c>
      <c r="K262" s="47">
        <f t="array" ref="K262">_xlfn.XLOOKUP(1,(참조!$B$2:$B$15=E262)*(참조!$D$2:$D$15=C262)*(참조!$E$2:$E$15=D262),참조!$C$2:$C$15,"")</f>
        <v/>
      </c>
    </row>
    <row r="263" hidden="1" s="27">
      <c r="A263" s="47" t="inlineStr">
        <is>
          <t>이야기모바일</t>
        </is>
      </c>
      <c r="B263" s="47" t="inlineStr">
        <is>
          <t>이야기 6GB 350분</t>
        </is>
      </c>
      <c r="C263" s="47" t="inlineStr">
        <is>
          <t>350분</t>
        </is>
      </c>
      <c r="D263" s="47" t="inlineStr">
        <is>
          <t>100건</t>
        </is>
      </c>
      <c r="E263" s="47" t="inlineStr">
        <is>
          <t>월 6GB</t>
        </is>
      </c>
      <c r="F263" s="47" t="inlineStr">
        <is>
          <t>LG U+</t>
        </is>
      </c>
      <c r="G263" s="47" t="inlineStr">
        <is>
          <t>LTE</t>
        </is>
      </c>
      <c r="H263" s="48" t="n">
        <v>3300</v>
      </c>
      <c r="I263" s="48" t="n">
        <v>24</v>
      </c>
      <c r="J263" s="48" t="n">
        <v>5500</v>
      </c>
      <c r="K263" s="47">
        <f t="array" ref="K263">_xlfn.XLOOKUP(1,(참조!$B$2:$B$15=E263)*(참조!$D$2:$D$15=C263)*(참조!$E$2:$E$15=D263),참조!$C$2:$C$15,"")</f>
        <v/>
      </c>
    </row>
    <row r="264" hidden="1" s="27">
      <c r="A264" s="47" t="inlineStr">
        <is>
          <t>이야기모바일</t>
        </is>
      </c>
      <c r="B264" s="47" t="inlineStr">
        <is>
          <t>이야기 10GB 100분</t>
        </is>
      </c>
      <c r="C264" s="47" t="inlineStr">
        <is>
          <t>100분</t>
        </is>
      </c>
      <c r="D264" s="47" t="inlineStr">
        <is>
          <t>100건</t>
        </is>
      </c>
      <c r="E264" s="47" t="inlineStr">
        <is>
          <t>월 10GB</t>
        </is>
      </c>
      <c r="F264" s="47" t="inlineStr">
        <is>
          <t>LG U+</t>
        </is>
      </c>
      <c r="G264" s="47" t="inlineStr">
        <is>
          <t>LTE</t>
        </is>
      </c>
      <c r="H264" s="48" t="n">
        <v>10</v>
      </c>
      <c r="I264" s="48" t="n">
        <v>6</v>
      </c>
      <c r="J264" s="48" t="n">
        <v>9900</v>
      </c>
      <c r="K264" s="47">
        <f t="array" ref="K264">_xlfn.XLOOKUP(1,(참조!$B$2:$B$15=E264)*(참조!$D$2:$D$15=C264)*(참조!$E$2:$E$15=D264),참조!$C$2:$C$15,"")</f>
        <v/>
      </c>
    </row>
    <row r="265" hidden="1" s="27">
      <c r="A265" s="47" t="inlineStr">
        <is>
          <t>더원모바일</t>
        </is>
      </c>
      <c r="B265" s="47" t="inlineStr">
        <is>
          <t>TOP 100GB 기본 (CU할인)</t>
        </is>
      </c>
      <c r="C265" s="47" t="inlineStr">
        <is>
          <t>무제한</t>
        </is>
      </c>
      <c r="D265" s="47" t="inlineStr">
        <is>
          <t>무제한</t>
        </is>
      </c>
      <c r="E265" s="47" t="inlineStr">
        <is>
          <t>월 100GB + 5Mbps</t>
        </is>
      </c>
      <c r="F265" s="47" t="inlineStr">
        <is>
          <t>KT</t>
        </is>
      </c>
      <c r="G265" s="47" t="inlineStr">
        <is>
          <t>LTE</t>
        </is>
      </c>
      <c r="H265" s="48" t="n">
        <v>12980</v>
      </c>
      <c r="I265" s="48" t="n">
        <v>7</v>
      </c>
      <c r="J265" s="48" t="n">
        <v>46200</v>
      </c>
      <c r="K265" s="47">
        <f t="array" ref="K265">_xlfn.XLOOKUP(1,(참조!$B$2:$B$15=E265)*(참조!$D$2:$D$15=C265)*(참조!$E$2:$E$15=D265),참조!$C$2:$C$15,"")</f>
        <v/>
      </c>
    </row>
    <row r="266" hidden="1" s="27">
      <c r="A266" s="47" t="inlineStr">
        <is>
          <t>티플러스</t>
        </is>
      </c>
      <c r="B266" s="47" t="inlineStr">
        <is>
          <t>티플온 일5G＋</t>
        </is>
      </c>
      <c r="C266" s="47" t="inlineStr">
        <is>
          <t>무제한</t>
        </is>
      </c>
      <c r="D266" s="47" t="inlineStr">
        <is>
          <t>무제한</t>
        </is>
      </c>
      <c r="E266" s="47" t="inlineStr">
        <is>
          <t>매일 5GB + 5Mbps</t>
        </is>
      </c>
      <c r="F266" s="47" t="inlineStr">
        <is>
          <t>LG U+</t>
        </is>
      </c>
      <c r="G266" s="47" t="inlineStr">
        <is>
          <t>LTE</t>
        </is>
      </c>
      <c r="H266" s="48" t="n">
        <v>10900</v>
      </c>
      <c r="I266" s="48" t="n">
        <v>7</v>
      </c>
      <c r="J266" s="48" t="n">
        <v>55000</v>
      </c>
      <c r="K266" s="47">
        <f t="array" ref="K266">_xlfn.XLOOKUP(1,(참조!$B$2:$B$15=E266)*(참조!$D$2:$D$15=C266)*(참조!$E$2:$E$15=D266),참조!$C$2:$C$15,"")</f>
        <v/>
      </c>
    </row>
    <row r="267" hidden="1" s="27">
      <c r="A267" s="47" t="inlineStr">
        <is>
          <t>티플러스</t>
        </is>
      </c>
      <c r="B267" s="47" t="inlineStr">
        <is>
          <t>티플온 100G＋</t>
        </is>
      </c>
      <c r="C267" s="47" t="inlineStr">
        <is>
          <t>무제한</t>
        </is>
      </c>
      <c r="D267" s="47" t="inlineStr">
        <is>
          <t>무제한</t>
        </is>
      </c>
      <c r="E267" s="47" t="inlineStr">
        <is>
          <t>월 100GB + 5Mbps</t>
        </is>
      </c>
      <c r="F267" s="47" t="inlineStr">
        <is>
          <t>LG U+</t>
        </is>
      </c>
      <c r="G267" s="47" t="inlineStr">
        <is>
          <t>LTE</t>
        </is>
      </c>
      <c r="H267" s="48" t="n">
        <v>10900</v>
      </c>
      <c r="I267" s="48" t="n">
        <v>7</v>
      </c>
      <c r="J267" s="48" t="n">
        <v>55000</v>
      </c>
      <c r="K267" s="47">
        <f t="array" ref="K267">_xlfn.XLOOKUP(1,(참조!$B$2:$B$15=E267)*(참조!$D$2:$D$15=C267)*(참조!$E$2:$E$15=D267),참조!$C$2:$C$15,"")</f>
        <v/>
      </c>
    </row>
    <row r="268" hidden="1" s="27">
      <c r="A268" s="47" t="inlineStr">
        <is>
          <t>슈가모바일</t>
        </is>
      </c>
      <c r="B268" s="47" t="inlineStr">
        <is>
          <t>Sugar 매일5GB++ (12개월+)</t>
        </is>
      </c>
      <c r="C268" s="47" t="inlineStr">
        <is>
          <t>무제한</t>
        </is>
      </c>
      <c r="D268" s="47" t="inlineStr">
        <is>
          <t>무제한</t>
        </is>
      </c>
      <c r="E268" s="47" t="inlineStr">
        <is>
          <t>매일 5GB + 5Mbps</t>
        </is>
      </c>
      <c r="F268" s="47" t="inlineStr">
        <is>
          <t>LG U+</t>
        </is>
      </c>
      <c r="G268" s="47" t="inlineStr">
        <is>
          <t>LTE</t>
        </is>
      </c>
      <c r="H268" s="48" t="n">
        <v>25500</v>
      </c>
      <c r="I268" s="48" t="n">
        <v>12</v>
      </c>
      <c r="J268" s="48" t="n">
        <v>48000</v>
      </c>
      <c r="K268" s="47">
        <f t="array" ref="K268">_xlfn.XLOOKUP(1,(참조!$B$2:$B$15=E268)*(참조!$D$2:$D$15=C268)*(참조!$E$2:$E$15=D268),참조!$C$2:$C$15,"")</f>
        <v/>
      </c>
    </row>
    <row r="269" hidden="1" s="27">
      <c r="A269" s="47" t="inlineStr">
        <is>
          <t>슈가모바일</t>
        </is>
      </c>
      <c r="B269" s="47" t="inlineStr">
        <is>
          <t>Sugar 세이브+(200분/10GB)</t>
        </is>
      </c>
      <c r="C269" s="47" t="inlineStr">
        <is>
          <t>200분</t>
        </is>
      </c>
      <c r="D269" s="47" t="inlineStr">
        <is>
          <t>100건</t>
        </is>
      </c>
      <c r="E269" s="47" t="inlineStr">
        <is>
          <t>월 10GB + 1Mbps</t>
        </is>
      </c>
      <c r="F269" s="47" t="inlineStr">
        <is>
          <t>LG U+</t>
        </is>
      </c>
      <c r="G269" s="47" t="inlineStr">
        <is>
          <t>LTE</t>
        </is>
      </c>
      <c r="H269" s="48" t="n">
        <v>7500</v>
      </c>
      <c r="I269" s="48" t="n"/>
      <c r="J269" s="48" t="n"/>
      <c r="K269" s="47">
        <f t="array" ref="K269">_xlfn.XLOOKUP(1,(참조!$B$2:$B$15=E269)*(참조!$D$2:$D$15=C269)*(참조!$E$2:$E$15=D269),참조!$C$2:$C$15,"")</f>
        <v/>
      </c>
    </row>
    <row r="270" hidden="1" s="27">
      <c r="A270" s="47" t="inlineStr">
        <is>
          <t>티플러스</t>
        </is>
      </c>
      <c r="B270" s="47" t="inlineStr">
        <is>
          <t>The 완전마음껏15G＋_24개월 할인</t>
        </is>
      </c>
      <c r="C270" s="47" t="inlineStr">
        <is>
          <t>무제한</t>
        </is>
      </c>
      <c r="D270" s="47" t="inlineStr">
        <is>
          <t>무제한</t>
        </is>
      </c>
      <c r="E270" s="47" t="inlineStr">
        <is>
          <t>월 15GB + 1Mbps</t>
        </is>
      </c>
      <c r="F270" s="47" t="inlineStr">
        <is>
          <t>LG U+</t>
        </is>
      </c>
      <c r="G270" s="47" t="inlineStr">
        <is>
          <t>LTE</t>
        </is>
      </c>
      <c r="H270" s="48" t="n">
        <v>12900</v>
      </c>
      <c r="I270" s="48" t="n">
        <v>24</v>
      </c>
      <c r="J270" s="48" t="n">
        <v>31460</v>
      </c>
      <c r="K270" s="47">
        <f t="array" ref="K270">_xlfn.XLOOKUP(1,(참조!$B$2:$B$15=E270)*(참조!$D$2:$D$15=C270)*(참조!$E$2:$E$15=D270),참조!$C$2:$C$15,"")</f>
        <v/>
      </c>
    </row>
    <row r="271" hidden="1" s="27">
      <c r="A271" s="47" t="inlineStr">
        <is>
          <t>스마텔</t>
        </is>
      </c>
      <c r="B271" s="47" t="inlineStr">
        <is>
          <t>5G 음성무제한 15GB</t>
        </is>
      </c>
      <c r="C271" s="47" t="inlineStr">
        <is>
          <t>무제한</t>
        </is>
      </c>
      <c r="D271" s="47" t="inlineStr">
        <is>
          <t>200건</t>
        </is>
      </c>
      <c r="E271" s="47" t="inlineStr">
        <is>
          <t>월 15GB</t>
        </is>
      </c>
      <c r="F271" s="47" t="inlineStr">
        <is>
          <t>SKT</t>
        </is>
      </c>
      <c r="G271" s="47" t="inlineStr">
        <is>
          <t>5G</t>
        </is>
      </c>
      <c r="H271" s="48" t="n">
        <v>12900</v>
      </c>
      <c r="I271" s="48" t="n"/>
      <c r="J271" s="48" t="n"/>
      <c r="K271" s="47">
        <f t="array" ref="K271">_xlfn.XLOOKUP(1,(참조!$B$2:$B$15=E271)*(참조!$D$2:$D$15=C271)*(참조!$E$2:$E$15=D271),참조!$C$2:$C$15,"")</f>
        <v/>
      </c>
    </row>
    <row r="272" hidden="1" s="27">
      <c r="A272" s="47" t="inlineStr">
        <is>
          <t>티플러스</t>
        </is>
      </c>
      <c r="B272" s="47" t="inlineStr">
        <is>
          <t>가성비플러스(10GB/350분)</t>
        </is>
      </c>
      <c r="C272" s="47" t="inlineStr">
        <is>
          <t>350분</t>
        </is>
      </c>
      <c r="D272" s="47" t="inlineStr">
        <is>
          <t>100건</t>
        </is>
      </c>
      <c r="E272" s="47" t="inlineStr">
        <is>
          <t>월 10GB</t>
        </is>
      </c>
      <c r="F272" s="47" t="inlineStr">
        <is>
          <t>LG U+</t>
        </is>
      </c>
      <c r="G272" s="47" t="inlineStr">
        <is>
          <t>LTE</t>
        </is>
      </c>
      <c r="H272" s="48" t="n">
        <v>10</v>
      </c>
      <c r="I272" s="48" t="n">
        <v>6</v>
      </c>
      <c r="J272" s="48" t="n">
        <v>15400</v>
      </c>
      <c r="K272" s="47">
        <f t="array" ref="K272">_xlfn.XLOOKUP(1,(참조!$B$2:$B$15=E272)*(참조!$D$2:$D$15=C272)*(참조!$E$2:$E$15=D272),참조!$C$2:$C$15,"")</f>
        <v/>
      </c>
    </row>
    <row r="273" hidden="1" s="27">
      <c r="A273" s="47" t="inlineStr">
        <is>
          <t>슈가모바일</t>
        </is>
      </c>
      <c r="B273" s="47" t="inlineStr">
        <is>
          <t>5G Sugar 실속(500분/10GB)</t>
        </is>
      </c>
      <c r="C273" s="47" t="inlineStr">
        <is>
          <t>500분</t>
        </is>
      </c>
      <c r="D273" s="47" t="inlineStr">
        <is>
          <t>100건</t>
        </is>
      </c>
      <c r="E273" s="47" t="inlineStr">
        <is>
          <t>월 10GB</t>
        </is>
      </c>
      <c r="F273" s="47" t="inlineStr">
        <is>
          <t>LG U+</t>
        </is>
      </c>
      <c r="G273" s="47" t="inlineStr">
        <is>
          <t>5G</t>
        </is>
      </c>
      <c r="H273" s="48" t="n">
        <v>5500</v>
      </c>
      <c r="I273" s="48" t="n"/>
      <c r="J273" s="48" t="n"/>
      <c r="K273" s="47">
        <f t="array" ref="K273">_xlfn.XLOOKUP(1,(참조!$B$2:$B$15=E273)*(참조!$D$2:$D$15=C273)*(참조!$E$2:$E$15=D273),참조!$C$2:$C$15,"")</f>
        <v/>
      </c>
    </row>
    <row r="274" hidden="1" s="27">
      <c r="A274" s="47" t="inlineStr">
        <is>
          <t>KG모바일</t>
        </is>
      </c>
      <c r="B274" s="47" t="inlineStr">
        <is>
          <t>[모빌카드 스페셜] 유심 5G 150GB+</t>
        </is>
      </c>
      <c r="C274" s="47" t="inlineStr">
        <is>
          <t>무제한</t>
        </is>
      </c>
      <c r="D274" s="47" t="inlineStr">
        <is>
          <t>무제한</t>
        </is>
      </c>
      <c r="E274" s="47" t="inlineStr">
        <is>
          <t>월 150GB + 5Mbps</t>
        </is>
      </c>
      <c r="F274" s="47" t="inlineStr">
        <is>
          <t>LG U+</t>
        </is>
      </c>
      <c r="G274" s="47" t="inlineStr">
        <is>
          <t>5G</t>
        </is>
      </c>
      <c r="H274" s="48" t="n">
        <v>12900</v>
      </c>
      <c r="I274" s="48" t="n">
        <v>7</v>
      </c>
      <c r="J274" s="48" t="n">
        <v>56100</v>
      </c>
      <c r="K274" s="47">
        <f t="array" ref="K274">_xlfn.XLOOKUP(1,(참조!$B$2:$B$15=E274)*(참조!$D$2:$D$15=C274)*(참조!$E$2:$E$15=D274),참조!$C$2:$C$15,"")</f>
        <v/>
      </c>
    </row>
    <row r="275" hidden="1" s="27">
      <c r="A275" s="47" t="inlineStr">
        <is>
          <t>슈가모바일</t>
        </is>
      </c>
      <c r="B275" s="47" t="inlineStr">
        <is>
          <t>Sugar 실속(300분/15GB)</t>
        </is>
      </c>
      <c r="C275" s="47" t="inlineStr">
        <is>
          <t>300분</t>
        </is>
      </c>
      <c r="D275" s="47" t="inlineStr">
        <is>
          <t>200건</t>
        </is>
      </c>
      <c r="E275" s="47" t="inlineStr">
        <is>
          <t>월 15GB</t>
        </is>
      </c>
      <c r="F275" s="47" t="inlineStr">
        <is>
          <t>LG U+</t>
        </is>
      </c>
      <c r="G275" s="47" t="inlineStr">
        <is>
          <t>LTE</t>
        </is>
      </c>
      <c r="H275" s="48" t="n">
        <v>1100</v>
      </c>
      <c r="I275" s="48" t="n">
        <v>6</v>
      </c>
      <c r="J275" s="48" t="n">
        <v>22990</v>
      </c>
      <c r="K275" s="47">
        <f t="array" ref="K275">_xlfn.XLOOKUP(1,(참조!$B$2:$B$15=E275)*(참조!$D$2:$D$15=C275)*(참조!$E$2:$E$15=D275),참조!$C$2:$C$15,"")</f>
        <v/>
      </c>
    </row>
    <row r="276" hidden="1" s="27">
      <c r="A276" s="47" t="inlineStr">
        <is>
          <t>마블링</t>
        </is>
      </c>
      <c r="B276" s="47" t="inlineStr">
        <is>
          <t>마블링 스탠다드 1GB</t>
        </is>
      </c>
      <c r="C276" s="47" t="inlineStr">
        <is>
          <t>100분</t>
        </is>
      </c>
      <c r="D276" s="47" t="inlineStr">
        <is>
          <t>50건</t>
        </is>
      </c>
      <c r="E276" s="47" t="inlineStr">
        <is>
          <t>월 1GB</t>
        </is>
      </c>
      <c r="F276" s="47" t="inlineStr">
        <is>
          <t>LG U+</t>
        </is>
      </c>
      <c r="G276" s="47" t="inlineStr">
        <is>
          <t>LTE</t>
        </is>
      </c>
      <c r="H276" s="48" t="n">
        <v>110</v>
      </c>
      <c r="I276" s="48" t="n">
        <v>6</v>
      </c>
      <c r="J276" s="48" t="n">
        <v>3300</v>
      </c>
      <c r="K276" s="47">
        <f t="array" ref="K276">_xlfn.XLOOKUP(1,(참조!$B$2:$B$15=E276)*(참조!$D$2:$D$15=C276)*(참조!$E$2:$E$15=D276),참조!$C$2:$C$15,"")</f>
        <v/>
      </c>
    </row>
    <row r="277" hidden="1" s="27">
      <c r="A277" s="47" t="inlineStr">
        <is>
          <t>쉐이크모바일</t>
        </is>
      </c>
      <c r="B277" s="47" t="inlineStr">
        <is>
          <t>[모요only] 쉐이크 LTE 15GB+_네이버페이 매 월 5,000원</t>
        </is>
      </c>
      <c r="C277" s="47" t="inlineStr">
        <is>
          <t>무제한</t>
        </is>
      </c>
      <c r="D277" s="47" t="inlineStr">
        <is>
          <t>무제한</t>
        </is>
      </c>
      <c r="E277" s="47" t="inlineStr">
        <is>
          <t>월 15GB + 1Mbps</t>
        </is>
      </c>
      <c r="F277" s="47" t="inlineStr">
        <is>
          <t>KT</t>
        </is>
      </c>
      <c r="G277" s="47" t="inlineStr">
        <is>
          <t>LTE</t>
        </is>
      </c>
      <c r="H277" s="48" t="n">
        <v>9900</v>
      </c>
      <c r="I277" s="48" t="n">
        <v>7</v>
      </c>
      <c r="J277" s="48" t="n">
        <v>29700</v>
      </c>
      <c r="K277" s="47">
        <f t="array" ref="K277">_xlfn.XLOOKUP(1,(참조!$B$2:$B$15=E277)*(참조!$D$2:$D$15=C277)*(참조!$E$2:$E$15=D277),참조!$C$2:$C$15,"")</f>
        <v/>
      </c>
    </row>
    <row r="278" hidden="1" s="27">
      <c r="A278" s="47" t="inlineStr">
        <is>
          <t>모나</t>
        </is>
      </c>
      <c r="B278" s="47" t="inlineStr">
        <is>
          <t>5G_신한카드_기본150G안심5</t>
        </is>
      </c>
      <c r="C278" s="47" t="inlineStr">
        <is>
          <t>무제한</t>
        </is>
      </c>
      <c r="D278" s="47" t="inlineStr">
        <is>
          <t>무제한</t>
        </is>
      </c>
      <c r="E278" s="47" t="inlineStr">
        <is>
          <t>월 150GB + 5Mbps</t>
        </is>
      </c>
      <c r="F278" s="47" t="inlineStr">
        <is>
          <t>LG U+</t>
        </is>
      </c>
      <c r="G278" s="47" t="inlineStr">
        <is>
          <t>5G</t>
        </is>
      </c>
      <c r="H278" s="48" t="n">
        <v>30900</v>
      </c>
      <c r="I278" s="48" t="n"/>
      <c r="J278" s="48" t="n"/>
      <c r="K278" s="47">
        <f t="array" ref="K278">_xlfn.XLOOKUP(1,(참조!$B$2:$B$15=E278)*(참조!$D$2:$D$15=C278)*(참조!$E$2:$E$15=D278),참조!$C$2:$C$15,"")</f>
        <v/>
      </c>
    </row>
    <row r="279" hidden="1" s="27">
      <c r="A279" s="47" t="inlineStr">
        <is>
          <t>이야기모바일</t>
        </is>
      </c>
      <c r="B279" s="47" t="inlineStr">
        <is>
          <t>이야기 9GB 350분</t>
        </is>
      </c>
      <c r="C279" s="47" t="inlineStr">
        <is>
          <t>350분</t>
        </is>
      </c>
      <c r="D279" s="47" t="inlineStr">
        <is>
          <t>100건</t>
        </is>
      </c>
      <c r="E279" s="47" t="inlineStr">
        <is>
          <t>월 9GB</t>
        </is>
      </c>
      <c r="F279" s="47" t="inlineStr">
        <is>
          <t>LG U+</t>
        </is>
      </c>
      <c r="G279" s="47" t="inlineStr">
        <is>
          <t>LTE</t>
        </is>
      </c>
      <c r="H279" s="48" t="n">
        <v>3300</v>
      </c>
      <c r="I279" s="48" t="n">
        <v>24</v>
      </c>
      <c r="J279" s="48" t="n">
        <v>7700</v>
      </c>
      <c r="K279" s="47">
        <f t="array" ref="K279">_xlfn.XLOOKUP(1,(참조!$B$2:$B$15=E279)*(참조!$D$2:$D$15=C279)*(참조!$E$2:$E$15=D279),참조!$C$2:$C$15,"")</f>
        <v/>
      </c>
    </row>
    <row r="280" hidden="1" s="27">
      <c r="A280" s="47" t="inlineStr">
        <is>
          <t>KG모바일</t>
        </is>
      </c>
      <c r="B280" s="47" t="inlineStr">
        <is>
          <t>[KG모바일 스페셜] 통화, 데이터 마음대로 Pro</t>
        </is>
      </c>
      <c r="C280" s="47" t="inlineStr">
        <is>
          <t>무제한</t>
        </is>
      </c>
      <c r="D280" s="47" t="inlineStr">
        <is>
          <t>무제한</t>
        </is>
      </c>
      <c r="E280" s="47" t="inlineStr">
        <is>
          <t>매일 5GB + 5Mbps</t>
        </is>
      </c>
      <c r="F280" s="47" t="inlineStr">
        <is>
          <t>LG U+</t>
        </is>
      </c>
      <c r="G280" s="47" t="inlineStr">
        <is>
          <t>LTE</t>
        </is>
      </c>
      <c r="H280" s="48" t="n">
        <v>9900</v>
      </c>
      <c r="I280" s="48" t="n">
        <v>7</v>
      </c>
      <c r="J280" s="48" t="n">
        <v>47300</v>
      </c>
      <c r="K280" s="47">
        <f t="array" ref="K280">_xlfn.XLOOKUP(1,(참조!$B$2:$B$15=E280)*(참조!$D$2:$D$15=C280)*(참조!$E$2:$E$15=D280),참조!$C$2:$C$15,"")</f>
        <v/>
      </c>
    </row>
    <row r="281" hidden="1" s="27">
      <c r="A281" s="47" t="inlineStr">
        <is>
          <t>모나</t>
        </is>
      </c>
      <c r="B281" s="47" t="inlineStr">
        <is>
          <t>5G_모나데이터180G안심10</t>
        </is>
      </c>
      <c r="C281" s="47" t="inlineStr">
        <is>
          <t>무제한</t>
        </is>
      </c>
      <c r="D281" s="47" t="inlineStr">
        <is>
          <t>무제한</t>
        </is>
      </c>
      <c r="E281" s="47" t="inlineStr">
        <is>
          <t>월 180GB + 10Mbps</t>
        </is>
      </c>
      <c r="F281" s="47" t="inlineStr">
        <is>
          <t>LG U+</t>
        </is>
      </c>
      <c r="G281" s="47" t="inlineStr">
        <is>
          <t>5G</t>
        </is>
      </c>
      <c r="H281" s="48" t="n">
        <v>28900</v>
      </c>
      <c r="I281" s="48" t="n">
        <v>12</v>
      </c>
      <c r="J281" s="48" t="n">
        <v>66000</v>
      </c>
      <c r="K281" s="47">
        <f t="array" ref="K281">_xlfn.XLOOKUP(1,(참조!$B$2:$B$15=E281)*(참조!$D$2:$D$15=C281)*(참조!$E$2:$E$15=D281),참조!$C$2:$C$15,"")</f>
        <v/>
      </c>
    </row>
    <row r="282" hidden="1" s="27">
      <c r="A282" s="47" t="inlineStr">
        <is>
          <t>스마텔</t>
        </is>
      </c>
      <c r="B282" s="47" t="inlineStr">
        <is>
          <t>USIM 스위트 (100분/10GB)</t>
        </is>
      </c>
      <c r="C282" s="47" t="inlineStr">
        <is>
          <t>100분</t>
        </is>
      </c>
      <c r="D282" s="47" t="inlineStr">
        <is>
          <t>100건</t>
        </is>
      </c>
      <c r="E282" s="47" t="inlineStr">
        <is>
          <t>월 10GB</t>
        </is>
      </c>
      <c r="F282" s="47" t="inlineStr">
        <is>
          <t>KT</t>
        </is>
      </c>
      <c r="G282" s="47" t="inlineStr">
        <is>
          <t>LTE</t>
        </is>
      </c>
      <c r="H282" s="48" t="n">
        <v>90</v>
      </c>
      <c r="I282" s="48" t="n">
        <v>7</v>
      </c>
      <c r="J282" s="48" t="n">
        <v>15400</v>
      </c>
      <c r="K282" s="47">
        <f t="array" ref="K282">_xlfn.XLOOKUP(1,(참조!$B$2:$B$15=E282)*(참조!$D$2:$D$15=C282)*(참조!$E$2:$E$15=D282),참조!$C$2:$C$15,"")</f>
        <v/>
      </c>
    </row>
    <row r="283" hidden="1" s="27">
      <c r="A283" s="47" t="inlineStr">
        <is>
          <t>이야기모바일</t>
        </is>
      </c>
      <c r="B283" s="47" t="inlineStr">
        <is>
          <t>내맘대로S(200+1GB)</t>
        </is>
      </c>
      <c r="C283" s="47" t="inlineStr">
        <is>
          <t>200분</t>
        </is>
      </c>
      <c r="D283" s="47" t="inlineStr">
        <is>
          <t>200건</t>
        </is>
      </c>
      <c r="E283" s="47" t="inlineStr">
        <is>
          <t>월 1GB</t>
        </is>
      </c>
      <c r="F283" s="47" t="inlineStr">
        <is>
          <t>SKT</t>
        </is>
      </c>
      <c r="G283" s="47" t="inlineStr">
        <is>
          <t>LTE</t>
        </is>
      </c>
      <c r="H283" s="48" t="n">
        <v>2600</v>
      </c>
      <c r="I283" s="48" t="n">
        <v>24</v>
      </c>
      <c r="J283" s="48" t="n">
        <v>3600</v>
      </c>
      <c r="K283" s="47">
        <f t="array" ref="K283">_xlfn.XLOOKUP(1,(참조!$B$2:$B$15=E283)*(참조!$D$2:$D$15=C283)*(참조!$E$2:$E$15=D283),참조!$C$2:$C$15,"")</f>
        <v/>
      </c>
    </row>
    <row r="284" hidden="1" s="27">
      <c r="A284" s="47" t="inlineStr">
        <is>
          <t>KG모바일</t>
        </is>
      </c>
      <c r="B284" s="47" t="inlineStr">
        <is>
          <t>[KG모바일 스페셜] 통화, 데이터 마음대로 100GB+</t>
        </is>
      </c>
      <c r="C284" s="47" t="inlineStr">
        <is>
          <t>무제한</t>
        </is>
      </c>
      <c r="D284" s="47" t="inlineStr">
        <is>
          <t>무제한</t>
        </is>
      </c>
      <c r="E284" s="47" t="inlineStr">
        <is>
          <t>월 100GB + 5Mbps</t>
        </is>
      </c>
      <c r="F284" s="47" t="inlineStr">
        <is>
          <t>LG U+</t>
        </is>
      </c>
      <c r="G284" s="47" t="inlineStr">
        <is>
          <t>LTE</t>
        </is>
      </c>
      <c r="H284" s="48" t="n">
        <v>9900</v>
      </c>
      <c r="I284" s="48" t="n">
        <v>7</v>
      </c>
      <c r="J284" s="48" t="n">
        <v>47300</v>
      </c>
      <c r="K284" s="47">
        <f t="array" ref="K284">_xlfn.XLOOKUP(1,(참조!$B$2:$B$15=E284)*(참조!$D$2:$D$15=C284)*(참조!$E$2:$E$15=D284),참조!$C$2:$C$15,"")</f>
        <v/>
      </c>
    </row>
    <row r="285" hidden="1" s="27">
      <c r="A285" s="47" t="inlineStr">
        <is>
          <t>핀다이렉트</t>
        </is>
      </c>
      <c r="B285" s="47" t="inlineStr">
        <is>
          <t>[모요only] [K] 핀다이렉트Z + 밀리의서재(12) _PIN</t>
        </is>
      </c>
      <c r="C285" s="47" t="inlineStr">
        <is>
          <t>무제한</t>
        </is>
      </c>
      <c r="D285" s="47" t="inlineStr">
        <is>
          <t>무제한</t>
        </is>
      </c>
      <c r="E285" s="47" t="inlineStr">
        <is>
          <t>월 11GB + 매일 2GB + 3Mbps</t>
        </is>
      </c>
      <c r="F285" s="47" t="inlineStr">
        <is>
          <t>KT</t>
        </is>
      </c>
      <c r="G285" s="47" t="inlineStr">
        <is>
          <t>LTE</t>
        </is>
      </c>
      <c r="H285" s="48" t="n">
        <v>23000</v>
      </c>
      <c r="I285" s="48" t="n">
        <v>12</v>
      </c>
      <c r="J285" s="48" t="n">
        <v>39600</v>
      </c>
      <c r="K285" s="47">
        <f t="array" ref="K285">_xlfn.XLOOKUP(1,(참조!$B$2:$B$15=E285)*(참조!$D$2:$D$15=C285)*(참조!$E$2:$E$15=D285),참조!$C$2:$C$15,"")</f>
        <v/>
      </c>
    </row>
    <row r="286" hidden="1" s="27">
      <c r="A286" s="47" t="inlineStr">
        <is>
          <t>스마텔</t>
        </is>
      </c>
      <c r="B286" s="47" t="inlineStr">
        <is>
          <t>스마일플러스(350분+7GB)</t>
        </is>
      </c>
      <c r="C286" s="47" t="inlineStr">
        <is>
          <t>350분</t>
        </is>
      </c>
      <c r="D286" s="47" t="inlineStr">
        <is>
          <t>100건</t>
        </is>
      </c>
      <c r="E286" s="47" t="inlineStr">
        <is>
          <t>월 7GB</t>
        </is>
      </c>
      <c r="F286" s="47" t="inlineStr">
        <is>
          <t>SKT</t>
        </is>
      </c>
      <c r="G286" s="47" t="inlineStr">
        <is>
          <t>LTE</t>
        </is>
      </c>
      <c r="H286" s="48" t="n">
        <v>990</v>
      </c>
      <c r="I286" s="48" t="n">
        <v>12</v>
      </c>
      <c r="J286" s="48" t="n">
        <v>17600</v>
      </c>
      <c r="K286" s="47">
        <f t="array" ref="K286">_xlfn.XLOOKUP(1,(참조!$B$2:$B$15=E286)*(참조!$D$2:$D$15=C286)*(참조!$E$2:$E$15=D286),참조!$C$2:$C$15,"")</f>
        <v/>
      </c>
    </row>
    <row r="287" hidden="1" s="27">
      <c r="A287" s="47" t="inlineStr">
        <is>
          <t>KG모바일</t>
        </is>
      </c>
      <c r="B287" s="47" t="inlineStr">
        <is>
          <t>[일반] 실속 (7GB/300분)</t>
        </is>
      </c>
      <c r="C287" s="47" t="inlineStr">
        <is>
          <t>300분</t>
        </is>
      </c>
      <c r="D287" s="47" t="inlineStr">
        <is>
          <t>100건</t>
        </is>
      </c>
      <c r="E287" s="47" t="inlineStr">
        <is>
          <t>월 7GB</t>
        </is>
      </c>
      <c r="F287" s="47" t="inlineStr">
        <is>
          <t>LG U+</t>
        </is>
      </c>
      <c r="G287" s="47" t="inlineStr">
        <is>
          <t>LTE</t>
        </is>
      </c>
      <c r="H287" s="48" t="n">
        <v>2700</v>
      </c>
      <c r="I287" s="48" t="n">
        <v>6</v>
      </c>
      <c r="J287" s="48" t="n">
        <v>14300</v>
      </c>
      <c r="K287" s="47">
        <f t="array" ref="K287">_xlfn.XLOOKUP(1,(참조!$B$2:$B$15=E287)*(참조!$D$2:$D$15=C287)*(참조!$E$2:$E$15=D287),참조!$C$2:$C$15,"")</f>
        <v/>
      </c>
    </row>
    <row r="288" hidden="1" s="27">
      <c r="A288" s="47" t="inlineStr">
        <is>
          <t>더원모바일</t>
        </is>
      </c>
      <c r="B288" s="47" t="inlineStr">
        <is>
          <t>TOP 15GB 100분 (밀리의서재)</t>
        </is>
      </c>
      <c r="C288" s="47" t="inlineStr">
        <is>
          <t>100분</t>
        </is>
      </c>
      <c r="D288" s="47" t="inlineStr">
        <is>
          <t>100건</t>
        </is>
      </c>
      <c r="E288" s="47" t="inlineStr">
        <is>
          <t>월 15GB + 3Mbps</t>
        </is>
      </c>
      <c r="F288" s="47" t="inlineStr">
        <is>
          <t>KT</t>
        </is>
      </c>
      <c r="G288" s="47" t="inlineStr">
        <is>
          <t>LTE</t>
        </is>
      </c>
      <c r="H288" s="48" t="n">
        <v>6050</v>
      </c>
      <c r="I288" s="48" t="n">
        <v>7</v>
      </c>
      <c r="J288" s="48" t="n">
        <v>33000</v>
      </c>
      <c r="K288" s="47">
        <f t="array" ref="K288">_xlfn.XLOOKUP(1,(참조!$B$2:$B$15=E288)*(참조!$D$2:$D$15=C288)*(참조!$E$2:$E$15=D288),참조!$C$2:$C$15,"")</f>
        <v/>
      </c>
    </row>
    <row r="289" hidden="1" s="27">
      <c r="A289" s="47" t="inlineStr">
        <is>
          <t>인스모바일</t>
        </is>
      </c>
      <c r="B289" s="47" t="inlineStr">
        <is>
          <t>[12개월] 인스 유심 스트롱 100GB+</t>
        </is>
      </c>
      <c r="C289" s="47" t="inlineStr">
        <is>
          <t>무제한</t>
        </is>
      </c>
      <c r="D289" s="47" t="inlineStr">
        <is>
          <t>무제한</t>
        </is>
      </c>
      <c r="E289" s="47" t="inlineStr">
        <is>
          <t>월 100GB + 5Mbps</t>
        </is>
      </c>
      <c r="F289" s="47" t="inlineStr">
        <is>
          <t>LG U+</t>
        </is>
      </c>
      <c r="G289" s="47" t="inlineStr">
        <is>
          <t>LTE</t>
        </is>
      </c>
      <c r="H289" s="48" t="n">
        <v>24230</v>
      </c>
      <c r="I289" s="48" t="n">
        <v>12</v>
      </c>
      <c r="J289" s="48" t="n">
        <v>47000</v>
      </c>
      <c r="K289" s="47">
        <f t="array" ref="K289">_xlfn.XLOOKUP(1,(참조!$B$2:$B$15=E289)*(참조!$D$2:$D$15=C289)*(참조!$E$2:$E$15=D289),참조!$C$2:$C$15,"")</f>
        <v/>
      </c>
    </row>
    <row r="290" hidden="1" s="27">
      <c r="A290" s="47" t="inlineStr">
        <is>
          <t>인스모바일</t>
        </is>
      </c>
      <c r="B290" s="47" t="inlineStr">
        <is>
          <t>인스 유심 스피드(5G) 음성200분+5GB</t>
        </is>
      </c>
      <c r="C290" s="47" t="inlineStr">
        <is>
          <t>200분</t>
        </is>
      </c>
      <c r="D290" s="47" t="inlineStr">
        <is>
          <t>100건</t>
        </is>
      </c>
      <c r="E290" s="47" t="inlineStr">
        <is>
          <t>월 5GB</t>
        </is>
      </c>
      <c r="F290" s="47" t="inlineStr">
        <is>
          <t>LG U+</t>
        </is>
      </c>
      <c r="G290" s="47" t="inlineStr">
        <is>
          <t>5G</t>
        </is>
      </c>
      <c r="H290" s="48" t="n">
        <v>10</v>
      </c>
      <c r="I290" s="48" t="n">
        <v>6</v>
      </c>
      <c r="J290" s="48" t="n">
        <v>25300</v>
      </c>
      <c r="K290" s="47">
        <f t="array" ref="K290">_xlfn.XLOOKUP(1,(참조!$B$2:$B$15=E290)*(참조!$D$2:$D$15=C290)*(참조!$E$2:$E$15=D290),참조!$C$2:$C$15,"")</f>
        <v/>
      </c>
    </row>
    <row r="291" hidden="1" s="27">
      <c r="A291" s="47" t="inlineStr">
        <is>
          <t>U+유모바일</t>
        </is>
      </c>
      <c r="B291" s="47" t="inlineStr">
        <is>
          <t>데이터차단 (0GB/통화기본)</t>
        </is>
      </c>
      <c r="C291" s="47" t="inlineStr">
        <is>
          <t>무제한</t>
        </is>
      </c>
      <c r="D291" s="47" t="inlineStr">
        <is>
          <t>무제한</t>
        </is>
      </c>
      <c r="E291" s="47" t="inlineStr">
        <is>
          <t>데이터 제공안함</t>
        </is>
      </c>
      <c r="F291" s="47" t="inlineStr">
        <is>
          <t>LG U+</t>
        </is>
      </c>
      <c r="G291" s="47" t="inlineStr">
        <is>
          <t>LTE</t>
        </is>
      </c>
      <c r="H291" s="48" t="n">
        <v>4900</v>
      </c>
      <c r="I291" s="48" t="n"/>
      <c r="J291" s="48" t="n"/>
      <c r="K291" s="47">
        <f t="array" ref="K291">_xlfn.XLOOKUP(1,(참조!$B$2:$B$15=E291)*(참조!$D$2:$D$15=C291)*(참조!$E$2:$E$15=D291),참조!$C$2:$C$15,"")</f>
        <v/>
      </c>
    </row>
    <row r="292" hidden="1" s="27">
      <c r="A292" s="47" t="inlineStr">
        <is>
          <t>인스모바일</t>
        </is>
      </c>
      <c r="B292" s="47" t="inlineStr">
        <is>
          <t>[12개월]인스 유심 스트롱 11GB+</t>
        </is>
      </c>
      <c r="C292" s="47" t="inlineStr">
        <is>
          <t>무제한</t>
        </is>
      </c>
      <c r="D292" s="47" t="inlineStr">
        <is>
          <t>무제한</t>
        </is>
      </c>
      <c r="E292" s="47" t="inlineStr">
        <is>
          <t>월 11GB + 매일 2GB + 3Mbps</t>
        </is>
      </c>
      <c r="F292" s="47" t="inlineStr">
        <is>
          <t>LG U+</t>
        </is>
      </c>
      <c r="G292" s="47" t="inlineStr">
        <is>
          <t>LTE</t>
        </is>
      </c>
      <c r="H292" s="48" t="n">
        <v>21700</v>
      </c>
      <c r="I292" s="48" t="n">
        <v>12</v>
      </c>
      <c r="J292" s="48" t="n">
        <v>39000</v>
      </c>
      <c r="K292" s="47">
        <f t="array" ref="K292">_xlfn.XLOOKUP(1,(참조!$B$2:$B$15=E292)*(참조!$D$2:$D$15=C292)*(참조!$E$2:$E$15=D292),참조!$C$2:$C$15,"")</f>
        <v/>
      </c>
    </row>
    <row r="293" hidden="1" s="27">
      <c r="A293" s="47" t="inlineStr">
        <is>
          <t>스마텔</t>
        </is>
      </c>
      <c r="B293" s="47" t="inlineStr">
        <is>
          <t>USIM 스마트(100분/10GB+)</t>
        </is>
      </c>
      <c r="C293" s="47" t="inlineStr">
        <is>
          <t>100분</t>
        </is>
      </c>
      <c r="D293" s="47" t="inlineStr">
        <is>
          <t>100건</t>
        </is>
      </c>
      <c r="E293" s="47" t="inlineStr">
        <is>
          <t>월 10GB + 1Mbps</t>
        </is>
      </c>
      <c r="F293" s="47" t="inlineStr">
        <is>
          <t>LG U+</t>
        </is>
      </c>
      <c r="G293" s="47" t="inlineStr">
        <is>
          <t>LTE</t>
        </is>
      </c>
      <c r="H293" s="48" t="n">
        <v>6000</v>
      </c>
      <c r="I293" s="48" t="n">
        <v>12</v>
      </c>
      <c r="J293" s="48" t="n">
        <v>19800</v>
      </c>
      <c r="K293" s="47">
        <f t="array" ref="K293">_xlfn.XLOOKUP(1,(참조!$B$2:$B$15=E293)*(참조!$D$2:$D$15=C293)*(참조!$E$2:$E$15=D293),참조!$C$2:$C$15,"")</f>
        <v/>
      </c>
    </row>
    <row r="294" hidden="1" s="27">
      <c r="A294" s="47" t="inlineStr">
        <is>
          <t>마블링</t>
        </is>
      </c>
      <c r="B294" s="47" t="inlineStr">
        <is>
          <t>[모요only] 마블링 프라임 15GB+1Mbps</t>
        </is>
      </c>
      <c r="C294" s="47" t="inlineStr">
        <is>
          <t>무제한</t>
        </is>
      </c>
      <c r="D294" s="47" t="inlineStr">
        <is>
          <t>무제한</t>
        </is>
      </c>
      <c r="E294" s="47" t="inlineStr">
        <is>
          <t>월 15GB + 1Mbps</t>
        </is>
      </c>
      <c r="F294" s="47" t="inlineStr">
        <is>
          <t>LG U+</t>
        </is>
      </c>
      <c r="G294" s="47" t="inlineStr">
        <is>
          <t>LTE</t>
        </is>
      </c>
      <c r="H294" s="48" t="n">
        <v>6990</v>
      </c>
      <c r="I294" s="48" t="n">
        <v>7</v>
      </c>
      <c r="J294" s="48" t="n">
        <v>24900</v>
      </c>
      <c r="K294" s="47">
        <f t="array" ref="K294">_xlfn.XLOOKUP(1,(참조!$B$2:$B$15=E294)*(참조!$D$2:$D$15=C294)*(참조!$E$2:$E$15=D294),참조!$C$2:$C$15,"")</f>
        <v/>
      </c>
    </row>
    <row r="295" hidden="1" s="27">
      <c r="A295" s="47" t="inlineStr">
        <is>
          <t>티플러스</t>
        </is>
      </c>
      <c r="B295" s="47" t="inlineStr">
        <is>
          <t>가성비플러스(20GB/350분)</t>
        </is>
      </c>
      <c r="C295" s="47" t="inlineStr">
        <is>
          <t>350분</t>
        </is>
      </c>
      <c r="D295" s="47" t="inlineStr">
        <is>
          <t>100건</t>
        </is>
      </c>
      <c r="E295" s="47" t="inlineStr">
        <is>
          <t>월 20GB</t>
        </is>
      </c>
      <c r="F295" s="47" t="inlineStr">
        <is>
          <t>SKT</t>
        </is>
      </c>
      <c r="G295" s="47" t="inlineStr">
        <is>
          <t>LTE</t>
        </is>
      </c>
      <c r="H295" s="48" t="n">
        <v>100</v>
      </c>
      <c r="I295" s="48" t="n">
        <v>7</v>
      </c>
      <c r="J295" s="48" t="n">
        <v>29700</v>
      </c>
      <c r="K295" s="47">
        <f t="array" ref="K295">_xlfn.XLOOKUP(1,(참조!$B$2:$B$15=E295)*(참조!$D$2:$D$15=C295)*(참조!$E$2:$E$15=D295),참조!$C$2:$C$15,"")</f>
        <v/>
      </c>
    </row>
    <row r="296" hidden="1" s="27">
      <c r="A296" s="47" t="inlineStr">
        <is>
          <t>티플러스</t>
        </is>
      </c>
      <c r="B296" s="47" t="inlineStr">
        <is>
          <t>5G 티플온 150GB+_평생 할인</t>
        </is>
      </c>
      <c r="C296" s="47" t="inlineStr">
        <is>
          <t>무제한</t>
        </is>
      </c>
      <c r="D296" s="47" t="inlineStr">
        <is>
          <t>무제한</t>
        </is>
      </c>
      <c r="E296" s="47" t="inlineStr">
        <is>
          <t>월 150GB + 5Mbps</t>
        </is>
      </c>
      <c r="F296" s="47" t="inlineStr">
        <is>
          <t>LG U+</t>
        </is>
      </c>
      <c r="G296" s="47" t="inlineStr">
        <is>
          <t>5G</t>
        </is>
      </c>
      <c r="H296" s="48" t="n">
        <v>28500</v>
      </c>
      <c r="I296" s="48" t="n"/>
      <c r="J296" s="48" t="n"/>
      <c r="K296" s="47">
        <f t="array" ref="K296">_xlfn.XLOOKUP(1,(참조!$B$2:$B$15=E296)*(참조!$D$2:$D$15=C296)*(참조!$E$2:$E$15=D296),참조!$C$2:$C$15,"")</f>
        <v/>
      </c>
    </row>
    <row r="297" hidden="1" s="27">
      <c r="A297" s="47" t="inlineStr">
        <is>
          <t>슈가모바일</t>
        </is>
      </c>
      <c r="B297" s="47" t="inlineStr">
        <is>
          <t>5G 슈가통화마음대로 150GB++</t>
        </is>
      </c>
      <c r="C297" s="47" t="inlineStr">
        <is>
          <t>무제한</t>
        </is>
      </c>
      <c r="D297" s="47" t="inlineStr">
        <is>
          <t>무제한</t>
        </is>
      </c>
      <c r="E297" s="47" t="inlineStr">
        <is>
          <t>월 150GB + 5Mbps</t>
        </is>
      </c>
      <c r="F297" s="47" t="inlineStr">
        <is>
          <t>LG U+</t>
        </is>
      </c>
      <c r="G297" s="47" t="inlineStr">
        <is>
          <t>5G</t>
        </is>
      </c>
      <c r="H297" s="48" t="n">
        <v>12500</v>
      </c>
      <c r="I297" s="48" t="n">
        <v>7</v>
      </c>
      <c r="J297" s="48" t="n">
        <v>55000</v>
      </c>
      <c r="K297" s="47">
        <f t="array" ref="K297">_xlfn.XLOOKUP(1,(참조!$B$2:$B$15=E297)*(참조!$D$2:$D$15=C297)*(참조!$E$2:$E$15=D297),참조!$C$2:$C$15,"")</f>
        <v/>
      </c>
    </row>
    <row r="298" hidden="1" s="27">
      <c r="A298" s="47" t="inlineStr">
        <is>
          <t>KG모바일</t>
        </is>
      </c>
      <c r="B298" s="47" t="inlineStr">
        <is>
          <t>[모빌카드 스페셜] 유심 5G 180GB+</t>
        </is>
      </c>
      <c r="C298" s="47" t="inlineStr">
        <is>
          <t>무제한</t>
        </is>
      </c>
      <c r="D298" s="47" t="inlineStr">
        <is>
          <t>무제한</t>
        </is>
      </c>
      <c r="E298" s="47" t="inlineStr">
        <is>
          <t>월 180GB + 10Mbps</t>
        </is>
      </c>
      <c r="F298" s="47" t="inlineStr">
        <is>
          <t>LG U+</t>
        </is>
      </c>
      <c r="G298" s="47" t="inlineStr">
        <is>
          <t>5G</t>
        </is>
      </c>
      <c r="H298" s="48" t="n">
        <v>13500</v>
      </c>
      <c r="I298" s="48" t="n">
        <v>7</v>
      </c>
      <c r="J298" s="48" t="n">
        <v>59400</v>
      </c>
      <c r="K298" s="47">
        <f t="array" ref="K298">_xlfn.XLOOKUP(1,(참조!$B$2:$B$15=E298)*(참조!$D$2:$D$15=C298)*(참조!$E$2:$E$15=D298),참조!$C$2:$C$15,"")</f>
        <v/>
      </c>
    </row>
    <row r="299" hidden="1" s="27">
      <c r="A299" s="47" t="inlineStr">
        <is>
          <t>인스모바일</t>
        </is>
      </c>
      <c r="B299" s="47" t="inlineStr">
        <is>
          <t>인스 유심 스피드(5G) 150GB+</t>
        </is>
      </c>
      <c r="C299" s="47" t="inlineStr">
        <is>
          <t>무제한</t>
        </is>
      </c>
      <c r="D299" s="47" t="inlineStr">
        <is>
          <t>무제한</t>
        </is>
      </c>
      <c r="E299" s="47" t="inlineStr">
        <is>
          <t>월 150GB + 5Mbps</t>
        </is>
      </c>
      <c r="F299" s="47" t="inlineStr">
        <is>
          <t>LG U+</t>
        </is>
      </c>
      <c r="G299" s="47" t="inlineStr">
        <is>
          <t>5G</t>
        </is>
      </c>
      <c r="H299" s="48" t="n">
        <v>9510</v>
      </c>
      <c r="I299" s="48" t="n">
        <v>7</v>
      </c>
      <c r="J299" s="48" t="n">
        <v>59340</v>
      </c>
      <c r="K299" s="47">
        <f t="array" ref="K299">_xlfn.XLOOKUP(1,(참조!$B$2:$B$15=E299)*(참조!$D$2:$D$15=C299)*(참조!$E$2:$E$15=D299),참조!$C$2:$C$15,"")</f>
        <v/>
      </c>
    </row>
    <row r="300" hidden="1" s="27">
      <c r="A300" s="47" t="inlineStr">
        <is>
          <t>이야기모바일</t>
        </is>
      </c>
      <c r="B300" s="47" t="inlineStr">
        <is>
          <t>5G 함께이야기해(300분+15GB)</t>
        </is>
      </c>
      <c r="C300" s="47" t="inlineStr">
        <is>
          <t>300분</t>
        </is>
      </c>
      <c r="D300" s="47" t="inlineStr">
        <is>
          <t>100건</t>
        </is>
      </c>
      <c r="E300" s="47" t="inlineStr">
        <is>
          <t>월 15GB</t>
        </is>
      </c>
      <c r="F300" s="47" t="inlineStr">
        <is>
          <t>LG U+</t>
        </is>
      </c>
      <c r="G300" s="47" t="inlineStr">
        <is>
          <t>5G</t>
        </is>
      </c>
      <c r="H300" s="48" t="n">
        <v>3300</v>
      </c>
      <c r="I300" s="48" t="n">
        <v>6</v>
      </c>
      <c r="J300" s="48" t="n">
        <v>18700</v>
      </c>
      <c r="K300" s="47">
        <f t="array" ref="K300">_xlfn.XLOOKUP(1,(참조!$B$2:$B$15=E300)*(참조!$D$2:$D$15=C300)*(참조!$E$2:$E$15=D300),참조!$C$2:$C$15,"")</f>
        <v/>
      </c>
    </row>
    <row r="301" hidden="1" s="27">
      <c r="A301" s="47" t="inlineStr">
        <is>
          <t>더원모바일</t>
        </is>
      </c>
      <c r="B301" s="47" t="inlineStr">
        <is>
          <t>ONE 20GB 100분</t>
        </is>
      </c>
      <c r="C301" s="47" t="inlineStr">
        <is>
          <t>100분</t>
        </is>
      </c>
      <c r="D301" s="47" t="inlineStr">
        <is>
          <t>100건</t>
        </is>
      </c>
      <c r="E301" s="47" t="inlineStr">
        <is>
          <t>월 20GB</t>
        </is>
      </c>
      <c r="F301" s="47" t="inlineStr">
        <is>
          <t>KT</t>
        </is>
      </c>
      <c r="G301" s="47" t="inlineStr">
        <is>
          <t>LTE</t>
        </is>
      </c>
      <c r="H301" s="48" t="n">
        <v>990</v>
      </c>
      <c r="I301" s="48" t="n">
        <v>6</v>
      </c>
      <c r="J301" s="48" t="n">
        <v>26400</v>
      </c>
      <c r="K301" s="47">
        <f t="array" ref="K301">_xlfn.XLOOKUP(1,(참조!$B$2:$B$15=E301)*(참조!$D$2:$D$15=C301)*(참조!$E$2:$E$15=D301),참조!$C$2:$C$15,"")</f>
        <v/>
      </c>
    </row>
    <row r="302" hidden="1" s="27">
      <c r="A302" s="47" t="inlineStr">
        <is>
          <t>시월모바일</t>
        </is>
      </c>
      <c r="B302" s="47" t="inlineStr">
        <is>
          <t>시월 무제한 100GB+5Mbps</t>
        </is>
      </c>
      <c r="C302" s="47" t="inlineStr">
        <is>
          <t>무제한</t>
        </is>
      </c>
      <c r="D302" s="47" t="inlineStr">
        <is>
          <t>무제한</t>
        </is>
      </c>
      <c r="E302" s="47" t="inlineStr">
        <is>
          <t>월 100GB + 5Mbps</t>
        </is>
      </c>
      <c r="F302" s="47" t="inlineStr">
        <is>
          <t>LG U+</t>
        </is>
      </c>
      <c r="G302" s="47" t="inlineStr">
        <is>
          <t>LTE</t>
        </is>
      </c>
      <c r="H302" s="48" t="n">
        <v>14310</v>
      </c>
      <c r="I302" s="48" t="n">
        <v>7</v>
      </c>
      <c r="J302" s="48" t="n">
        <v>46210</v>
      </c>
      <c r="K302" s="47">
        <f t="array" ref="K302">_xlfn.XLOOKUP(1,(참조!$B$2:$B$15=E302)*(참조!$D$2:$D$15=C302)*(참조!$E$2:$E$15=D302),참조!$C$2:$C$15,"")</f>
        <v/>
      </c>
    </row>
    <row r="303" hidden="1" s="27">
      <c r="A303" s="47" t="inlineStr">
        <is>
          <t>인스모바일</t>
        </is>
      </c>
      <c r="B303" s="47" t="inlineStr">
        <is>
          <t>[24개월] 인스 유심 스트롱 11GB+</t>
        </is>
      </c>
      <c r="C303" s="47" t="inlineStr">
        <is>
          <t>무제한</t>
        </is>
      </c>
      <c r="D303" s="47" t="inlineStr">
        <is>
          <t>무제한</t>
        </is>
      </c>
      <c r="E303" s="47" t="inlineStr">
        <is>
          <t>월 11GB + 매일 2GB + 3Mbps</t>
        </is>
      </c>
      <c r="F303" s="47" t="inlineStr">
        <is>
          <t>LG U+</t>
        </is>
      </c>
      <c r="G303" s="47" t="inlineStr">
        <is>
          <t>LTE</t>
        </is>
      </c>
      <c r="H303" s="48" t="n">
        <v>25800</v>
      </c>
      <c r="I303" s="48" t="n">
        <v>24</v>
      </c>
      <c r="J303" s="48" t="n">
        <v>39000</v>
      </c>
      <c r="K303" s="47">
        <f t="array" ref="K303">_xlfn.XLOOKUP(1,(참조!$B$2:$B$15=E303)*(참조!$D$2:$D$15=C303)*(참조!$E$2:$E$15=D303),참조!$C$2:$C$15,"")</f>
        <v/>
      </c>
    </row>
    <row r="304" hidden="1" s="27">
      <c r="A304" s="47" t="inlineStr">
        <is>
          <t>시월모바일</t>
        </is>
      </c>
      <c r="B304" s="47" t="inlineStr">
        <is>
          <t>두해 통화기본7GB+</t>
        </is>
      </c>
      <c r="C304" s="47" t="inlineStr">
        <is>
          <t>무제한</t>
        </is>
      </c>
      <c r="D304" s="47" t="inlineStr">
        <is>
          <t>무제한</t>
        </is>
      </c>
      <c r="E304" s="47" t="inlineStr">
        <is>
          <t>월 7GB + 1Mbps</t>
        </is>
      </c>
      <c r="F304" s="47" t="inlineStr">
        <is>
          <t>LG U+</t>
        </is>
      </c>
      <c r="G304" s="47" t="inlineStr">
        <is>
          <t>LTE</t>
        </is>
      </c>
      <c r="H304" s="48" t="n">
        <v>10940</v>
      </c>
      <c r="I304" s="48" t="n">
        <v>24</v>
      </c>
      <c r="J304" s="48" t="n">
        <v>22050</v>
      </c>
      <c r="K304" s="47">
        <f t="array" ref="K304">_xlfn.XLOOKUP(1,(참조!$B$2:$B$15=E304)*(참조!$D$2:$D$15=C304)*(참조!$E$2:$E$15=D304),참조!$C$2:$C$15,"")</f>
        <v/>
      </c>
    </row>
    <row r="305" hidden="1" s="27">
      <c r="A305" s="47" t="inlineStr">
        <is>
          <t>스마텔</t>
        </is>
      </c>
      <c r="B305" s="47" t="inlineStr">
        <is>
          <t>데이터충분히(10G+100분)</t>
        </is>
      </c>
      <c r="C305" s="47" t="inlineStr">
        <is>
          <t>100분</t>
        </is>
      </c>
      <c r="D305" s="47" t="inlineStr">
        <is>
          <t>100건</t>
        </is>
      </c>
      <c r="E305" s="47" t="inlineStr">
        <is>
          <t>월 10GB</t>
        </is>
      </c>
      <c r="F305" s="47" t="inlineStr">
        <is>
          <t>LG U+</t>
        </is>
      </c>
      <c r="G305" s="47" t="inlineStr">
        <is>
          <t>LTE</t>
        </is>
      </c>
      <c r="H305" s="48" t="n">
        <v>10</v>
      </c>
      <c r="I305" s="48" t="n">
        <v>8</v>
      </c>
      <c r="J305" s="48" t="n">
        <v>13200</v>
      </c>
      <c r="K305" s="47">
        <f t="array" ref="K305">_xlfn.XLOOKUP(1,(참조!$B$2:$B$15=E305)*(참조!$D$2:$D$15=C305)*(참조!$E$2:$E$15=D305),참조!$C$2:$C$15,"")</f>
        <v/>
      </c>
    </row>
    <row r="306" hidden="1" s="27">
      <c r="A306" s="47" t="inlineStr">
        <is>
          <t>더원모바일</t>
        </is>
      </c>
      <c r="B306" s="47" t="inlineStr">
        <is>
          <t>TOP 11GB 기본 (쿠팡캐시)</t>
        </is>
      </c>
      <c r="C306" s="47" t="inlineStr">
        <is>
          <t>무제한</t>
        </is>
      </c>
      <c r="D306" s="47" t="inlineStr">
        <is>
          <t>무제한</t>
        </is>
      </c>
      <c r="E306" s="47" t="inlineStr">
        <is>
          <t>월 11GB + 매일 2GB + 3Mbps</t>
        </is>
      </c>
      <c r="F306" s="47" t="inlineStr">
        <is>
          <t>KT</t>
        </is>
      </c>
      <c r="G306" s="47" t="inlineStr">
        <is>
          <t>LTE</t>
        </is>
      </c>
      <c r="H306" s="48" t="n">
        <v>9900</v>
      </c>
      <c r="I306" s="48" t="n">
        <v>7</v>
      </c>
      <c r="J306" s="48" t="n">
        <v>40700</v>
      </c>
      <c r="K306" s="47">
        <f t="array" ref="K306">_xlfn.XLOOKUP(1,(참조!$B$2:$B$15=E306)*(참조!$D$2:$D$15=C306)*(참조!$E$2:$E$15=D306),참조!$C$2:$C$15,"")</f>
        <v/>
      </c>
    </row>
    <row r="307" hidden="1" s="27">
      <c r="A307" s="47" t="inlineStr">
        <is>
          <t>인스모바일</t>
        </is>
      </c>
      <c r="B307" s="47" t="inlineStr">
        <is>
          <t>실속 300분+5GB(USIM)</t>
        </is>
      </c>
      <c r="C307" s="47" t="inlineStr">
        <is>
          <t>300분</t>
        </is>
      </c>
      <c r="D307" s="47" t="inlineStr">
        <is>
          <t>100건</t>
        </is>
      </c>
      <c r="E307" s="47" t="inlineStr">
        <is>
          <t>월 5GB</t>
        </is>
      </c>
      <c r="F307" s="47" t="inlineStr">
        <is>
          <t>LG U+</t>
        </is>
      </c>
      <c r="G307" s="47" t="inlineStr">
        <is>
          <t>LTE</t>
        </is>
      </c>
      <c r="H307" s="48" t="n">
        <v>10</v>
      </c>
      <c r="I307" s="48" t="n">
        <v>6</v>
      </c>
      <c r="J307" s="48" t="n">
        <v>20910</v>
      </c>
      <c r="K307" s="47">
        <f t="array" ref="K307">_xlfn.XLOOKUP(1,(참조!$B$2:$B$15=E307)*(참조!$D$2:$D$15=C307)*(참조!$E$2:$E$15=D307),참조!$C$2:$C$15,"")</f>
        <v/>
      </c>
    </row>
    <row r="308" hidden="1" s="27">
      <c r="A308" s="47" t="inlineStr">
        <is>
          <t>티플러스</t>
        </is>
      </c>
      <c r="B308" s="47" t="inlineStr">
        <is>
          <t>티플 10GB(10GB/300분)_평생요금</t>
        </is>
      </c>
      <c r="C308" s="47" t="inlineStr">
        <is>
          <t>300분</t>
        </is>
      </c>
      <c r="D308" s="47" t="inlineStr">
        <is>
          <t>100건</t>
        </is>
      </c>
      <c r="E308" s="47" t="inlineStr">
        <is>
          <t>월 10GB</t>
        </is>
      </c>
      <c r="F308" s="47" t="inlineStr">
        <is>
          <t>SKT</t>
        </is>
      </c>
      <c r="G308" s="47" t="inlineStr">
        <is>
          <t>LTE</t>
        </is>
      </c>
      <c r="H308" s="48" t="n">
        <v>5500</v>
      </c>
      <c r="I308" s="48" t="n"/>
      <c r="J308" s="48" t="n"/>
      <c r="K308" s="47">
        <f t="array" ref="K308">_xlfn.XLOOKUP(1,(참조!$B$2:$B$15=E308)*(참조!$D$2:$D$15=C308)*(참조!$E$2:$E$15=D308),참조!$C$2:$C$15,"")</f>
        <v/>
      </c>
    </row>
    <row r="309" hidden="1" s="27">
      <c r="A309" s="47" t="inlineStr">
        <is>
          <t>더원모바일</t>
        </is>
      </c>
      <c r="B309" s="47" t="inlineStr">
        <is>
          <t>TOP 15GB 100분 (올리브영)</t>
        </is>
      </c>
      <c r="C309" s="47" t="inlineStr">
        <is>
          <t>100분</t>
        </is>
      </c>
      <c r="D309" s="47" t="inlineStr">
        <is>
          <t>100건</t>
        </is>
      </c>
      <c r="E309" s="47" t="inlineStr">
        <is>
          <t>월 15GB + 3Mbps</t>
        </is>
      </c>
      <c r="F309" s="47" t="inlineStr">
        <is>
          <t>KT</t>
        </is>
      </c>
      <c r="G309" s="47" t="inlineStr">
        <is>
          <t>LTE</t>
        </is>
      </c>
      <c r="H309" s="48" t="n">
        <v>14300</v>
      </c>
      <c r="I309" s="48" t="n">
        <v>12</v>
      </c>
      <c r="J309" s="48" t="n">
        <v>35200</v>
      </c>
      <c r="K309" s="47">
        <f t="array" ref="K309">_xlfn.XLOOKUP(1,(참조!$B$2:$B$15=E309)*(참조!$D$2:$D$15=C309)*(참조!$E$2:$E$15=D309),참조!$C$2:$C$15,"")</f>
        <v/>
      </c>
    </row>
    <row r="310" hidden="1" s="27">
      <c r="A310" s="47" t="inlineStr">
        <is>
          <t>고고모바일</t>
        </is>
      </c>
      <c r="B310" s="47" t="inlineStr">
        <is>
          <t>고고 LTE 무제한 100GB+5M_모요</t>
        </is>
      </c>
      <c r="C310" s="47" t="inlineStr">
        <is>
          <t>무제한</t>
        </is>
      </c>
      <c r="D310" s="47" t="inlineStr">
        <is>
          <t>무제한</t>
        </is>
      </c>
      <c r="E310" s="47" t="inlineStr">
        <is>
          <t>월 100GB + 5Mbps</t>
        </is>
      </c>
      <c r="F310" s="47" t="inlineStr">
        <is>
          <t>SKT</t>
        </is>
      </c>
      <c r="G310" s="47" t="inlineStr">
        <is>
          <t>LTE</t>
        </is>
      </c>
      <c r="H310" s="48" t="n">
        <v>15000</v>
      </c>
      <c r="I310" s="48" t="n">
        <v>7</v>
      </c>
      <c r="J310" s="48" t="n">
        <v>47300</v>
      </c>
      <c r="K310" s="47">
        <f t="array" ref="K310">_xlfn.XLOOKUP(1,(참조!$B$2:$B$15=E310)*(참조!$D$2:$D$15=C310)*(참조!$E$2:$E$15=D310),참조!$C$2:$C$15,"")</f>
        <v/>
      </c>
    </row>
    <row r="311" hidden="1" s="27">
      <c r="A311" s="47" t="inlineStr">
        <is>
          <t>찬스모바일</t>
        </is>
      </c>
      <c r="B311" s="47" t="inlineStr">
        <is>
          <t>[CHM]5G 찬스 300분/15GB+</t>
        </is>
      </c>
      <c r="C311" s="47" t="inlineStr">
        <is>
          <t>300분</t>
        </is>
      </c>
      <c r="D311" s="47" t="inlineStr">
        <is>
          <t>300건</t>
        </is>
      </c>
      <c r="E311" s="47" t="inlineStr">
        <is>
          <t>월 15GB + 1Mbps</t>
        </is>
      </c>
      <c r="F311" s="47" t="inlineStr">
        <is>
          <t>LG U+</t>
        </is>
      </c>
      <c r="G311" s="47" t="inlineStr">
        <is>
          <t>5G</t>
        </is>
      </c>
      <c r="H311" s="48" t="n">
        <v>5500</v>
      </c>
      <c r="I311" s="48" t="n">
        <v>6</v>
      </c>
      <c r="J311" s="48" t="n">
        <v>27500</v>
      </c>
      <c r="K311" s="47">
        <f t="array" ref="K311">_xlfn.XLOOKUP(1,(참조!$B$2:$B$15=E311)*(참조!$D$2:$D$15=C311)*(참조!$E$2:$E$15=D311),참조!$C$2:$C$15,"")</f>
        <v/>
      </c>
    </row>
    <row r="312" hidden="1" s="27">
      <c r="A312" s="47" t="inlineStr">
        <is>
          <t>마블링</t>
        </is>
      </c>
      <c r="B312" s="47" t="inlineStr">
        <is>
          <t>[모요only] 마블링 무제한 7GB+</t>
        </is>
      </c>
      <c r="C312" s="47" t="inlineStr">
        <is>
          <t>무제한</t>
        </is>
      </c>
      <c r="D312" s="47" t="inlineStr">
        <is>
          <t>무제한</t>
        </is>
      </c>
      <c r="E312" s="47" t="inlineStr">
        <is>
          <t>월 7GB + 1Mbps</t>
        </is>
      </c>
      <c r="F312" s="47" t="inlineStr">
        <is>
          <t>LG U+</t>
        </is>
      </c>
      <c r="G312" s="47" t="inlineStr">
        <is>
          <t>LTE</t>
        </is>
      </c>
      <c r="H312" s="48" t="n">
        <v>9888</v>
      </c>
      <c r="I312" s="48" t="n">
        <v>12</v>
      </c>
      <c r="J312" s="48" t="n">
        <v>19790</v>
      </c>
      <c r="K312" s="47">
        <f t="array" ref="K312">_xlfn.XLOOKUP(1,(참조!$B$2:$B$15=E312)*(참조!$D$2:$D$15=C312)*(참조!$E$2:$E$15=D312),참조!$C$2:$C$15,"")</f>
        <v/>
      </c>
    </row>
    <row r="313" hidden="1" s="27">
      <c r="A313" s="47" t="inlineStr">
        <is>
          <t>더원모바일</t>
        </is>
      </c>
      <c r="B313" s="47" t="inlineStr">
        <is>
          <t>TOP 10GB 기본 (밀리의서재)</t>
        </is>
      </c>
      <c r="C313" s="47" t="inlineStr">
        <is>
          <t>무제한</t>
        </is>
      </c>
      <c r="D313" s="47" t="inlineStr">
        <is>
          <t>무제한</t>
        </is>
      </c>
      <c r="E313" s="47" t="inlineStr">
        <is>
          <t>월 10GB + 1Mbps</t>
        </is>
      </c>
      <c r="F313" s="47" t="inlineStr">
        <is>
          <t>KT</t>
        </is>
      </c>
      <c r="G313" s="47" t="inlineStr">
        <is>
          <t>LTE</t>
        </is>
      </c>
      <c r="H313" s="48" t="n">
        <v>7700</v>
      </c>
      <c r="I313" s="48" t="n">
        <v>12</v>
      </c>
      <c r="J313" s="48" t="n">
        <v>27500</v>
      </c>
      <c r="K313" s="47">
        <f t="array" ref="K313">_xlfn.XLOOKUP(1,(참조!$B$2:$B$15=E313)*(참조!$D$2:$D$15=C313)*(참조!$E$2:$E$15=D313),참조!$C$2:$C$15,"")</f>
        <v/>
      </c>
    </row>
    <row r="314" hidden="1" s="27">
      <c r="A314" s="47" t="inlineStr">
        <is>
          <t>스마텔</t>
        </is>
      </c>
      <c r="B314" s="47" t="inlineStr">
        <is>
          <t>USIM 심플 (100분 + 6GB)</t>
        </is>
      </c>
      <c r="C314" s="47" t="inlineStr">
        <is>
          <t>100분</t>
        </is>
      </c>
      <c r="D314" s="47" t="inlineStr">
        <is>
          <t>100건</t>
        </is>
      </c>
      <c r="E314" s="47" t="inlineStr">
        <is>
          <t>월 6GB</t>
        </is>
      </c>
      <c r="F314" s="47" t="inlineStr">
        <is>
          <t>LG U+</t>
        </is>
      </c>
      <c r="G314" s="47" t="inlineStr">
        <is>
          <t>LTE</t>
        </is>
      </c>
      <c r="H314" s="48" t="n">
        <v>10</v>
      </c>
      <c r="I314" s="48" t="n">
        <v>10</v>
      </c>
      <c r="J314" s="48" t="n">
        <v>9900</v>
      </c>
      <c r="K314" s="47">
        <f t="array" ref="K314">_xlfn.XLOOKUP(1,(참조!$B$2:$B$15=E314)*(참조!$D$2:$D$15=C314)*(참조!$E$2:$E$15=D314),참조!$C$2:$C$15,"")</f>
        <v/>
      </c>
    </row>
    <row r="315" hidden="1" s="27">
      <c r="A315" s="47" t="inlineStr">
        <is>
          <t>티플러스</t>
        </is>
      </c>
      <c r="B315" s="47" t="inlineStr">
        <is>
          <t>티플포유(5G/100분)</t>
        </is>
      </c>
      <c r="C315" s="47" t="inlineStr">
        <is>
          <t>100분</t>
        </is>
      </c>
      <c r="D315" s="47" t="inlineStr">
        <is>
          <t>100건</t>
        </is>
      </c>
      <c r="E315" s="47" t="inlineStr">
        <is>
          <t>월 5GB</t>
        </is>
      </c>
      <c r="F315" s="47" t="inlineStr">
        <is>
          <t>LG U+</t>
        </is>
      </c>
      <c r="G315" s="47" t="inlineStr">
        <is>
          <t>LTE</t>
        </is>
      </c>
      <c r="H315" s="48" t="n">
        <v>10</v>
      </c>
      <c r="I315" s="48" t="n">
        <v>12</v>
      </c>
      <c r="J315" s="48" t="n">
        <v>8800</v>
      </c>
      <c r="K315" s="47">
        <f t="array" ref="K315">_xlfn.XLOOKUP(1,(참조!$B$2:$B$15=E315)*(참조!$D$2:$D$15=C315)*(참조!$E$2:$E$15=D315),참조!$C$2:$C$15,"")</f>
        <v/>
      </c>
    </row>
    <row r="316" hidden="1" s="27">
      <c r="A316" s="47" t="inlineStr">
        <is>
          <t>더원모바일</t>
        </is>
      </c>
      <c r="B316" s="47" t="inlineStr">
        <is>
          <t>TOP 7GB 기본 (웨이브 광고형)</t>
        </is>
      </c>
      <c r="C316" s="47" t="inlineStr">
        <is>
          <t>무제한</t>
        </is>
      </c>
      <c r="D316" s="47" t="inlineStr">
        <is>
          <t>무제한</t>
        </is>
      </c>
      <c r="E316" s="47" t="inlineStr">
        <is>
          <t>월 7GB + 1Mbps</t>
        </is>
      </c>
      <c r="F316" s="47" t="inlineStr">
        <is>
          <t>KT</t>
        </is>
      </c>
      <c r="G316" s="47" t="inlineStr">
        <is>
          <t>LTE</t>
        </is>
      </c>
      <c r="H316" s="48" t="n">
        <v>8910</v>
      </c>
      <c r="I316" s="48" t="n">
        <v>12</v>
      </c>
      <c r="J316" s="48" t="n">
        <v>26400</v>
      </c>
      <c r="K316" s="47">
        <f t="array" ref="K316">_xlfn.XLOOKUP(1,(참조!$B$2:$B$15=E316)*(참조!$D$2:$D$15=C316)*(참조!$E$2:$E$15=D316),참조!$C$2:$C$15,"")</f>
        <v/>
      </c>
    </row>
    <row r="317" hidden="1" s="27">
      <c r="A317" s="47" t="inlineStr">
        <is>
          <t>티플러스</t>
        </is>
      </c>
      <c r="B317" s="47" t="inlineStr">
        <is>
          <t>티플 11G＋_24개월 할인</t>
        </is>
      </c>
      <c r="C317" s="47" t="inlineStr">
        <is>
          <t>무제한</t>
        </is>
      </c>
      <c r="D317" s="47" t="inlineStr">
        <is>
          <t>무제한</t>
        </is>
      </c>
      <c r="E317" s="47" t="inlineStr">
        <is>
          <t>월 11GB + 매일 2GB + 3Mbps</t>
        </is>
      </c>
      <c r="F317" s="47" t="inlineStr">
        <is>
          <t>LG U+</t>
        </is>
      </c>
      <c r="G317" s="47" t="inlineStr">
        <is>
          <t>LTE</t>
        </is>
      </c>
      <c r="H317" s="48" t="n">
        <v>24900</v>
      </c>
      <c r="I317" s="48" t="n">
        <v>24</v>
      </c>
      <c r="J317" s="48" t="n">
        <v>39600</v>
      </c>
      <c r="K317" s="47">
        <f t="array" ref="K317">_xlfn.XLOOKUP(1,(참조!$B$2:$B$15=E317)*(참조!$D$2:$D$15=C317)*(참조!$E$2:$E$15=D317),참조!$C$2:$C$15,"")</f>
        <v/>
      </c>
    </row>
    <row r="318" hidden="1" s="27">
      <c r="A318" s="47" t="inlineStr">
        <is>
          <t>더원모바일</t>
        </is>
      </c>
      <c r="B318" s="47" t="inlineStr">
        <is>
          <t>TOP 7GB 기본 (네이버페이)</t>
        </is>
      </c>
      <c r="C318" s="47" t="inlineStr">
        <is>
          <t>무제한</t>
        </is>
      </c>
      <c r="D318" s="47" t="inlineStr">
        <is>
          <t>무제한</t>
        </is>
      </c>
      <c r="E318" s="47" t="inlineStr">
        <is>
          <t>월 7GB + 1Mbps</t>
        </is>
      </c>
      <c r="F318" s="47" t="inlineStr">
        <is>
          <t>KT</t>
        </is>
      </c>
      <c r="G318" s="47" t="inlineStr">
        <is>
          <t>LTE</t>
        </is>
      </c>
      <c r="H318" s="48" t="n">
        <v>4400</v>
      </c>
      <c r="I318" s="48" t="n">
        <v>7</v>
      </c>
      <c r="J318" s="48" t="n">
        <v>26400</v>
      </c>
      <c r="K318" s="47">
        <f t="array" ref="K318">_xlfn.XLOOKUP(1,(참조!$B$2:$B$15=E318)*(참조!$D$2:$D$15=C318)*(참조!$E$2:$E$15=D318),참조!$C$2:$C$15,"")</f>
        <v/>
      </c>
    </row>
    <row r="319" hidden="1" s="27">
      <c r="A319" s="47" t="inlineStr">
        <is>
          <t>티플러스</t>
        </is>
      </c>
      <c r="B319" s="47" t="inlineStr">
        <is>
          <t>가성비플러스(10GB/350분)</t>
        </is>
      </c>
      <c r="C319" s="47" t="inlineStr">
        <is>
          <t>350분</t>
        </is>
      </c>
      <c r="D319" s="47" t="inlineStr">
        <is>
          <t>100건</t>
        </is>
      </c>
      <c r="E319" s="47" t="inlineStr">
        <is>
          <t>월 10GB</t>
        </is>
      </c>
      <c r="F319" s="47" t="inlineStr">
        <is>
          <t>SKT</t>
        </is>
      </c>
      <c r="G319" s="47" t="inlineStr">
        <is>
          <t>LTE</t>
        </is>
      </c>
      <c r="H319" s="48" t="n">
        <v>10</v>
      </c>
      <c r="I319" s="48" t="n">
        <v>10</v>
      </c>
      <c r="J319" s="48" t="n">
        <v>15400</v>
      </c>
      <c r="K319" s="47">
        <f t="array" ref="K319">_xlfn.XLOOKUP(1,(참조!$B$2:$B$15=E319)*(참조!$D$2:$D$15=C319)*(참조!$E$2:$E$15=D319),참조!$C$2:$C$15,"")</f>
        <v/>
      </c>
    </row>
    <row r="320" hidden="1" s="27">
      <c r="A320" s="47" t="inlineStr">
        <is>
          <t>더원모바일</t>
        </is>
      </c>
      <c r="B320" s="47" t="inlineStr">
        <is>
          <t>TOP 15GB 100분 (올리브영)</t>
        </is>
      </c>
      <c r="C320" s="47" t="inlineStr">
        <is>
          <t>100분</t>
        </is>
      </c>
      <c r="D320" s="47" t="inlineStr">
        <is>
          <t>100건</t>
        </is>
      </c>
      <c r="E320" s="47" t="inlineStr">
        <is>
          <t>월 15GB + 3Mbps</t>
        </is>
      </c>
      <c r="F320" s="47" t="inlineStr">
        <is>
          <t>KT</t>
        </is>
      </c>
      <c r="G320" s="47" t="inlineStr">
        <is>
          <t>LTE</t>
        </is>
      </c>
      <c r="H320" s="48" t="n">
        <v>7700</v>
      </c>
      <c r="I320" s="48" t="n">
        <v>7</v>
      </c>
      <c r="J320" s="48" t="n">
        <v>35200</v>
      </c>
      <c r="K320" s="47">
        <f t="array" ref="K320">_xlfn.XLOOKUP(1,(참조!$B$2:$B$15=E320)*(참조!$D$2:$D$15=C320)*(참조!$E$2:$E$15=D320),참조!$C$2:$C$15,"")</f>
        <v/>
      </c>
    </row>
    <row r="321" hidden="1" s="27">
      <c r="A321" s="47" t="inlineStr">
        <is>
          <t>슈가모바일</t>
        </is>
      </c>
      <c r="B321" s="47" t="inlineStr">
        <is>
          <t>슈가X윌라 11GB+매일2GB+</t>
        </is>
      </c>
      <c r="C321" s="47" t="inlineStr">
        <is>
          <t>무제한</t>
        </is>
      </c>
      <c r="D321" s="47" t="inlineStr">
        <is>
          <t>무제한</t>
        </is>
      </c>
      <c r="E321" s="47" t="inlineStr">
        <is>
          <t>월 11GB + 매일 2GB + 3Mbps</t>
        </is>
      </c>
      <c r="F321" s="47" t="inlineStr">
        <is>
          <t>LG U+</t>
        </is>
      </c>
      <c r="G321" s="47" t="inlineStr">
        <is>
          <t>LTE</t>
        </is>
      </c>
      <c r="H321" s="48" t="n">
        <v>25900</v>
      </c>
      <c r="I321" s="48" t="n">
        <v>24</v>
      </c>
      <c r="J321" s="48" t="n">
        <v>44000</v>
      </c>
      <c r="K321" s="47">
        <f t="array" ref="K321">_xlfn.XLOOKUP(1,(참조!$B$2:$B$15=E321)*(참조!$D$2:$D$15=C321)*(참조!$E$2:$E$15=D321),참조!$C$2:$C$15,"")</f>
        <v/>
      </c>
    </row>
    <row r="322" hidden="1" s="27">
      <c r="A322" s="47" t="inlineStr">
        <is>
          <t>이야기모바일</t>
        </is>
      </c>
      <c r="B322" s="47" t="inlineStr">
        <is>
          <t>함께이야기해S(100분+10GB)</t>
        </is>
      </c>
      <c r="C322" s="47" t="inlineStr">
        <is>
          <t>100분</t>
        </is>
      </c>
      <c r="D322" s="47" t="inlineStr">
        <is>
          <t>100건</t>
        </is>
      </c>
      <c r="E322" s="47" t="inlineStr">
        <is>
          <t>월 10GB</t>
        </is>
      </c>
      <c r="F322" s="47" t="inlineStr">
        <is>
          <t>SKT</t>
        </is>
      </c>
      <c r="G322" s="47" t="inlineStr">
        <is>
          <t>LTE</t>
        </is>
      </c>
      <c r="H322" s="48" t="n">
        <v>3300</v>
      </c>
      <c r="I322" s="48" t="n">
        <v>24</v>
      </c>
      <c r="J322" s="48" t="n">
        <v>8800</v>
      </c>
      <c r="K322" s="47">
        <f t="array" ref="K322">_xlfn.XLOOKUP(1,(참조!$B$2:$B$15=E322)*(참조!$D$2:$D$15=C322)*(참조!$E$2:$E$15=D322),참조!$C$2:$C$15,"")</f>
        <v/>
      </c>
    </row>
    <row r="323" hidden="1" s="27">
      <c r="A323" s="47" t="inlineStr">
        <is>
          <t>스마텔</t>
        </is>
      </c>
      <c r="B323" s="47" t="inlineStr">
        <is>
          <t>USIM 스마일 (500분/10GB)</t>
        </is>
      </c>
      <c r="C323" s="47" t="inlineStr">
        <is>
          <t>500분</t>
        </is>
      </c>
      <c r="D323" s="47" t="inlineStr">
        <is>
          <t>100건</t>
        </is>
      </c>
      <c r="E323" s="47" t="inlineStr">
        <is>
          <t>월 10GB</t>
        </is>
      </c>
      <c r="F323" s="47" t="inlineStr">
        <is>
          <t>SKT</t>
        </is>
      </c>
      <c r="G323" s="47" t="inlineStr">
        <is>
          <t>LTE</t>
        </is>
      </c>
      <c r="H323" s="48" t="n">
        <v>990</v>
      </c>
      <c r="I323" s="48" t="n">
        <v>12</v>
      </c>
      <c r="J323" s="48" t="n">
        <v>20900</v>
      </c>
      <c r="K323" s="47">
        <f t="array" ref="K323">_xlfn.XLOOKUP(1,(참조!$B$2:$B$15=E323)*(참조!$D$2:$D$15=C323)*(참조!$E$2:$E$15=D323),참조!$C$2:$C$15,"")</f>
        <v/>
      </c>
    </row>
    <row r="324" hidden="1" s="27">
      <c r="A324" s="47" t="inlineStr">
        <is>
          <t>더원모바일</t>
        </is>
      </c>
      <c r="B324" s="47" t="inlineStr">
        <is>
          <t>ONE 5G 20GB 300분</t>
        </is>
      </c>
      <c r="C324" s="47" t="inlineStr">
        <is>
          <t>300분</t>
        </is>
      </c>
      <c r="D324" s="47" t="inlineStr">
        <is>
          <t>200건</t>
        </is>
      </c>
      <c r="E324" s="47" t="inlineStr">
        <is>
          <t>월 20GB</t>
        </is>
      </c>
      <c r="F324" s="47" t="inlineStr">
        <is>
          <t>KT</t>
        </is>
      </c>
      <c r="G324" s="47" t="inlineStr">
        <is>
          <t>5G</t>
        </is>
      </c>
      <c r="H324" s="48" t="n">
        <v>3960</v>
      </c>
      <c r="I324" s="48" t="n">
        <v>6</v>
      </c>
      <c r="J324" s="48" t="n">
        <v>29700</v>
      </c>
      <c r="K324" s="47">
        <f t="array" ref="K324">_xlfn.XLOOKUP(1,(참조!$B$2:$B$15=E324)*(참조!$D$2:$D$15=C324)*(참조!$E$2:$E$15=D324),참조!$C$2:$C$15,"")</f>
        <v/>
      </c>
    </row>
    <row r="325" hidden="1" s="27">
      <c r="A325" s="47" t="inlineStr">
        <is>
          <t>티플러스</t>
        </is>
      </c>
      <c r="B325" s="47" t="inlineStr">
        <is>
          <t>통화안심 10GB</t>
        </is>
      </c>
      <c r="C325" s="47" t="inlineStr">
        <is>
          <t>무제한</t>
        </is>
      </c>
      <c r="D325" s="47" t="inlineStr">
        <is>
          <t>100건</t>
        </is>
      </c>
      <c r="E325" s="47" t="inlineStr">
        <is>
          <t>월 10GB</t>
        </is>
      </c>
      <c r="F325" s="47" t="inlineStr">
        <is>
          <t>SKT</t>
        </is>
      </c>
      <c r="G325" s="47" t="inlineStr">
        <is>
          <t>LTE</t>
        </is>
      </c>
      <c r="H325" s="48" t="n">
        <v>10</v>
      </c>
      <c r="I325" s="48" t="n">
        <v>7</v>
      </c>
      <c r="J325" s="48" t="n">
        <v>19800</v>
      </c>
      <c r="K325" s="47">
        <f t="array" ref="K325">_xlfn.XLOOKUP(1,(참조!$B$2:$B$15=E325)*(참조!$D$2:$D$15=C325)*(참조!$E$2:$E$15=D325),참조!$C$2:$C$15,"")</f>
        <v/>
      </c>
    </row>
    <row r="326" hidden="1" s="27">
      <c r="A326" s="47" t="inlineStr">
        <is>
          <t>슈가모바일</t>
        </is>
      </c>
      <c r="B326" s="47" t="inlineStr">
        <is>
          <t>슈가칩 100GB++</t>
        </is>
      </c>
      <c r="C326" s="47" t="inlineStr">
        <is>
          <t>무제한</t>
        </is>
      </c>
      <c r="D326" s="47" t="inlineStr">
        <is>
          <t>무제한</t>
        </is>
      </c>
      <c r="E326" s="47" t="inlineStr">
        <is>
          <t>월 100GB + 5Mbps</t>
        </is>
      </c>
      <c r="F326" s="47" t="inlineStr">
        <is>
          <t>LG U+</t>
        </is>
      </c>
      <c r="G326" s="47" t="inlineStr">
        <is>
          <t>LTE</t>
        </is>
      </c>
      <c r="H326" s="48" t="n">
        <v>14000</v>
      </c>
      <c r="I326" s="48" t="n">
        <v>7</v>
      </c>
      <c r="J326" s="48" t="n">
        <v>49000</v>
      </c>
      <c r="K326" s="47">
        <f t="array" ref="K326">_xlfn.XLOOKUP(1,(참조!$B$2:$B$15=E326)*(참조!$D$2:$D$15=C326)*(참조!$E$2:$E$15=D326),참조!$C$2:$C$15,"")</f>
        <v/>
      </c>
    </row>
    <row r="327" hidden="1" s="27">
      <c r="A327" s="47" t="inlineStr">
        <is>
          <t>KT스카이라이프</t>
        </is>
      </c>
      <c r="B327" s="47" t="inlineStr">
        <is>
          <t>통화 충분 20GB</t>
        </is>
      </c>
      <c r="C327" s="47" t="inlineStr">
        <is>
          <t>무제한</t>
        </is>
      </c>
      <c r="D327" s="47" t="inlineStr">
        <is>
          <t>무제한</t>
        </is>
      </c>
      <c r="E327" s="47" t="inlineStr">
        <is>
          <t>월 20GB</t>
        </is>
      </c>
      <c r="F327" s="47" t="inlineStr">
        <is>
          <t>KT</t>
        </is>
      </c>
      <c r="G327" s="47" t="inlineStr">
        <is>
          <t>LTE</t>
        </is>
      </c>
      <c r="H327" s="48" t="n">
        <v>20100</v>
      </c>
      <c r="I327" s="48" t="n"/>
      <c r="J327" s="48" t="n"/>
      <c r="K327" s="47">
        <f t="array" ref="K327">_xlfn.XLOOKUP(1,(참조!$B$2:$B$15=E327)*(참조!$D$2:$D$15=C327)*(참조!$E$2:$E$15=D327),참조!$C$2:$C$15,"")</f>
        <v/>
      </c>
    </row>
    <row r="328" hidden="1" s="27">
      <c r="A328" s="47" t="inlineStr">
        <is>
          <t>이지모바일</t>
        </is>
      </c>
      <c r="B328" s="47" t="inlineStr">
        <is>
          <t>오래쓰는 ALL FREE</t>
        </is>
      </c>
      <c r="C328" s="47" t="inlineStr">
        <is>
          <t>무제한</t>
        </is>
      </c>
      <c r="D328" s="47" t="inlineStr">
        <is>
          <t>무제한</t>
        </is>
      </c>
      <c r="E328" s="47" t="inlineStr">
        <is>
          <t>매일 5GB + 5Mbps</t>
        </is>
      </c>
      <c r="F328" s="47" t="inlineStr">
        <is>
          <t>LG U+</t>
        </is>
      </c>
      <c r="G328" s="47" t="inlineStr">
        <is>
          <t>LTE</t>
        </is>
      </c>
      <c r="H328" s="48" t="n">
        <v>25850</v>
      </c>
      <c r="I328" s="48" t="n">
        <v>12</v>
      </c>
      <c r="J328" s="48" t="n">
        <v>46200</v>
      </c>
      <c r="K328" s="47">
        <f t="array" ref="K328">_xlfn.XLOOKUP(1,(참조!$B$2:$B$15=E328)*(참조!$D$2:$D$15=C328)*(참조!$E$2:$E$15=D328),참조!$C$2:$C$15,"")</f>
        <v/>
      </c>
    </row>
    <row r="329" hidden="1" s="27">
      <c r="A329" s="47" t="inlineStr">
        <is>
          <t>KT스카이라이프</t>
        </is>
      </c>
      <c r="B329" s="47" t="inlineStr">
        <is>
          <t>슬림 3GB/300분</t>
        </is>
      </c>
      <c r="C329" s="47" t="inlineStr">
        <is>
          <t>300분</t>
        </is>
      </c>
      <c r="D329" s="47" t="inlineStr">
        <is>
          <t>300건</t>
        </is>
      </c>
      <c r="E329" s="47" t="inlineStr">
        <is>
          <t>월 3GB</t>
        </is>
      </c>
      <c r="F329" s="47" t="inlineStr">
        <is>
          <t>KT</t>
        </is>
      </c>
      <c r="G329" s="47" t="inlineStr">
        <is>
          <t>LTE</t>
        </is>
      </c>
      <c r="H329" s="48" t="n">
        <v>5900</v>
      </c>
      <c r="I329" s="48" t="n"/>
      <c r="J329" s="48" t="n"/>
      <c r="K329" s="47">
        <f t="array" ref="K329">_xlfn.XLOOKUP(1,(참조!$B$2:$B$15=E329)*(참조!$D$2:$D$15=C329)*(참조!$E$2:$E$15=D329),참조!$C$2:$C$15,"")</f>
        <v/>
      </c>
    </row>
    <row r="330" hidden="1" s="27">
      <c r="A330" s="47" t="inlineStr">
        <is>
          <t>더원모바일</t>
        </is>
      </c>
      <c r="B330" s="47" t="inlineStr">
        <is>
          <t>TOP 15GB 300분 (CU할인)</t>
        </is>
      </c>
      <c r="C330" s="47" t="inlineStr">
        <is>
          <t>300분</t>
        </is>
      </c>
      <c r="D330" s="47" t="inlineStr">
        <is>
          <t>300건</t>
        </is>
      </c>
      <c r="E330" s="47" t="inlineStr">
        <is>
          <t>월 15GB + 3Mbps</t>
        </is>
      </c>
      <c r="F330" s="47" t="inlineStr">
        <is>
          <t>KT</t>
        </is>
      </c>
      <c r="G330" s="47" t="inlineStr">
        <is>
          <t>LTE</t>
        </is>
      </c>
      <c r="H330" s="48" t="n">
        <v>6600</v>
      </c>
      <c r="I330" s="48" t="n">
        <v>7</v>
      </c>
      <c r="J330" s="48" t="n">
        <v>37400</v>
      </c>
      <c r="K330" s="47">
        <f t="array" ref="K330">_xlfn.XLOOKUP(1,(참조!$B$2:$B$15=E330)*(참조!$D$2:$D$15=C330)*(참조!$E$2:$E$15=D330),참조!$C$2:$C$15,"")</f>
        <v/>
      </c>
    </row>
    <row r="331" hidden="1" s="27">
      <c r="A331" s="47" t="inlineStr">
        <is>
          <t>고고모바일</t>
        </is>
      </c>
      <c r="B331" s="47" t="inlineStr">
        <is>
          <t>[모요only] LTE 무제한 11GB+3M(CU20%할인)</t>
        </is>
      </c>
      <c r="C331" s="47" t="inlineStr">
        <is>
          <t>무제한</t>
        </is>
      </c>
      <c r="D331" s="47" t="inlineStr">
        <is>
          <t>무제한</t>
        </is>
      </c>
      <c r="E331" s="47" t="inlineStr">
        <is>
          <t>월 11GB + 매일 2GB + 3Mbps</t>
        </is>
      </c>
      <c r="F331" s="47" t="inlineStr">
        <is>
          <t>KT</t>
        </is>
      </c>
      <c r="G331" s="47" t="inlineStr">
        <is>
          <t>LTE</t>
        </is>
      </c>
      <c r="H331" s="48" t="n">
        <v>14000</v>
      </c>
      <c r="I331" s="48" t="n">
        <v>7</v>
      </c>
      <c r="J331" s="48" t="n">
        <v>38500</v>
      </c>
      <c r="K331" s="47">
        <f t="array" ref="K331">_xlfn.XLOOKUP(1,(참조!$B$2:$B$15=E331)*(참조!$D$2:$D$15=C331)*(참조!$E$2:$E$15=D331),참조!$C$2:$C$15,"")</f>
        <v/>
      </c>
    </row>
    <row r="332" hidden="1" s="27">
      <c r="A332" s="47" t="inlineStr">
        <is>
          <t>핀다이렉트</t>
        </is>
      </c>
      <c r="B332" s="47" t="inlineStr">
        <is>
          <t>[모요only] [K] 핀다이렉트Z Mini + 밀리의서재(12) _PIN</t>
        </is>
      </c>
      <c r="C332" s="47" t="inlineStr">
        <is>
          <t>무제한</t>
        </is>
      </c>
      <c r="D332" s="47" t="inlineStr">
        <is>
          <t>무제한</t>
        </is>
      </c>
      <c r="E332" s="47" t="inlineStr">
        <is>
          <t>월 7GB + 1Mbps</t>
        </is>
      </c>
      <c r="F332" s="47" t="inlineStr">
        <is>
          <t>KT</t>
        </is>
      </c>
      <c r="G332" s="47" t="inlineStr">
        <is>
          <t>LTE</t>
        </is>
      </c>
      <c r="H332" s="48" t="n">
        <v>11000</v>
      </c>
      <c r="I332" s="48" t="n">
        <v>12</v>
      </c>
      <c r="J332" s="48" t="n">
        <v>22000</v>
      </c>
      <c r="K332" s="47">
        <f t="array" ref="K332">_xlfn.XLOOKUP(1,(참조!$B$2:$B$15=E332)*(참조!$D$2:$D$15=C332)*(참조!$E$2:$E$15=D332),참조!$C$2:$C$15,"")</f>
        <v/>
      </c>
    </row>
    <row r="333" hidden="1" s="27">
      <c r="A333" s="47" t="inlineStr">
        <is>
          <t>슈가모바일</t>
        </is>
      </c>
      <c r="B333" s="47" t="inlineStr">
        <is>
          <t>Sugar 7GB+ (12개월+)</t>
        </is>
      </c>
      <c r="C333" s="47" t="inlineStr">
        <is>
          <t>무제한</t>
        </is>
      </c>
      <c r="D333" s="47" t="inlineStr">
        <is>
          <t>무제한</t>
        </is>
      </c>
      <c r="E333" s="47" t="inlineStr">
        <is>
          <t>월 7GB + 1Mbps</t>
        </is>
      </c>
      <c r="F333" s="47" t="inlineStr">
        <is>
          <t>LG U+</t>
        </is>
      </c>
      <c r="G333" s="47" t="inlineStr">
        <is>
          <t>LTE</t>
        </is>
      </c>
      <c r="H333" s="48" t="n">
        <v>9900</v>
      </c>
      <c r="I333" s="48" t="n">
        <v>12</v>
      </c>
      <c r="J333" s="48" t="n">
        <v>24080</v>
      </c>
      <c r="K333" s="47">
        <f t="array" ref="K333">_xlfn.XLOOKUP(1,(참조!$B$2:$B$15=E333)*(참조!$D$2:$D$15=C333)*(참조!$E$2:$E$15=D333),참조!$C$2:$C$15,"")</f>
        <v/>
      </c>
    </row>
    <row r="334" hidden="1" s="27">
      <c r="A334" s="47" t="inlineStr">
        <is>
          <t>KT엠모바일</t>
        </is>
      </c>
      <c r="B334" s="47" t="inlineStr">
        <is>
          <t>모두다 맘껏 안심 30GB+</t>
        </is>
      </c>
      <c r="C334" s="47" t="inlineStr">
        <is>
          <t>무제한</t>
        </is>
      </c>
      <c r="D334" s="47" t="inlineStr">
        <is>
          <t>무제한</t>
        </is>
      </c>
      <c r="E334" s="47" t="inlineStr">
        <is>
          <t>월 30GB + 400Kbps</t>
        </is>
      </c>
      <c r="F334" s="47" t="inlineStr">
        <is>
          <t>KT</t>
        </is>
      </c>
      <c r="G334" s="47" t="inlineStr">
        <is>
          <t>LTE</t>
        </is>
      </c>
      <c r="H334" s="48" t="n">
        <v>20400</v>
      </c>
      <c r="I334" s="48" t="n"/>
      <c r="J334" s="48" t="n"/>
      <c r="K334" s="47">
        <f t="array" ref="K334">_xlfn.XLOOKUP(1,(참조!$B$2:$B$15=E334)*(참조!$D$2:$D$15=C334)*(참조!$E$2:$E$15=D334),참조!$C$2:$C$15,"")</f>
        <v/>
      </c>
    </row>
    <row r="335" hidden="1" s="27">
      <c r="A335" s="47" t="inlineStr">
        <is>
          <t>KG모바일</t>
        </is>
      </c>
      <c r="B335" s="47" t="inlineStr">
        <is>
          <t>[일반] 통화, 데이터 마음대로 11GB+_24개월</t>
        </is>
      </c>
      <c r="C335" s="47" t="inlineStr">
        <is>
          <t>무제한</t>
        </is>
      </c>
      <c r="D335" s="47" t="inlineStr">
        <is>
          <t>무제한</t>
        </is>
      </c>
      <c r="E335" s="47" t="inlineStr">
        <is>
          <t>월 11GB + 매일 2GB + 3Mbps</t>
        </is>
      </c>
      <c r="F335" s="47" t="inlineStr">
        <is>
          <t>LG U+</t>
        </is>
      </c>
      <c r="G335" s="47" t="inlineStr">
        <is>
          <t>LTE</t>
        </is>
      </c>
      <c r="H335" s="48" t="n">
        <v>26200</v>
      </c>
      <c r="I335" s="48" t="n">
        <v>24</v>
      </c>
      <c r="J335" s="48" t="n">
        <v>41800</v>
      </c>
      <c r="K335" s="47">
        <f t="array" ref="K335">_xlfn.XLOOKUP(1,(참조!$B$2:$B$15=E335)*(참조!$D$2:$D$15=C335)*(참조!$E$2:$E$15=D335),참조!$C$2:$C$15,"")</f>
        <v/>
      </c>
    </row>
    <row r="336" hidden="1" s="27">
      <c r="A336" s="47" t="inlineStr">
        <is>
          <t>티플러스</t>
        </is>
      </c>
      <c r="B336" s="47" t="inlineStr">
        <is>
          <t>완전마음껏 100GB＋＋(밀리의서재)_18개월할인</t>
        </is>
      </c>
      <c r="C336" s="47" t="inlineStr">
        <is>
          <t>무제한</t>
        </is>
      </c>
      <c r="D336" s="47" t="inlineStr">
        <is>
          <t>무제한</t>
        </is>
      </c>
      <c r="E336" s="47" t="inlineStr">
        <is>
          <t>월 100GB + 5Mbps</t>
        </is>
      </c>
      <c r="F336" s="47" t="inlineStr">
        <is>
          <t>KT</t>
        </is>
      </c>
      <c r="G336" s="47" t="inlineStr">
        <is>
          <t>LTE</t>
        </is>
      </c>
      <c r="H336" s="48" t="n">
        <v>24900</v>
      </c>
      <c r="I336" s="48" t="n">
        <v>18</v>
      </c>
      <c r="J336" s="48" t="n">
        <v>48400</v>
      </c>
      <c r="K336" s="47">
        <f t="array" ref="K336">_xlfn.XLOOKUP(1,(참조!$B$2:$B$15=E336)*(참조!$D$2:$D$15=C336)*(참조!$E$2:$E$15=D336),참조!$C$2:$C$15,"")</f>
        <v/>
      </c>
    </row>
    <row r="337" hidden="1" s="27">
      <c r="A337" s="47" t="inlineStr">
        <is>
          <t>KT스카이라이프</t>
        </is>
      </c>
      <c r="B337" s="47" t="inlineStr">
        <is>
          <t>슬림 1.5GB/150분</t>
        </is>
      </c>
      <c r="C337" s="47" t="inlineStr">
        <is>
          <t>150분</t>
        </is>
      </c>
      <c r="D337" s="47" t="inlineStr">
        <is>
          <t>150건</t>
        </is>
      </c>
      <c r="E337" s="47" t="inlineStr">
        <is>
          <t>월 1.5GB</t>
        </is>
      </c>
      <c r="F337" s="47" t="inlineStr">
        <is>
          <t>KT</t>
        </is>
      </c>
      <c r="G337" s="47" t="inlineStr">
        <is>
          <t>LTE</t>
        </is>
      </c>
      <c r="H337" s="48" t="n">
        <v>3900</v>
      </c>
      <c r="I337" s="48" t="n"/>
      <c r="J337" s="48" t="n"/>
      <c r="K337" s="47">
        <f t="array" ref="K337">_xlfn.XLOOKUP(1,(참조!$B$2:$B$15=E337)*(참조!$D$2:$D$15=C337)*(참조!$E$2:$E$15=D337),참조!$C$2:$C$15,"")</f>
        <v/>
      </c>
    </row>
    <row r="338" hidden="1" s="27">
      <c r="A338" s="47" t="inlineStr">
        <is>
          <t>이지모바일</t>
        </is>
      </c>
      <c r="B338" s="47" t="inlineStr">
        <is>
          <t>EG 무제한 7G+1(NPAY3000)</t>
        </is>
      </c>
      <c r="C338" s="47" t="inlineStr">
        <is>
          <t>무제한</t>
        </is>
      </c>
      <c r="D338" s="47" t="inlineStr">
        <is>
          <t>무제한</t>
        </is>
      </c>
      <c r="E338" s="47" t="inlineStr">
        <is>
          <t>월 7GB + 1Mbps</t>
        </is>
      </c>
      <c r="F338" s="47" t="inlineStr">
        <is>
          <t>KT</t>
        </is>
      </c>
      <c r="G338" s="47" t="inlineStr">
        <is>
          <t>LTE</t>
        </is>
      </c>
      <c r="H338" s="48" t="n">
        <v>1900</v>
      </c>
      <c r="I338" s="48" t="n">
        <v>6</v>
      </c>
      <c r="J338" s="48" t="n">
        <v>23100</v>
      </c>
      <c r="K338" s="47">
        <f t="array" ref="K338">_xlfn.XLOOKUP(1,(참조!$B$2:$B$15=E338)*(참조!$D$2:$D$15=C338)*(참조!$E$2:$E$15=D338),참조!$C$2:$C$15,"")</f>
        <v/>
      </c>
    </row>
    <row r="339" hidden="1" s="27">
      <c r="A339" s="47" t="inlineStr">
        <is>
          <t>U+유모바일</t>
        </is>
      </c>
      <c r="B339" s="47" t="inlineStr">
        <is>
          <t>[평생할인] 1.5GB/통화기본</t>
        </is>
      </c>
      <c r="C339" s="47" t="inlineStr">
        <is>
          <t>무제한</t>
        </is>
      </c>
      <c r="D339" s="47" t="inlineStr">
        <is>
          <t>무제한</t>
        </is>
      </c>
      <c r="E339" s="47" t="inlineStr">
        <is>
          <t>월 1.5GB</t>
        </is>
      </c>
      <c r="F339" s="47" t="inlineStr">
        <is>
          <t>LG U+</t>
        </is>
      </c>
      <c r="G339" s="47" t="inlineStr">
        <is>
          <t>LTE</t>
        </is>
      </c>
      <c r="H339" s="48" t="n">
        <v>5900</v>
      </c>
      <c r="I339" s="48" t="n"/>
      <c r="J339" s="48" t="n"/>
      <c r="K339" s="47">
        <f t="array" ref="K339">_xlfn.XLOOKUP(1,(참조!$B$2:$B$15=E339)*(참조!$D$2:$D$15=C339)*(참조!$E$2:$E$15=D339),참조!$C$2:$C$15,"")</f>
        <v/>
      </c>
    </row>
    <row r="340" hidden="1" s="27">
      <c r="A340" s="47" t="inlineStr">
        <is>
          <t>스마텔</t>
        </is>
      </c>
      <c r="B340" s="47" t="inlineStr">
        <is>
          <t>스마트 15GB+ (24개월)</t>
        </is>
      </c>
      <c r="C340" s="47" t="inlineStr">
        <is>
          <t>무제한</t>
        </is>
      </c>
      <c r="D340" s="47" t="inlineStr">
        <is>
          <t>무제한</t>
        </is>
      </c>
      <c r="E340" s="47" t="inlineStr">
        <is>
          <t>월 15GB + 1Mbps</t>
        </is>
      </c>
      <c r="F340" s="47" t="inlineStr">
        <is>
          <t>LG U+</t>
        </is>
      </c>
      <c r="G340" s="47" t="inlineStr">
        <is>
          <t>LTE</t>
        </is>
      </c>
      <c r="H340" s="48" t="n">
        <v>16000</v>
      </c>
      <c r="I340" s="48" t="n">
        <v>24</v>
      </c>
      <c r="J340" s="48" t="n">
        <v>25410</v>
      </c>
      <c r="K340" s="47">
        <f t="array" ref="K340">_xlfn.XLOOKUP(1,(참조!$B$2:$B$15=E340)*(참조!$D$2:$D$15=C340)*(참조!$E$2:$E$15=D340),참조!$C$2:$C$15,"")</f>
        <v/>
      </c>
    </row>
    <row r="341" hidden="1" s="27">
      <c r="A341" s="47" t="inlineStr">
        <is>
          <t>이지모바일</t>
        </is>
      </c>
      <c r="B341" s="47" t="inlineStr">
        <is>
          <t>EG 무제한 15G+3/100분(밀리의 서재)</t>
        </is>
      </c>
      <c r="C341" s="47" t="inlineStr">
        <is>
          <t>100분</t>
        </is>
      </c>
      <c r="D341" s="47" t="inlineStr">
        <is>
          <t>100건</t>
        </is>
      </c>
      <c r="E341" s="47" t="inlineStr">
        <is>
          <t>월 15GB + 3Mbps</t>
        </is>
      </c>
      <c r="F341" s="47" t="inlineStr">
        <is>
          <t>KT</t>
        </is>
      </c>
      <c r="G341" s="47" t="inlineStr">
        <is>
          <t>LTE</t>
        </is>
      </c>
      <c r="H341" s="48" t="n">
        <v>6000</v>
      </c>
      <c r="I341" s="48" t="n">
        <v>6</v>
      </c>
      <c r="J341" s="48" t="n">
        <v>29700</v>
      </c>
      <c r="K341" s="47">
        <f t="array" ref="K341">_xlfn.XLOOKUP(1,(참조!$B$2:$B$15=E341)*(참조!$D$2:$D$15=C341)*(참조!$E$2:$E$15=D341),참조!$C$2:$C$15,"")</f>
        <v/>
      </c>
    </row>
    <row r="342" hidden="1" s="27">
      <c r="A342" s="47" t="inlineStr">
        <is>
          <t>더원모바일</t>
        </is>
      </c>
      <c r="B342" s="47" t="inlineStr">
        <is>
          <t>TOP 7GB 기본 (밀리의서재)</t>
        </is>
      </c>
      <c r="C342" s="47" t="inlineStr">
        <is>
          <t>무제한</t>
        </is>
      </c>
      <c r="D342" s="47" t="inlineStr">
        <is>
          <t>무제한</t>
        </is>
      </c>
      <c r="E342" s="47" t="inlineStr">
        <is>
          <t>월 7GB + 1Mbps</t>
        </is>
      </c>
      <c r="F342" s="47" t="inlineStr">
        <is>
          <t>KT</t>
        </is>
      </c>
      <c r="G342" s="47" t="inlineStr">
        <is>
          <t>LTE</t>
        </is>
      </c>
      <c r="H342" s="48" t="n">
        <v>2750</v>
      </c>
      <c r="I342" s="48" t="n">
        <v>7</v>
      </c>
      <c r="J342" s="48" t="n">
        <v>22000</v>
      </c>
      <c r="K342" s="47">
        <f t="array" ref="K342">_xlfn.XLOOKUP(1,(참조!$B$2:$B$15=E342)*(참조!$D$2:$D$15=C342)*(참조!$E$2:$E$15=D342),참조!$C$2:$C$15,"")</f>
        <v/>
      </c>
    </row>
    <row r="343" hidden="1" s="27">
      <c r="A343" s="47" t="inlineStr">
        <is>
          <t>더원모바일</t>
        </is>
      </c>
      <c r="B343" s="47" t="inlineStr">
        <is>
          <t>TOP 11GB 기본 (멜론)</t>
        </is>
      </c>
      <c r="C343" s="47" t="inlineStr">
        <is>
          <t>무제한</t>
        </is>
      </c>
      <c r="D343" s="47" t="inlineStr">
        <is>
          <t>무제한</t>
        </is>
      </c>
      <c r="E343" s="47" t="inlineStr">
        <is>
          <t>월 11GB + 매일 2GB + 3Mbps</t>
        </is>
      </c>
      <c r="F343" s="47" t="inlineStr">
        <is>
          <t>KT</t>
        </is>
      </c>
      <c r="G343" s="47" t="inlineStr">
        <is>
          <t>LTE</t>
        </is>
      </c>
      <c r="H343" s="48" t="n">
        <v>9900</v>
      </c>
      <c r="I343" s="48" t="n">
        <v>7</v>
      </c>
      <c r="J343" s="48" t="n">
        <v>41800</v>
      </c>
      <c r="K343" s="47">
        <f t="array" ref="K343">_xlfn.XLOOKUP(1,(참조!$B$2:$B$15=E343)*(참조!$D$2:$D$15=C343)*(참조!$E$2:$E$15=D343),참조!$C$2:$C$15,"")</f>
        <v/>
      </c>
    </row>
    <row r="344" hidden="1" s="27">
      <c r="A344" s="47" t="inlineStr">
        <is>
          <t>슈가모바일</t>
        </is>
      </c>
      <c r="B344" s="47" t="inlineStr">
        <is>
          <t>Sugar 10GB+1Mbps(R)</t>
        </is>
      </c>
      <c r="C344" s="47" t="inlineStr">
        <is>
          <t>1,000분</t>
        </is>
      </c>
      <c r="D344" s="47" t="inlineStr">
        <is>
          <t>200건</t>
        </is>
      </c>
      <c r="E344" s="47" t="inlineStr">
        <is>
          <t>월 10GB + 1Mbps</t>
        </is>
      </c>
      <c r="F344" s="47" t="inlineStr">
        <is>
          <t>LG U+</t>
        </is>
      </c>
      <c r="G344" s="47" t="inlineStr">
        <is>
          <t>LTE</t>
        </is>
      </c>
      <c r="H344" s="48" t="n">
        <v>8800</v>
      </c>
      <c r="I344" s="48" t="n"/>
      <c r="J344" s="48" t="n"/>
      <c r="K344" s="47">
        <f t="array" ref="K344">_xlfn.XLOOKUP(1,(참조!$B$2:$B$15=E344)*(참조!$D$2:$D$15=C344)*(참조!$E$2:$E$15=D344),참조!$C$2:$C$15,"")</f>
        <v/>
      </c>
    </row>
    <row r="345" hidden="1" s="27">
      <c r="A345" s="47" t="inlineStr">
        <is>
          <t>더원모바일</t>
        </is>
      </c>
      <c r="B345" s="47" t="inlineStr">
        <is>
          <t>ONE 5G 15GB 100분</t>
        </is>
      </c>
      <c r="C345" s="47" t="inlineStr">
        <is>
          <t>100분</t>
        </is>
      </c>
      <c r="D345" s="47" t="inlineStr">
        <is>
          <t>100건</t>
        </is>
      </c>
      <c r="E345" s="47" t="inlineStr">
        <is>
          <t>월 15GB</t>
        </is>
      </c>
      <c r="F345" s="47" t="inlineStr">
        <is>
          <t>KT</t>
        </is>
      </c>
      <c r="G345" s="47" t="inlineStr">
        <is>
          <t>5G</t>
        </is>
      </c>
      <c r="H345" s="48" t="n">
        <v>660</v>
      </c>
      <c r="I345" s="48" t="n">
        <v>6</v>
      </c>
      <c r="J345" s="48" t="n">
        <v>19800</v>
      </c>
      <c r="K345" s="47">
        <f t="array" ref="K345">_xlfn.XLOOKUP(1,(참조!$B$2:$B$15=E345)*(참조!$D$2:$D$15=C345)*(참조!$E$2:$E$15=D345),참조!$C$2:$C$15,"")</f>
        <v/>
      </c>
    </row>
    <row r="346" hidden="1" s="27">
      <c r="A346" s="47" t="inlineStr">
        <is>
          <t>더원모바일</t>
        </is>
      </c>
      <c r="B346" s="47" t="inlineStr">
        <is>
          <t>TOP 5G 200GB 기본 (밀리의서재)</t>
        </is>
      </c>
      <c r="C346" s="47" t="inlineStr">
        <is>
          <t>무제한</t>
        </is>
      </c>
      <c r="D346" s="47" t="inlineStr">
        <is>
          <t>무제한</t>
        </is>
      </c>
      <c r="E346" s="47" t="inlineStr">
        <is>
          <t>월 200GB + 10Mbps</t>
        </is>
      </c>
      <c r="F346" s="47" t="inlineStr">
        <is>
          <t>KT</t>
        </is>
      </c>
      <c r="G346" s="47" t="inlineStr">
        <is>
          <t>5G</t>
        </is>
      </c>
      <c r="H346" s="48" t="n">
        <v>29700</v>
      </c>
      <c r="I346" s="48" t="n">
        <v>12</v>
      </c>
      <c r="J346" s="48" t="n">
        <v>55000</v>
      </c>
      <c r="K346" s="47">
        <f t="array" ref="K346">_xlfn.XLOOKUP(1,(참조!$B$2:$B$15=E346)*(참조!$D$2:$D$15=C346)*(참조!$E$2:$E$15=D346),참조!$C$2:$C$15,"")</f>
        <v/>
      </c>
    </row>
    <row r="347" hidden="1" s="27">
      <c r="A347" s="47" t="inlineStr">
        <is>
          <t>티플러스</t>
        </is>
      </c>
      <c r="B347" s="47" t="inlineStr">
        <is>
          <t>5G 티플온 95GB+_24개월 할인</t>
        </is>
      </c>
      <c r="C347" s="47" t="inlineStr">
        <is>
          <t>무제한</t>
        </is>
      </c>
      <c r="D347" s="47" t="inlineStr">
        <is>
          <t>무제한</t>
        </is>
      </c>
      <c r="E347" s="47" t="inlineStr">
        <is>
          <t>월 95GB + 3Mbps</t>
        </is>
      </c>
      <c r="F347" s="47" t="inlineStr">
        <is>
          <t>LG U+</t>
        </is>
      </c>
      <c r="G347" s="47" t="inlineStr">
        <is>
          <t>5G</t>
        </is>
      </c>
      <c r="H347" s="48" t="n">
        <v>27900</v>
      </c>
      <c r="I347" s="48" t="n">
        <v>24</v>
      </c>
      <c r="J347" s="48" t="n">
        <v>52800</v>
      </c>
      <c r="K347" s="47">
        <f t="array" ref="K347">_xlfn.XLOOKUP(1,(참조!$B$2:$B$15=E347)*(참조!$D$2:$D$15=C347)*(참조!$E$2:$E$15=D347),참조!$C$2:$C$15,"")</f>
        <v/>
      </c>
    </row>
    <row r="348" hidden="1" s="27">
      <c r="A348" s="47" t="inlineStr">
        <is>
          <t>티플러스</t>
        </is>
      </c>
      <c r="B348" s="47" t="inlineStr">
        <is>
          <t>티플온 11G＋</t>
        </is>
      </c>
      <c r="C348" s="47" t="inlineStr">
        <is>
          <t>무제한</t>
        </is>
      </c>
      <c r="D348" s="47" t="inlineStr">
        <is>
          <t>무제한</t>
        </is>
      </c>
      <c r="E348" s="47" t="inlineStr">
        <is>
          <t>월 11GB + 매일 2GB + 3Mbps</t>
        </is>
      </c>
      <c r="F348" s="47" t="inlineStr">
        <is>
          <t>LG U+</t>
        </is>
      </c>
      <c r="G348" s="47" t="inlineStr">
        <is>
          <t>LTE</t>
        </is>
      </c>
      <c r="H348" s="48" t="n">
        <v>8900</v>
      </c>
      <c r="I348" s="48" t="n">
        <v>7</v>
      </c>
      <c r="J348" s="48" t="n">
        <v>48400</v>
      </c>
      <c r="K348" s="47">
        <f t="array" ref="K348">_xlfn.XLOOKUP(1,(참조!$B$2:$B$15=E348)*(참조!$D$2:$D$15=C348)*(참조!$E$2:$E$15=D348),참조!$C$2:$C$15,"")</f>
        <v/>
      </c>
    </row>
    <row r="349" hidden="1" s="27">
      <c r="A349" s="47" t="inlineStr">
        <is>
          <t>티플러스</t>
        </is>
      </c>
      <c r="B349" s="47" t="inlineStr">
        <is>
          <t>티플 8GB(8GB/300분)_평생요금</t>
        </is>
      </c>
      <c r="C349" s="47" t="inlineStr">
        <is>
          <t>300분</t>
        </is>
      </c>
      <c r="D349" s="47" t="inlineStr">
        <is>
          <t>100건</t>
        </is>
      </c>
      <c r="E349" s="47" t="inlineStr">
        <is>
          <t>월 8GB</t>
        </is>
      </c>
      <c r="F349" s="47" t="inlineStr">
        <is>
          <t>SKT</t>
        </is>
      </c>
      <c r="G349" s="47" t="inlineStr">
        <is>
          <t>LTE</t>
        </is>
      </c>
      <c r="H349" s="48" t="n">
        <v>4500</v>
      </c>
      <c r="I349" s="48" t="n"/>
      <c r="J349" s="48" t="n"/>
      <c r="K349" s="47">
        <f t="array" ref="K349">_xlfn.XLOOKUP(1,(참조!$B$2:$B$15=E349)*(참조!$D$2:$D$15=C349)*(참조!$E$2:$E$15=D349),참조!$C$2:$C$15,"")</f>
        <v/>
      </c>
    </row>
    <row r="350" hidden="1" s="27">
      <c r="A350" s="47" t="inlineStr">
        <is>
          <t>이야기모바일</t>
        </is>
      </c>
      <c r="B350" s="47" t="inlineStr">
        <is>
          <t>이야기 쇼핑케어 71GB+</t>
        </is>
      </c>
      <c r="C350" s="47" t="inlineStr">
        <is>
          <t>무제한</t>
        </is>
      </c>
      <c r="D350" s="47" t="inlineStr">
        <is>
          <t>무제한</t>
        </is>
      </c>
      <c r="E350" s="47" t="inlineStr">
        <is>
          <t>월 11GB + 매일 2GB + 3Mbps</t>
        </is>
      </c>
      <c r="F350" s="47" t="inlineStr">
        <is>
          <t>LG U+</t>
        </is>
      </c>
      <c r="G350" s="47" t="inlineStr">
        <is>
          <t>LTE</t>
        </is>
      </c>
      <c r="H350" s="48" t="n">
        <v>26400</v>
      </c>
      <c r="I350" s="48" t="n">
        <v>24</v>
      </c>
      <c r="J350" s="48" t="n">
        <v>41800</v>
      </c>
      <c r="K350" s="47">
        <f t="array" ref="K350">_xlfn.XLOOKUP(1,(참조!$B$2:$B$15=E350)*(참조!$D$2:$D$15=C350)*(참조!$E$2:$E$15=D350),참조!$C$2:$C$15,"")</f>
        <v/>
      </c>
    </row>
    <row r="351" hidden="1" s="27">
      <c r="A351" s="47" t="inlineStr">
        <is>
          <t>이야기모바일</t>
        </is>
      </c>
      <c r="B351" s="47" t="inlineStr">
        <is>
          <t>이야기 라이프케어 71GB+</t>
        </is>
      </c>
      <c r="C351" s="47" t="inlineStr">
        <is>
          <t>무제한</t>
        </is>
      </c>
      <c r="D351" s="47" t="inlineStr">
        <is>
          <t>무제한</t>
        </is>
      </c>
      <c r="E351" s="47" t="inlineStr">
        <is>
          <t>월 11GB + 매일 2GB + 3Mbps</t>
        </is>
      </c>
      <c r="F351" s="47" t="inlineStr">
        <is>
          <t>LG U+</t>
        </is>
      </c>
      <c r="G351" s="47" t="inlineStr">
        <is>
          <t>LTE</t>
        </is>
      </c>
      <c r="H351" s="48" t="n">
        <v>26400</v>
      </c>
      <c r="I351" s="48" t="n">
        <v>24</v>
      </c>
      <c r="J351" s="48" t="n">
        <v>41800</v>
      </c>
      <c r="K351" s="47">
        <f t="array" ref="K351">_xlfn.XLOOKUP(1,(참조!$B$2:$B$15=E351)*(참조!$D$2:$D$15=C351)*(참조!$E$2:$E$15=D351),참조!$C$2:$C$15,"")</f>
        <v/>
      </c>
    </row>
    <row r="352" hidden="1" s="27">
      <c r="A352" s="47" t="inlineStr">
        <is>
          <t>이야기모바일</t>
        </is>
      </c>
      <c r="B352" s="47" t="inlineStr">
        <is>
          <t>이야기 피싱케어 71GB+</t>
        </is>
      </c>
      <c r="C352" s="47" t="inlineStr">
        <is>
          <t>무제한</t>
        </is>
      </c>
      <c r="D352" s="47" t="inlineStr">
        <is>
          <t>무제한</t>
        </is>
      </c>
      <c r="E352" s="47" t="inlineStr">
        <is>
          <t>월 11GB + 매일 2GB + 3Mbps</t>
        </is>
      </c>
      <c r="F352" s="47" t="inlineStr">
        <is>
          <t>LG U+</t>
        </is>
      </c>
      <c r="G352" s="47" t="inlineStr">
        <is>
          <t>LTE</t>
        </is>
      </c>
      <c r="H352" s="48" t="n">
        <v>26400</v>
      </c>
      <c r="I352" s="48" t="n">
        <v>24</v>
      </c>
      <c r="J352" s="48" t="n">
        <v>39600</v>
      </c>
      <c r="K352" s="47">
        <f t="array" ref="K352">_xlfn.XLOOKUP(1,(참조!$B$2:$B$15=E352)*(참조!$D$2:$D$15=C352)*(참조!$E$2:$E$15=D352),참조!$C$2:$C$15,"")</f>
        <v/>
      </c>
    </row>
    <row r="353" hidden="1" s="27">
      <c r="A353" s="47" t="inlineStr">
        <is>
          <t>이야기모바일</t>
        </is>
      </c>
      <c r="B353" s="47" t="inlineStr">
        <is>
          <t>이야기 헬스케어 71GB+</t>
        </is>
      </c>
      <c r="C353" s="47" t="inlineStr">
        <is>
          <t>무제한</t>
        </is>
      </c>
      <c r="D353" s="47" t="inlineStr">
        <is>
          <t>무제한</t>
        </is>
      </c>
      <c r="E353" s="47" t="inlineStr">
        <is>
          <t>월 11GB + 매일 2GB + 3Mbps</t>
        </is>
      </c>
      <c r="F353" s="47" t="inlineStr">
        <is>
          <t>LG U+</t>
        </is>
      </c>
      <c r="G353" s="47" t="inlineStr">
        <is>
          <t>LTE</t>
        </is>
      </c>
      <c r="H353" s="48" t="n">
        <v>26400</v>
      </c>
      <c r="I353" s="48" t="n">
        <v>24</v>
      </c>
      <c r="J353" s="48" t="n">
        <v>39600</v>
      </c>
      <c r="K353" s="47">
        <f t="array" ref="K353">_xlfn.XLOOKUP(1,(참조!$B$2:$B$15=E353)*(참조!$D$2:$D$15=C353)*(참조!$E$2:$E$15=D353),참조!$C$2:$C$15,"")</f>
        <v/>
      </c>
    </row>
    <row r="354" hidden="1" s="27">
      <c r="A354" s="47" t="inlineStr">
        <is>
          <t>슈가모바일</t>
        </is>
      </c>
      <c r="B354" s="47" t="inlineStr">
        <is>
          <t>슈가칩2 11GB+매일2GB+</t>
        </is>
      </c>
      <c r="C354" s="47" t="inlineStr">
        <is>
          <t>무제한</t>
        </is>
      </c>
      <c r="D354" s="47" t="inlineStr">
        <is>
          <t>무제한</t>
        </is>
      </c>
      <c r="E354" s="47" t="inlineStr">
        <is>
          <t>월 11GB + 매일 2GB + 3Mbps</t>
        </is>
      </c>
      <c r="F354" s="47" t="inlineStr">
        <is>
          <t>LG U+</t>
        </is>
      </c>
      <c r="G354" s="47" t="inlineStr">
        <is>
          <t>LTE</t>
        </is>
      </c>
      <c r="H354" s="48" t="n">
        <v>12500</v>
      </c>
      <c r="I354" s="48" t="n">
        <v>7</v>
      </c>
      <c r="J354" s="48" t="n">
        <v>40900</v>
      </c>
      <c r="K354" s="47">
        <f t="array" ref="K354">_xlfn.XLOOKUP(1,(참조!$B$2:$B$15=E354)*(참조!$D$2:$D$15=C354)*(참조!$E$2:$E$15=D354),참조!$C$2:$C$15,"")</f>
        <v/>
      </c>
    </row>
    <row r="355" hidden="1" s="27">
      <c r="A355" s="47" t="inlineStr">
        <is>
          <t>U+유모바일</t>
        </is>
      </c>
      <c r="B355" s="47" t="inlineStr">
        <is>
          <t>[평생할인] 7GB+/통화기본</t>
        </is>
      </c>
      <c r="C355" s="47" t="inlineStr">
        <is>
          <t>무제한</t>
        </is>
      </c>
      <c r="D355" s="47" t="inlineStr">
        <is>
          <t>무제한</t>
        </is>
      </c>
      <c r="E355" s="47" t="inlineStr">
        <is>
          <t>월 7GB + 1Mbps</t>
        </is>
      </c>
      <c r="F355" s="47" t="inlineStr">
        <is>
          <t>LG U+</t>
        </is>
      </c>
      <c r="G355" s="47" t="inlineStr">
        <is>
          <t>LTE</t>
        </is>
      </c>
      <c r="H355" s="48" t="n">
        <v>15900</v>
      </c>
      <c r="I355" s="48" t="n"/>
      <c r="J355" s="48" t="n"/>
      <c r="K355" s="47">
        <f t="array" ref="K355">_xlfn.XLOOKUP(1,(참조!$B$2:$B$15=E355)*(참조!$D$2:$D$15=C355)*(참조!$E$2:$E$15=D355),참조!$C$2:$C$15,"")</f>
        <v/>
      </c>
    </row>
    <row r="356" hidden="1" s="27">
      <c r="A356" s="47" t="inlineStr">
        <is>
          <t>티플러스</t>
        </is>
      </c>
      <c r="B356" s="47" t="inlineStr">
        <is>
          <t>통화안심 5GB_평생요금</t>
        </is>
      </c>
      <c r="C356" s="47" t="inlineStr">
        <is>
          <t>무제한</t>
        </is>
      </c>
      <c r="D356" s="47" t="inlineStr">
        <is>
          <t>100건</t>
        </is>
      </c>
      <c r="E356" s="47" t="inlineStr">
        <is>
          <t>월 5GB</t>
        </is>
      </c>
      <c r="F356" s="47" t="inlineStr">
        <is>
          <t>SKT</t>
        </is>
      </c>
      <c r="G356" s="47" t="inlineStr">
        <is>
          <t>LTE</t>
        </is>
      </c>
      <c r="H356" s="48" t="n">
        <v>2500</v>
      </c>
      <c r="I356" s="48" t="n"/>
      <c r="J356" s="48" t="n"/>
      <c r="K356" s="47">
        <f t="array" ref="K356">_xlfn.XLOOKUP(1,(참조!$B$2:$B$15=E356)*(참조!$D$2:$D$15=C356)*(참조!$E$2:$E$15=D356),참조!$C$2:$C$15,"")</f>
        <v/>
      </c>
    </row>
    <row r="357" hidden="1" s="27">
      <c r="A357" s="47" t="inlineStr">
        <is>
          <t>모나</t>
        </is>
      </c>
      <c r="B357" s="47" t="inlineStr">
        <is>
          <t>5G_신한카드_기본125G안심5</t>
        </is>
      </c>
      <c r="C357" s="47" t="inlineStr">
        <is>
          <t>무제한</t>
        </is>
      </c>
      <c r="D357" s="47" t="inlineStr">
        <is>
          <t>무제한</t>
        </is>
      </c>
      <c r="E357" s="47" t="inlineStr">
        <is>
          <t>월 125GB + 5Mbps</t>
        </is>
      </c>
      <c r="F357" s="47" t="inlineStr">
        <is>
          <t>LG U+</t>
        </is>
      </c>
      <c r="G357" s="47" t="inlineStr">
        <is>
          <t>5G</t>
        </is>
      </c>
      <c r="H357" s="48" t="n">
        <v>26990</v>
      </c>
      <c r="I357" s="48" t="n">
        <v>24</v>
      </c>
      <c r="J357" s="48" t="n">
        <v>57200</v>
      </c>
      <c r="K357" s="47">
        <f t="array" ref="K357">_xlfn.XLOOKUP(1,(참조!$B$2:$B$15=E357)*(참조!$D$2:$D$15=C357)*(참조!$E$2:$E$15=D357),참조!$C$2:$C$15,"")</f>
        <v/>
      </c>
    </row>
    <row r="358" hidden="1" s="27">
      <c r="A358" s="47" t="inlineStr">
        <is>
          <t>이야기모바일</t>
        </is>
      </c>
      <c r="B358" s="47" t="inlineStr">
        <is>
          <t>이야기 완전 무제한 11GB+</t>
        </is>
      </c>
      <c r="C358" s="47" t="inlineStr">
        <is>
          <t>무제한</t>
        </is>
      </c>
      <c r="D358" s="47" t="inlineStr">
        <is>
          <t>무제한</t>
        </is>
      </c>
      <c r="E358" s="47" t="inlineStr">
        <is>
          <t>월 11GB + 매일 2GB + 3Mbps</t>
        </is>
      </c>
      <c r="F358" s="47" t="inlineStr">
        <is>
          <t>SKT</t>
        </is>
      </c>
      <c r="G358" s="47" t="inlineStr">
        <is>
          <t>LTE</t>
        </is>
      </c>
      <c r="H358" s="48" t="n">
        <v>27500</v>
      </c>
      <c r="I358" s="48" t="n">
        <v>12</v>
      </c>
      <c r="J358" s="48" t="n">
        <v>39600</v>
      </c>
      <c r="K358" s="47">
        <f t="array" ref="K358">_xlfn.XLOOKUP(1,(참조!$B$2:$B$15=E358)*(참조!$D$2:$D$15=C358)*(참조!$E$2:$E$15=D358),참조!$C$2:$C$15,"")</f>
        <v/>
      </c>
    </row>
    <row r="359" hidden="1" s="27">
      <c r="A359" s="47" t="inlineStr">
        <is>
          <t>더원모바일</t>
        </is>
      </c>
      <c r="B359" s="47" t="inlineStr">
        <is>
          <t>TOP 100GB 기본 (밀리의서재)</t>
        </is>
      </c>
      <c r="C359" s="47" t="inlineStr">
        <is>
          <t>무제한</t>
        </is>
      </c>
      <c r="D359" s="47" t="inlineStr">
        <is>
          <t>무제한</t>
        </is>
      </c>
      <c r="E359" s="47" t="inlineStr">
        <is>
          <t>월 100GB + 5Mbps</t>
        </is>
      </c>
      <c r="F359" s="47" t="inlineStr">
        <is>
          <t>KT</t>
        </is>
      </c>
      <c r="G359" s="47" t="inlineStr">
        <is>
          <t>LTE</t>
        </is>
      </c>
      <c r="H359" s="48" t="n">
        <v>12980</v>
      </c>
      <c r="I359" s="48" t="n">
        <v>7</v>
      </c>
      <c r="J359" s="48" t="n">
        <v>46200</v>
      </c>
      <c r="K359" s="47">
        <f t="array" ref="K359">_xlfn.XLOOKUP(1,(참조!$B$2:$B$15=E359)*(참조!$D$2:$D$15=C359)*(참조!$E$2:$E$15=D359),참조!$C$2:$C$15,"")</f>
        <v/>
      </c>
    </row>
    <row r="360" hidden="1" s="27">
      <c r="A360" s="47" t="inlineStr">
        <is>
          <t>이야기모바일</t>
        </is>
      </c>
      <c r="B360" s="47" t="inlineStr">
        <is>
          <t>내맘대로S(200+6GB)</t>
        </is>
      </c>
      <c r="C360" s="47" t="inlineStr">
        <is>
          <t>200분</t>
        </is>
      </c>
      <c r="D360" s="47" t="inlineStr">
        <is>
          <t>200건</t>
        </is>
      </c>
      <c r="E360" s="47" t="inlineStr">
        <is>
          <t>월 6GB</t>
        </is>
      </c>
      <c r="F360" s="47" t="inlineStr">
        <is>
          <t>SKT</t>
        </is>
      </c>
      <c r="G360" s="47" t="inlineStr">
        <is>
          <t>LTE</t>
        </is>
      </c>
      <c r="H360" s="48" t="n">
        <v>1500</v>
      </c>
      <c r="I360" s="48" t="n">
        <v>12</v>
      </c>
      <c r="J360" s="48" t="n">
        <v>4400</v>
      </c>
      <c r="K360" s="47">
        <f t="array" ref="K360">_xlfn.XLOOKUP(1,(참조!$B$2:$B$15=E360)*(참조!$D$2:$D$15=C360)*(참조!$E$2:$E$15=D360),참조!$C$2:$C$15,"")</f>
        <v/>
      </c>
    </row>
    <row r="361" hidden="1" s="27">
      <c r="A361" s="47" t="inlineStr">
        <is>
          <t>찬스모바일</t>
        </is>
      </c>
      <c r="B361" s="47" t="inlineStr">
        <is>
          <t>5G 음성기본 180GB+</t>
        </is>
      </c>
      <c r="C361" s="47" t="inlineStr">
        <is>
          <t>무제한</t>
        </is>
      </c>
      <c r="D361" s="47" t="inlineStr">
        <is>
          <t>무제한</t>
        </is>
      </c>
      <c r="E361" s="47" t="inlineStr">
        <is>
          <t>월 180GB + 10Mbps</t>
        </is>
      </c>
      <c r="F361" s="47" t="inlineStr">
        <is>
          <t>LG U+</t>
        </is>
      </c>
      <c r="G361" s="47" t="inlineStr">
        <is>
          <t>5G</t>
        </is>
      </c>
      <c r="H361" s="48" t="n">
        <v>13800</v>
      </c>
      <c r="I361" s="48" t="n">
        <v>7</v>
      </c>
      <c r="J361" s="48" t="n">
        <v>66000</v>
      </c>
      <c r="K361" s="47">
        <f t="array" ref="K361">_xlfn.XLOOKUP(1,(참조!$B$2:$B$15=E361)*(참조!$D$2:$D$15=C361)*(참조!$E$2:$E$15=D361),참조!$C$2:$C$15,"")</f>
        <v/>
      </c>
    </row>
    <row r="362" hidden="1" s="27">
      <c r="A362" s="47" t="inlineStr">
        <is>
          <t>KG모바일</t>
        </is>
      </c>
      <c r="B362" s="47" t="inlineStr">
        <is>
          <t>[평생할인] 데이터 마음대로 (4.5GB+/100분)</t>
        </is>
      </c>
      <c r="C362" s="47" t="inlineStr">
        <is>
          <t>100분</t>
        </is>
      </c>
      <c r="D362" s="47" t="inlineStr">
        <is>
          <t>100건</t>
        </is>
      </c>
      <c r="E362" s="47" t="inlineStr">
        <is>
          <t>월 4.5GB + 1Mbps</t>
        </is>
      </c>
      <c r="F362" s="47" t="inlineStr">
        <is>
          <t>LG U+</t>
        </is>
      </c>
      <c r="G362" s="47" t="inlineStr">
        <is>
          <t>LTE</t>
        </is>
      </c>
      <c r="H362" s="48" t="n">
        <v>3200</v>
      </c>
      <c r="I362" s="48" t="n"/>
      <c r="J362" s="48" t="n"/>
      <c r="K362" s="47">
        <f t="array" ref="K362">_xlfn.XLOOKUP(1,(참조!$B$2:$B$15=E362)*(참조!$D$2:$D$15=C362)*(참조!$E$2:$E$15=D362),참조!$C$2:$C$15,"")</f>
        <v/>
      </c>
    </row>
    <row r="363" hidden="1" s="27">
      <c r="A363" s="47" t="inlineStr">
        <is>
          <t>티플러스</t>
        </is>
      </c>
      <c r="B363" s="47" t="inlineStr">
        <is>
          <t>The 완전마음껏 15GB＋_평생요금</t>
        </is>
      </c>
      <c r="C363" s="47" t="inlineStr">
        <is>
          <t>무제한</t>
        </is>
      </c>
      <c r="D363" s="47" t="inlineStr">
        <is>
          <t>무제한</t>
        </is>
      </c>
      <c r="E363" s="47" t="inlineStr">
        <is>
          <t>월 15GB + 1Mbps</t>
        </is>
      </c>
      <c r="F363" s="47" t="inlineStr">
        <is>
          <t>LG U+</t>
        </is>
      </c>
      <c r="G363" s="47" t="inlineStr">
        <is>
          <t>LTE</t>
        </is>
      </c>
      <c r="H363" s="48" t="n">
        <v>15900</v>
      </c>
      <c r="I363" s="48" t="n"/>
      <c r="J363" s="48" t="n"/>
      <c r="K363" s="47">
        <f t="array" ref="K363">_xlfn.XLOOKUP(1,(참조!$B$2:$B$15=E363)*(참조!$D$2:$D$15=C363)*(참조!$E$2:$E$15=D363),참조!$C$2:$C$15,"")</f>
        <v/>
      </c>
    </row>
    <row r="364" hidden="1" s="27">
      <c r="A364" s="47" t="inlineStr">
        <is>
          <t>이야기모바일</t>
        </is>
      </c>
      <c r="B364" s="47" t="inlineStr">
        <is>
          <t>5G 함께이야기해S 무한 15GB</t>
        </is>
      </c>
      <c r="C364" s="47" t="inlineStr">
        <is>
          <t>무제한</t>
        </is>
      </c>
      <c r="D364" s="47" t="inlineStr">
        <is>
          <t>무제한</t>
        </is>
      </c>
      <c r="E364" s="47" t="inlineStr">
        <is>
          <t>월 15GB</t>
        </is>
      </c>
      <c r="F364" s="47" t="inlineStr">
        <is>
          <t>SKT</t>
        </is>
      </c>
      <c r="G364" s="47" t="inlineStr">
        <is>
          <t>5G</t>
        </is>
      </c>
      <c r="H364" s="48" t="n">
        <v>18700</v>
      </c>
      <c r="I364" s="48" t="n"/>
      <c r="J364" s="48" t="n"/>
      <c r="K364" s="47">
        <f t="array" ref="K364">_xlfn.XLOOKUP(1,(참조!$B$2:$B$15=E364)*(참조!$D$2:$D$15=C364)*(참조!$E$2:$E$15=D364),참조!$C$2:$C$15,"")</f>
        <v/>
      </c>
    </row>
    <row r="365" hidden="1" s="27">
      <c r="A365" s="47" t="inlineStr">
        <is>
          <t>U+유모바일</t>
        </is>
      </c>
      <c r="B365" s="47" t="inlineStr">
        <is>
          <t>[Npay 12만 기본제공] 17GB+/통화기본</t>
        </is>
      </c>
      <c r="C365" s="47" t="inlineStr">
        <is>
          <t>무제한</t>
        </is>
      </c>
      <c r="D365" s="47" t="inlineStr">
        <is>
          <t>무제한</t>
        </is>
      </c>
      <c r="E365" s="47" t="inlineStr">
        <is>
          <t>월 17GB + 1Mbps</t>
        </is>
      </c>
      <c r="F365" s="47" t="inlineStr">
        <is>
          <t>LG U+</t>
        </is>
      </c>
      <c r="G365" s="47" t="inlineStr">
        <is>
          <t>LTE</t>
        </is>
      </c>
      <c r="H365" s="48" t="n">
        <v>19900</v>
      </c>
      <c r="I365" s="48" t="n"/>
      <c r="J365" s="48" t="n"/>
      <c r="K365" s="47">
        <f t="array" ref="K365">_xlfn.XLOOKUP(1,(참조!$B$2:$B$15=E365)*(참조!$D$2:$D$15=C365)*(참조!$E$2:$E$15=D365),참조!$C$2:$C$15,"")</f>
        <v/>
      </c>
    </row>
    <row r="366" hidden="1" s="27">
      <c r="A366" s="47" t="inlineStr">
        <is>
          <t>티플러스</t>
        </is>
      </c>
      <c r="B366" s="47" t="inlineStr">
        <is>
          <t>완전마음껏 100GB＋＋(CU 20%)_18개월할인</t>
        </is>
      </c>
      <c r="C366" s="47" t="inlineStr">
        <is>
          <t>무제한</t>
        </is>
      </c>
      <c r="D366" s="47" t="inlineStr">
        <is>
          <t>무제한</t>
        </is>
      </c>
      <c r="E366" s="47" t="inlineStr">
        <is>
          <t>월 100GB + 5Mbps</t>
        </is>
      </c>
      <c r="F366" s="47" t="inlineStr">
        <is>
          <t>KT</t>
        </is>
      </c>
      <c r="G366" s="47" t="inlineStr">
        <is>
          <t>LTE</t>
        </is>
      </c>
      <c r="H366" s="48" t="n">
        <v>24900</v>
      </c>
      <c r="I366" s="48" t="n">
        <v>18</v>
      </c>
      <c r="J366" s="48" t="n">
        <v>48400</v>
      </c>
      <c r="K366" s="47">
        <f t="array" ref="K366">_xlfn.XLOOKUP(1,(참조!$B$2:$B$15=E366)*(참조!$D$2:$D$15=C366)*(참조!$E$2:$E$15=D366),참조!$C$2:$C$15,"")</f>
        <v/>
      </c>
    </row>
    <row r="367" hidden="1" s="27">
      <c r="A367" s="47" t="inlineStr">
        <is>
          <t>티플러스</t>
        </is>
      </c>
      <c r="B367" s="47" t="inlineStr">
        <is>
          <t>티플 완전마음껏11G＋_평생요금</t>
        </is>
      </c>
      <c r="C367" s="47" t="inlineStr">
        <is>
          <t>무제한</t>
        </is>
      </c>
      <c r="D367" s="47" t="inlineStr">
        <is>
          <t>무제한</t>
        </is>
      </c>
      <c r="E367" s="47" t="inlineStr">
        <is>
          <t>월 11GB + 매일 2GB + 3Mbps</t>
        </is>
      </c>
      <c r="F367" s="47" t="inlineStr">
        <is>
          <t>LG U+</t>
        </is>
      </c>
      <c r="G367" s="47" t="inlineStr">
        <is>
          <t>LTE</t>
        </is>
      </c>
      <c r="H367" s="48" t="n">
        <v>26900</v>
      </c>
      <c r="I367" s="48" t="n"/>
      <c r="J367" s="48" t="n"/>
      <c r="K367" s="47">
        <f t="array" ref="K367">_xlfn.XLOOKUP(1,(참조!$B$2:$B$15=E367)*(참조!$D$2:$D$15=C367)*(참조!$E$2:$E$15=D367),참조!$C$2:$C$15,"")</f>
        <v/>
      </c>
    </row>
    <row r="368" hidden="1" s="27">
      <c r="A368" s="47" t="inlineStr">
        <is>
          <t>티플러스</t>
        </is>
      </c>
      <c r="B368" s="47" t="inlineStr">
        <is>
          <t>가성비플러스(30GB/350분)</t>
        </is>
      </c>
      <c r="C368" s="47" t="inlineStr">
        <is>
          <t>350분</t>
        </is>
      </c>
      <c r="D368" s="47" t="inlineStr">
        <is>
          <t>100건</t>
        </is>
      </c>
      <c r="E368" s="47" t="inlineStr">
        <is>
          <t>월 30GB</t>
        </is>
      </c>
      <c r="F368" s="47" t="inlineStr">
        <is>
          <t>KT</t>
        </is>
      </c>
      <c r="G368" s="47" t="inlineStr">
        <is>
          <t>LTE</t>
        </is>
      </c>
      <c r="H368" s="48" t="n">
        <v>7900</v>
      </c>
      <c r="I368" s="48" t="n">
        <v>7</v>
      </c>
      <c r="J368" s="48" t="n">
        <v>39600</v>
      </c>
      <c r="K368" s="47">
        <f t="array" ref="K368">_xlfn.XLOOKUP(1,(참조!$B$2:$B$15=E368)*(참조!$D$2:$D$15=C368)*(참조!$E$2:$E$15=D368),참조!$C$2:$C$15,"")</f>
        <v/>
      </c>
    </row>
    <row r="369" hidden="1" s="27">
      <c r="A369" s="47" t="inlineStr">
        <is>
          <t>KT엠모바일</t>
        </is>
      </c>
      <c r="B369" s="47" t="inlineStr">
        <is>
          <t>모두다 맘껏 안심 25GB+</t>
        </is>
      </c>
      <c r="C369" s="47" t="inlineStr">
        <is>
          <t>무제한</t>
        </is>
      </c>
      <c r="D369" s="47" t="inlineStr">
        <is>
          <t>무제한</t>
        </is>
      </c>
      <c r="E369" s="47" t="inlineStr">
        <is>
          <t>월 25GB + 400Kbps</t>
        </is>
      </c>
      <c r="F369" s="47" t="inlineStr">
        <is>
          <t>KT</t>
        </is>
      </c>
      <c r="G369" s="47" t="inlineStr">
        <is>
          <t>LTE</t>
        </is>
      </c>
      <c r="H369" s="48" t="n">
        <v>18400</v>
      </c>
      <c r="I369" s="48" t="n"/>
      <c r="J369" s="48" t="n"/>
      <c r="K369" s="47">
        <f t="array" ref="K369">_xlfn.XLOOKUP(1,(참조!$B$2:$B$15=E369)*(참조!$D$2:$D$15=C369)*(참조!$E$2:$E$15=D369),참조!$C$2:$C$15,"")</f>
        <v/>
      </c>
    </row>
    <row r="370" hidden="1" s="27">
      <c r="A370" s="47" t="inlineStr">
        <is>
          <t>티플러스</t>
        </is>
      </c>
      <c r="B370" s="47" t="inlineStr">
        <is>
          <t>티플 올리브영 11GB+(매월 5000P)</t>
        </is>
      </c>
      <c r="C370" s="47" t="inlineStr">
        <is>
          <t>무제한</t>
        </is>
      </c>
      <c r="D370" s="47" t="inlineStr">
        <is>
          <t>무제한</t>
        </is>
      </c>
      <c r="E370" s="47" t="inlineStr">
        <is>
          <t>월 11GB + 매일 2GB + 3Mbps</t>
        </is>
      </c>
      <c r="F370" s="47" t="inlineStr">
        <is>
          <t>SKT</t>
        </is>
      </c>
      <c r="G370" s="47" t="inlineStr">
        <is>
          <t>LTE</t>
        </is>
      </c>
      <c r="H370" s="48" t="n">
        <v>9900</v>
      </c>
      <c r="I370" s="48" t="n">
        <v>7</v>
      </c>
      <c r="J370" s="48" t="n">
        <v>42900</v>
      </c>
      <c r="K370" s="47">
        <f t="array" ref="K370">_xlfn.XLOOKUP(1,(참조!$B$2:$B$15=E370)*(참조!$D$2:$D$15=C370)*(참조!$E$2:$E$15=D370),참조!$C$2:$C$15,"")</f>
        <v/>
      </c>
    </row>
    <row r="371" hidden="1" s="27">
      <c r="A371" s="47" t="inlineStr">
        <is>
          <t>티플러스</t>
        </is>
      </c>
      <c r="B371" s="47" t="inlineStr">
        <is>
          <t>5G 티플 10GB＋(300분)</t>
        </is>
      </c>
      <c r="C371" s="47" t="inlineStr">
        <is>
          <t>300분</t>
        </is>
      </c>
      <c r="D371" s="47" t="inlineStr">
        <is>
          <t>100건</t>
        </is>
      </c>
      <c r="E371" s="47" t="inlineStr">
        <is>
          <t>월 10GB + 1Mbps</t>
        </is>
      </c>
      <c r="F371" s="47" t="inlineStr">
        <is>
          <t>LG U+</t>
        </is>
      </c>
      <c r="G371" s="47" t="inlineStr">
        <is>
          <t>5G</t>
        </is>
      </c>
      <c r="H371" s="48" t="n">
        <v>1900</v>
      </c>
      <c r="I371" s="48" t="n">
        <v>6</v>
      </c>
      <c r="J371" s="48" t="n">
        <v>24200</v>
      </c>
      <c r="K371" s="47">
        <f t="array" ref="K371">_xlfn.XLOOKUP(1,(참조!$B$2:$B$15=E371)*(참조!$D$2:$D$15=C371)*(참조!$E$2:$E$15=D371),참조!$C$2:$C$15,"")</f>
        <v/>
      </c>
    </row>
    <row r="372" hidden="1" s="27">
      <c r="A372" s="47" t="inlineStr">
        <is>
          <t>티플러스</t>
        </is>
      </c>
      <c r="B372" s="47" t="inlineStr">
        <is>
          <t>티플포유(1G/100분)</t>
        </is>
      </c>
      <c r="C372" s="47" t="inlineStr">
        <is>
          <t>100분</t>
        </is>
      </c>
      <c r="D372" s="47" t="inlineStr">
        <is>
          <t>100건</t>
        </is>
      </c>
      <c r="E372" s="47" t="inlineStr">
        <is>
          <t>월 1GB</t>
        </is>
      </c>
      <c r="F372" s="47" t="inlineStr">
        <is>
          <t>LG U+</t>
        </is>
      </c>
      <c r="G372" s="47" t="inlineStr">
        <is>
          <t>LTE</t>
        </is>
      </c>
      <c r="H372" s="48" t="n">
        <v>3300</v>
      </c>
      <c r="I372" s="48" t="n"/>
      <c r="J372" s="48" t="n"/>
      <c r="K372" s="47">
        <f t="array" ref="K372">_xlfn.XLOOKUP(1,(참조!$B$2:$B$15=E372)*(참조!$D$2:$D$15=C372)*(참조!$E$2:$E$15=D372),참조!$C$2:$C$15,"")</f>
        <v/>
      </c>
    </row>
    <row r="373" hidden="1" s="27">
      <c r="A373" s="47" t="inlineStr">
        <is>
          <t>고고모바일</t>
        </is>
      </c>
      <c r="B373" s="47" t="inlineStr">
        <is>
          <t>고고 LTE 11GB+매일2GB+3M_모요</t>
        </is>
      </c>
      <c r="C373" s="47" t="inlineStr">
        <is>
          <t>무제한</t>
        </is>
      </c>
      <c r="D373" s="47" t="inlineStr">
        <is>
          <t>무제한</t>
        </is>
      </c>
      <c r="E373" s="47" t="inlineStr">
        <is>
          <t>월 11GB + 매일 2GB + 3Mbps</t>
        </is>
      </c>
      <c r="F373" s="47" t="inlineStr">
        <is>
          <t>SKT</t>
        </is>
      </c>
      <c r="G373" s="47" t="inlineStr">
        <is>
          <t>LTE</t>
        </is>
      </c>
      <c r="H373" s="48" t="n">
        <v>12000</v>
      </c>
      <c r="I373" s="48" t="n">
        <v>7</v>
      </c>
      <c r="J373" s="48" t="n">
        <v>38500</v>
      </c>
      <c r="K373" s="47">
        <f t="array" ref="K373">_xlfn.XLOOKUP(1,(참조!$B$2:$B$15=E373)*(참조!$D$2:$D$15=C373)*(참조!$E$2:$E$15=D373),참조!$C$2:$C$15,"")</f>
        <v/>
      </c>
    </row>
    <row r="374" hidden="1" s="27">
      <c r="A374" s="47" t="inlineStr">
        <is>
          <t>KG모바일</t>
        </is>
      </c>
      <c r="B374" s="47" t="inlineStr">
        <is>
          <t>[일반] 데이터 마음대로 (6GB+/200분)_12개월</t>
        </is>
      </c>
      <c r="C374" s="47" t="inlineStr">
        <is>
          <t>200분</t>
        </is>
      </c>
      <c r="D374" s="47" t="inlineStr">
        <is>
          <t>100건</t>
        </is>
      </c>
      <c r="E374" s="47" t="inlineStr">
        <is>
          <t>월 6GB + 1Mbps</t>
        </is>
      </c>
      <c r="F374" s="47" t="inlineStr">
        <is>
          <t>LG U+</t>
        </is>
      </c>
      <c r="G374" s="47" t="inlineStr">
        <is>
          <t>LTE</t>
        </is>
      </c>
      <c r="H374" s="48" t="n">
        <v>2000</v>
      </c>
      <c r="I374" s="48" t="n">
        <v>12</v>
      </c>
      <c r="J374" s="48" t="n">
        <v>18900</v>
      </c>
      <c r="K374" s="47">
        <f t="array" ref="K374">_xlfn.XLOOKUP(1,(참조!$B$2:$B$15=E374)*(참조!$D$2:$D$15=C374)*(참조!$E$2:$E$15=D374),참조!$C$2:$C$15,"")</f>
        <v/>
      </c>
    </row>
    <row r="375" hidden="1" s="27">
      <c r="A375" s="47" t="inlineStr">
        <is>
          <t>모나</t>
        </is>
      </c>
      <c r="B375" s="47" t="inlineStr">
        <is>
          <t>모나300분4.5G안심1</t>
        </is>
      </c>
      <c r="C375" s="47" t="inlineStr">
        <is>
          <t>300분</t>
        </is>
      </c>
      <c r="D375" s="47" t="inlineStr">
        <is>
          <t>200건</t>
        </is>
      </c>
      <c r="E375" s="47" t="inlineStr">
        <is>
          <t>월 4.5GB + 1Mbps</t>
        </is>
      </c>
      <c r="F375" s="47" t="inlineStr">
        <is>
          <t>LG U+</t>
        </is>
      </c>
      <c r="G375" s="47" t="inlineStr">
        <is>
          <t>LTE</t>
        </is>
      </c>
      <c r="H375" s="48" t="n">
        <v>1990</v>
      </c>
      <c r="I375" s="48" t="n">
        <v>12</v>
      </c>
      <c r="J375" s="48" t="n">
        <v>27500</v>
      </c>
      <c r="K375" s="47">
        <f t="array" ref="K375">_xlfn.XLOOKUP(1,(참조!$B$2:$B$15=E375)*(참조!$D$2:$D$15=C375)*(참조!$E$2:$E$15=D375),참조!$C$2:$C$15,"")</f>
        <v/>
      </c>
    </row>
    <row r="376" hidden="1" s="27">
      <c r="A376" s="47" t="inlineStr">
        <is>
          <t>티플러스</t>
        </is>
      </c>
      <c r="B376" s="47" t="inlineStr">
        <is>
          <t>The 완전마음껏11G+(다이소 매월 5000P)</t>
        </is>
      </c>
      <c r="C376" s="47" t="inlineStr">
        <is>
          <t>무제한</t>
        </is>
      </c>
      <c r="D376" s="47" t="inlineStr">
        <is>
          <t>무제한</t>
        </is>
      </c>
      <c r="E376" s="47" t="inlineStr">
        <is>
          <t>월 11GB + 매일 2GB + 3Mbps</t>
        </is>
      </c>
      <c r="F376" s="47" t="inlineStr">
        <is>
          <t>LG U+</t>
        </is>
      </c>
      <c r="G376" s="47" t="inlineStr">
        <is>
          <t>LTE</t>
        </is>
      </c>
      <c r="H376" s="48" t="n">
        <v>26900</v>
      </c>
      <c r="I376" s="48" t="n">
        <v>24</v>
      </c>
      <c r="J376" s="48" t="n">
        <v>39600</v>
      </c>
      <c r="K376" s="47">
        <f t="array" ref="K376">_xlfn.XLOOKUP(1,(참조!$B$2:$B$15=E376)*(참조!$D$2:$D$15=C376)*(참조!$E$2:$E$15=D376),참조!$C$2:$C$15,"")</f>
        <v/>
      </c>
    </row>
    <row r="377" hidden="1" s="27">
      <c r="A377" s="47" t="inlineStr">
        <is>
          <t>이야기모바일</t>
        </is>
      </c>
      <c r="B377" s="47" t="inlineStr">
        <is>
          <t>이야기 스페셜 무제한 11GB+</t>
        </is>
      </c>
      <c r="C377" s="47" t="inlineStr">
        <is>
          <t>무제한</t>
        </is>
      </c>
      <c r="D377" s="47" t="inlineStr">
        <is>
          <t>무제한</t>
        </is>
      </c>
      <c r="E377" s="47" t="inlineStr">
        <is>
          <t>월 11GB + 매일 2GB + 3Mbps</t>
        </is>
      </c>
      <c r="F377" s="47" t="inlineStr">
        <is>
          <t>LG U+</t>
        </is>
      </c>
      <c r="G377" s="47" t="inlineStr">
        <is>
          <t>LTE</t>
        </is>
      </c>
      <c r="H377" s="48" t="n">
        <v>23900</v>
      </c>
      <c r="I377" s="48" t="n">
        <v>12</v>
      </c>
      <c r="J377" s="48" t="n">
        <v>41800</v>
      </c>
      <c r="K377" s="47">
        <f t="array" ref="K377">_xlfn.XLOOKUP(1,(참조!$B$2:$B$15=E377)*(참조!$D$2:$D$15=C377)*(참조!$E$2:$E$15=D377),참조!$C$2:$C$15,"")</f>
        <v/>
      </c>
    </row>
    <row r="378" hidden="1" s="27">
      <c r="A378" s="47" t="inlineStr">
        <is>
          <t>이야기모바일</t>
        </is>
      </c>
      <c r="B378" s="47" t="inlineStr">
        <is>
          <t>내맘대로S(150+1GB)</t>
        </is>
      </c>
      <c r="C378" s="47" t="inlineStr">
        <is>
          <t>150분</t>
        </is>
      </c>
      <c r="D378" s="47" t="inlineStr">
        <is>
          <t>50건</t>
        </is>
      </c>
      <c r="E378" s="47" t="inlineStr">
        <is>
          <t>월 1GB</t>
        </is>
      </c>
      <c r="F378" s="47" t="inlineStr">
        <is>
          <t>SKT</t>
        </is>
      </c>
      <c r="G378" s="47" t="inlineStr">
        <is>
          <t>LTE</t>
        </is>
      </c>
      <c r="H378" s="48" t="n">
        <v>2500</v>
      </c>
      <c r="I378" s="48" t="n">
        <v>24</v>
      </c>
      <c r="J378" s="48" t="n">
        <v>3500</v>
      </c>
      <c r="K378" s="47">
        <f t="array" ref="K378">_xlfn.XLOOKUP(1,(참조!$B$2:$B$15=E378)*(참조!$D$2:$D$15=C378)*(참조!$E$2:$E$15=D378),참조!$C$2:$C$15,"")</f>
        <v/>
      </c>
    </row>
    <row r="379" hidden="1" s="27">
      <c r="A379" s="47" t="inlineStr">
        <is>
          <t>스마텔</t>
        </is>
      </c>
      <c r="B379" s="47" t="inlineStr">
        <is>
          <t>스위트 100GB+(밀리의서재)</t>
        </is>
      </c>
      <c r="C379" s="47" t="inlineStr">
        <is>
          <t>무제한</t>
        </is>
      </c>
      <c r="D379" s="47" t="inlineStr">
        <is>
          <t>무제한</t>
        </is>
      </c>
      <c r="E379" s="47" t="inlineStr">
        <is>
          <t>월 100GB + 5Mbps</t>
        </is>
      </c>
      <c r="F379" s="47" t="inlineStr">
        <is>
          <t>KT</t>
        </is>
      </c>
      <c r="G379" s="47" t="inlineStr">
        <is>
          <t>LTE</t>
        </is>
      </c>
      <c r="H379" s="48" t="n">
        <v>26000</v>
      </c>
      <c r="I379" s="48" t="n">
        <v>12</v>
      </c>
      <c r="J379" s="48" t="n">
        <v>47300</v>
      </c>
      <c r="K379" s="47">
        <f t="array" ref="K379">_xlfn.XLOOKUP(1,(참조!$B$2:$B$15=E379)*(참조!$D$2:$D$15=C379)*(참조!$E$2:$E$15=D379),참조!$C$2:$C$15,"")</f>
        <v/>
      </c>
    </row>
    <row r="380" hidden="1" s="27">
      <c r="A380" s="47" t="inlineStr">
        <is>
          <t>티플러스</t>
        </is>
      </c>
      <c r="B380" s="47" t="inlineStr">
        <is>
          <t>완전마음껏 100GB＋＋(네이버페이 매월 5000P)</t>
        </is>
      </c>
      <c r="C380" s="47" t="inlineStr">
        <is>
          <t>무제한</t>
        </is>
      </c>
      <c r="D380" s="47" t="inlineStr">
        <is>
          <t>무제한</t>
        </is>
      </c>
      <c r="E380" s="47" t="inlineStr">
        <is>
          <t>월 100GB + 5Mbps</t>
        </is>
      </c>
      <c r="F380" s="47" t="inlineStr">
        <is>
          <t>KT</t>
        </is>
      </c>
      <c r="G380" s="47" t="inlineStr">
        <is>
          <t>LTE</t>
        </is>
      </c>
      <c r="H380" s="48" t="n">
        <v>15900</v>
      </c>
      <c r="I380" s="48" t="n">
        <v>7</v>
      </c>
      <c r="J380" s="48" t="n">
        <v>55000</v>
      </c>
      <c r="K380" s="47">
        <f t="array" ref="K380">_xlfn.XLOOKUP(1,(참조!$B$2:$B$15=E380)*(참조!$D$2:$D$15=C380)*(참조!$E$2:$E$15=D380),참조!$C$2:$C$15,"")</f>
        <v/>
      </c>
    </row>
    <row r="381" hidden="1" s="27">
      <c r="A381" s="47" t="inlineStr">
        <is>
          <t>티플러스</t>
        </is>
      </c>
      <c r="B381" s="47" t="inlineStr">
        <is>
          <t>5G 가성비플러스(30GB/350분)</t>
        </is>
      </c>
      <c r="C381" s="47" t="inlineStr">
        <is>
          <t>350분</t>
        </is>
      </c>
      <c r="D381" s="47" t="inlineStr">
        <is>
          <t>100건</t>
        </is>
      </c>
      <c r="E381" s="47" t="inlineStr">
        <is>
          <t>월 30GB</t>
        </is>
      </c>
      <c r="F381" s="47" t="inlineStr">
        <is>
          <t>KT</t>
        </is>
      </c>
      <c r="G381" s="47" t="inlineStr">
        <is>
          <t>5G</t>
        </is>
      </c>
      <c r="H381" s="48" t="n">
        <v>7900</v>
      </c>
      <c r="I381" s="48" t="n">
        <v>7</v>
      </c>
      <c r="J381" s="48" t="n">
        <v>39600</v>
      </c>
      <c r="K381" s="47">
        <f t="array" ref="K381">_xlfn.XLOOKUP(1,(참조!$B$2:$B$15=E381)*(참조!$D$2:$D$15=C381)*(참조!$E$2:$E$15=D381),참조!$C$2:$C$15,"")</f>
        <v/>
      </c>
    </row>
    <row r="382" hidden="1" s="27">
      <c r="A382" s="47" t="inlineStr">
        <is>
          <t>찬스모바일</t>
        </is>
      </c>
      <c r="B382" s="47" t="inlineStr">
        <is>
          <t>[CHM]5G 찬스 300분/15GB</t>
        </is>
      </c>
      <c r="C382" s="47" t="inlineStr">
        <is>
          <t>300분</t>
        </is>
      </c>
      <c r="D382" s="47" t="inlineStr">
        <is>
          <t>300건</t>
        </is>
      </c>
      <c r="E382" s="47" t="inlineStr">
        <is>
          <t>월 15GB</t>
        </is>
      </c>
      <c r="F382" s="47" t="inlineStr">
        <is>
          <t>LG U+</t>
        </is>
      </c>
      <c r="G382" s="47" t="inlineStr">
        <is>
          <t>5G</t>
        </is>
      </c>
      <c r="H382" s="48" t="n">
        <v>5400</v>
      </c>
      <c r="I382" s="48" t="n">
        <v>6</v>
      </c>
      <c r="J382" s="48" t="n">
        <v>24200</v>
      </c>
      <c r="K382" s="47">
        <f t="array" ref="K382">_xlfn.XLOOKUP(1,(참조!$B$2:$B$15=E382)*(참조!$D$2:$D$15=C382)*(참조!$E$2:$E$15=D382),참조!$C$2:$C$15,"")</f>
        <v/>
      </c>
    </row>
    <row r="383" hidden="1" s="27">
      <c r="A383" s="47" t="inlineStr">
        <is>
          <t>고고모바일</t>
        </is>
      </c>
      <c r="B383" s="47" t="inlineStr">
        <is>
          <t>[모요only] LTE 무제한 11GB+3M(밀리의서재 Free)</t>
        </is>
      </c>
      <c r="C383" s="47" t="inlineStr">
        <is>
          <t>무제한</t>
        </is>
      </c>
      <c r="D383" s="47" t="inlineStr">
        <is>
          <t>무제한</t>
        </is>
      </c>
      <c r="E383" s="47" t="inlineStr">
        <is>
          <t>월 11GB + 매일 2GB + 3Mbps</t>
        </is>
      </c>
      <c r="F383" s="47" t="inlineStr">
        <is>
          <t>KT</t>
        </is>
      </c>
      <c r="G383" s="47" t="inlineStr">
        <is>
          <t>LTE</t>
        </is>
      </c>
      <c r="H383" s="48" t="n">
        <v>14000</v>
      </c>
      <c r="I383" s="48" t="n">
        <v>7</v>
      </c>
      <c r="J383" s="48" t="n">
        <v>38500</v>
      </c>
      <c r="K383" s="47">
        <f t="array" ref="K383">_xlfn.XLOOKUP(1,(참조!$B$2:$B$15=E383)*(참조!$D$2:$D$15=C383)*(참조!$E$2:$E$15=D383),참조!$C$2:$C$15,"")</f>
        <v/>
      </c>
    </row>
    <row r="384" hidden="1" s="27">
      <c r="A384" s="47" t="inlineStr">
        <is>
          <t>모나</t>
        </is>
      </c>
      <c r="B384" s="47" t="inlineStr">
        <is>
          <t>5G_모나120분11G</t>
        </is>
      </c>
      <c r="C384" s="47" t="inlineStr">
        <is>
          <t>120분</t>
        </is>
      </c>
      <c r="D384" s="47" t="inlineStr">
        <is>
          <t>100건</t>
        </is>
      </c>
      <c r="E384" s="47" t="inlineStr">
        <is>
          <t>월 11GB</t>
        </is>
      </c>
      <c r="F384" s="47" t="inlineStr">
        <is>
          <t>LG U+</t>
        </is>
      </c>
      <c r="G384" s="47" t="inlineStr">
        <is>
          <t>5G</t>
        </is>
      </c>
      <c r="H384" s="48" t="n">
        <v>1200</v>
      </c>
      <c r="I384" s="48" t="n">
        <v>12</v>
      </c>
      <c r="J384" s="48" t="n">
        <v>28600</v>
      </c>
      <c r="K384" s="47">
        <f t="array" ref="K384">_xlfn.XLOOKUP(1,(참조!$B$2:$B$15=E384)*(참조!$D$2:$D$15=C384)*(참조!$E$2:$E$15=D384),참조!$C$2:$C$15,"")</f>
        <v/>
      </c>
    </row>
    <row r="385" hidden="1" s="27">
      <c r="A385" s="47" t="inlineStr">
        <is>
          <t>이지모바일</t>
        </is>
      </c>
      <c r="B385" s="47" t="inlineStr">
        <is>
          <t>이지 더 오래쓰는 무제한 11G+3</t>
        </is>
      </c>
      <c r="C385" s="47" t="inlineStr">
        <is>
          <t>무제한</t>
        </is>
      </c>
      <c r="D385" s="47" t="inlineStr">
        <is>
          <t>무제한</t>
        </is>
      </c>
      <c r="E385" s="47" t="inlineStr">
        <is>
          <t>월 11GB + 매일 2GB + 3Mbps</t>
        </is>
      </c>
      <c r="F385" s="47" t="inlineStr">
        <is>
          <t>LG U+</t>
        </is>
      </c>
      <c r="G385" s="47" t="inlineStr">
        <is>
          <t>LTE</t>
        </is>
      </c>
      <c r="H385" s="48" t="n">
        <v>26290</v>
      </c>
      <c r="I385" s="48" t="n">
        <v>24</v>
      </c>
      <c r="J385" s="48" t="n">
        <v>39600</v>
      </c>
      <c r="K385" s="47">
        <f t="array" ref="K385">_xlfn.XLOOKUP(1,(참조!$B$2:$B$15=E385)*(참조!$D$2:$D$15=C385)*(참조!$E$2:$E$15=D385),참조!$C$2:$C$15,"")</f>
        <v/>
      </c>
    </row>
    <row r="386" hidden="1" s="27">
      <c r="A386" s="47" t="inlineStr">
        <is>
          <t>고고모바일</t>
        </is>
      </c>
      <c r="B386" s="47" t="inlineStr">
        <is>
          <t>[모요only] 무제한 100GB+5Mbps(밀리의서재 Free)</t>
        </is>
      </c>
      <c r="C386" s="47" t="inlineStr">
        <is>
          <t>무제한</t>
        </is>
      </c>
      <c r="D386" s="47" t="inlineStr">
        <is>
          <t>무제한</t>
        </is>
      </c>
      <c r="E386" s="47" t="inlineStr">
        <is>
          <t>월 100GB + 5Mbps</t>
        </is>
      </c>
      <c r="F386" s="47" t="inlineStr">
        <is>
          <t>KT</t>
        </is>
      </c>
      <c r="G386" s="47" t="inlineStr">
        <is>
          <t>LTE</t>
        </is>
      </c>
      <c r="H386" s="48" t="n">
        <v>15000</v>
      </c>
      <c r="I386" s="48" t="n">
        <v>7</v>
      </c>
      <c r="J386" s="48" t="n">
        <v>44000</v>
      </c>
      <c r="K386" s="47">
        <f t="array" ref="K386">_xlfn.XLOOKUP(1,(참조!$B$2:$B$15=E386)*(참조!$D$2:$D$15=C386)*(참조!$E$2:$E$15=D386),참조!$C$2:$C$15,"")</f>
        <v/>
      </c>
    </row>
    <row r="387" hidden="1" s="27">
      <c r="A387" s="47" t="inlineStr">
        <is>
          <t>더원모바일</t>
        </is>
      </c>
      <c r="B387" s="47" t="inlineStr">
        <is>
          <t>TOP 10GB 기본 (다이소)</t>
        </is>
      </c>
      <c r="C387" s="47" t="inlineStr">
        <is>
          <t>무제한</t>
        </is>
      </c>
      <c r="D387" s="47" t="inlineStr">
        <is>
          <t>무제한</t>
        </is>
      </c>
      <c r="E387" s="47" t="inlineStr">
        <is>
          <t>월 10GB + 1Mbps</t>
        </is>
      </c>
      <c r="F387" s="47" t="inlineStr">
        <is>
          <t>KT</t>
        </is>
      </c>
      <c r="G387" s="47" t="inlineStr">
        <is>
          <t>LTE</t>
        </is>
      </c>
      <c r="H387" s="48" t="n">
        <v>9900</v>
      </c>
      <c r="I387" s="48" t="n">
        <v>12</v>
      </c>
      <c r="J387" s="48" t="n">
        <v>28600</v>
      </c>
      <c r="K387" s="47">
        <f t="array" ref="K387">_xlfn.XLOOKUP(1,(참조!$B$2:$B$15=E387)*(참조!$D$2:$D$15=C387)*(참조!$E$2:$E$15=D387),참조!$C$2:$C$15,"")</f>
        <v/>
      </c>
    </row>
    <row r="388" hidden="1" s="27">
      <c r="A388" s="47" t="inlineStr">
        <is>
          <t>더원모바일</t>
        </is>
      </c>
      <c r="B388" s="47" t="inlineStr">
        <is>
          <t>TOP 100GB 기본 (웨이브 광고형)</t>
        </is>
      </c>
      <c r="C388" s="47" t="inlineStr">
        <is>
          <t>무제한</t>
        </is>
      </c>
      <c r="D388" s="47" t="inlineStr">
        <is>
          <t>무제한</t>
        </is>
      </c>
      <c r="E388" s="47" t="inlineStr">
        <is>
          <t>월 100GB + 5Mbps</t>
        </is>
      </c>
      <c r="F388" s="47" t="inlineStr">
        <is>
          <t>KT</t>
        </is>
      </c>
      <c r="G388" s="47" t="inlineStr">
        <is>
          <t>LTE</t>
        </is>
      </c>
      <c r="H388" s="48" t="n">
        <v>15070</v>
      </c>
      <c r="I388" s="48" t="n">
        <v>7</v>
      </c>
      <c r="J388" s="48" t="n">
        <v>46200</v>
      </c>
      <c r="K388" s="47">
        <f t="array" ref="K388">_xlfn.XLOOKUP(1,(참조!$B$2:$B$15=E388)*(참조!$D$2:$D$15=C388)*(참조!$E$2:$E$15=D388),참조!$C$2:$C$15,"")</f>
        <v/>
      </c>
    </row>
    <row r="389" hidden="1" s="27">
      <c r="A389" s="47" t="inlineStr">
        <is>
          <t>KG모바일</t>
        </is>
      </c>
      <c r="B389" s="47" t="inlineStr">
        <is>
          <t>[일반] 유심 5G 125GB+_24개월</t>
        </is>
      </c>
      <c r="C389" s="47" t="inlineStr">
        <is>
          <t>무제한</t>
        </is>
      </c>
      <c r="D389" s="47" t="inlineStr">
        <is>
          <t>무제한</t>
        </is>
      </c>
      <c r="E389" s="47" t="inlineStr">
        <is>
          <t>월 125GB + 5Mbps</t>
        </is>
      </c>
      <c r="F389" s="47" t="inlineStr">
        <is>
          <t>LG U+</t>
        </is>
      </c>
      <c r="G389" s="47" t="inlineStr">
        <is>
          <t>5G</t>
        </is>
      </c>
      <c r="H389" s="48" t="n">
        <v>26900</v>
      </c>
      <c r="I389" s="48" t="n">
        <v>24</v>
      </c>
      <c r="J389" s="48" t="n">
        <v>51150</v>
      </c>
      <c r="K389" s="47">
        <f t="array" ref="K389">_xlfn.XLOOKUP(1,(참조!$B$2:$B$15=E389)*(참조!$D$2:$D$15=C389)*(참조!$E$2:$E$15=D389),참조!$C$2:$C$15,"")</f>
        <v/>
      </c>
    </row>
    <row r="390" hidden="1" s="27">
      <c r="A390" s="47" t="inlineStr">
        <is>
          <t>시월모바일</t>
        </is>
      </c>
      <c r="B390" s="47" t="inlineStr">
        <is>
          <t>시월 무제한 매일5GB+5Mbps</t>
        </is>
      </c>
      <c r="C390" s="47" t="inlineStr">
        <is>
          <t>무제한</t>
        </is>
      </c>
      <c r="D390" s="47" t="inlineStr">
        <is>
          <t>무제한</t>
        </is>
      </c>
      <c r="E390" s="47" t="inlineStr">
        <is>
          <t>매일 5GB + 5Mbps</t>
        </is>
      </c>
      <c r="F390" s="47" t="inlineStr">
        <is>
          <t>LG U+</t>
        </is>
      </c>
      <c r="G390" s="47" t="inlineStr">
        <is>
          <t>LTE</t>
        </is>
      </c>
      <c r="H390" s="48" t="n">
        <v>14310</v>
      </c>
      <c r="I390" s="48" t="n">
        <v>7</v>
      </c>
      <c r="J390" s="48" t="n">
        <v>44010</v>
      </c>
      <c r="K390" s="47">
        <f t="array" ref="K390">_xlfn.XLOOKUP(1,(참조!$B$2:$B$15=E390)*(참조!$D$2:$D$15=C390)*(참조!$E$2:$E$15=D390),참조!$C$2:$C$15,"")</f>
        <v/>
      </c>
    </row>
    <row r="391" hidden="1" s="27">
      <c r="A391" s="47" t="inlineStr">
        <is>
          <t>슈가모바일</t>
        </is>
      </c>
      <c r="B391" s="47" t="inlineStr">
        <is>
          <t>Sugar 8GB+1Mbps(R)</t>
        </is>
      </c>
      <c r="C391" s="47" t="inlineStr">
        <is>
          <t>1,000분</t>
        </is>
      </c>
      <c r="D391" s="47" t="inlineStr">
        <is>
          <t>200건</t>
        </is>
      </c>
      <c r="E391" s="47" t="inlineStr">
        <is>
          <t>월 8GB + 1Mbps</t>
        </is>
      </c>
      <c r="F391" s="47" t="inlineStr">
        <is>
          <t>LG U+</t>
        </is>
      </c>
      <c r="G391" s="47" t="inlineStr">
        <is>
          <t>LTE</t>
        </is>
      </c>
      <c r="H391" s="48" t="n">
        <v>7900</v>
      </c>
      <c r="I391" s="48" t="n"/>
      <c r="J391" s="48" t="n"/>
      <c r="K391" s="47">
        <f t="array" ref="K391">_xlfn.XLOOKUP(1,(참조!$B$2:$B$15=E391)*(참조!$D$2:$D$15=C391)*(참조!$E$2:$E$15=D391),참조!$C$2:$C$15,"")</f>
        <v/>
      </c>
    </row>
    <row r="392" hidden="1" s="27">
      <c r="A392" s="47" t="inlineStr">
        <is>
          <t>U+유모바일</t>
        </is>
      </c>
      <c r="B392" s="47" t="inlineStr">
        <is>
          <t>[평생할인] 5G 10GB/통화기본</t>
        </is>
      </c>
      <c r="C392" s="47" t="inlineStr">
        <is>
          <t>무제한</t>
        </is>
      </c>
      <c r="D392" s="47" t="inlineStr">
        <is>
          <t>무제한</t>
        </is>
      </c>
      <c r="E392" s="47" t="inlineStr">
        <is>
          <t>월 10GB</t>
        </is>
      </c>
      <c r="F392" s="47" t="inlineStr">
        <is>
          <t>LG U+</t>
        </is>
      </c>
      <c r="G392" s="47" t="inlineStr">
        <is>
          <t>5G</t>
        </is>
      </c>
      <c r="H392" s="48" t="n">
        <v>12500</v>
      </c>
      <c r="I392" s="48" t="n"/>
      <c r="J392" s="48" t="n"/>
      <c r="K392" s="47">
        <f t="array" ref="K392">_xlfn.XLOOKUP(1,(참조!$B$2:$B$15=E392)*(참조!$D$2:$D$15=C392)*(참조!$E$2:$E$15=D392),참조!$C$2:$C$15,"")</f>
        <v/>
      </c>
    </row>
    <row r="393" hidden="1" s="27">
      <c r="A393" s="47" t="inlineStr">
        <is>
          <t>티플러스</t>
        </is>
      </c>
      <c r="B393" s="47" t="inlineStr">
        <is>
          <t>티플포유(6G/500분)</t>
        </is>
      </c>
      <c r="C393" s="47" t="inlineStr">
        <is>
          <t>500분</t>
        </is>
      </c>
      <c r="D393" s="47" t="inlineStr">
        <is>
          <t>100건</t>
        </is>
      </c>
      <c r="E393" s="47" t="inlineStr">
        <is>
          <t>월 6GB</t>
        </is>
      </c>
      <c r="F393" s="47" t="inlineStr">
        <is>
          <t>LG U+</t>
        </is>
      </c>
      <c r="G393" s="47" t="inlineStr">
        <is>
          <t>LTE</t>
        </is>
      </c>
      <c r="H393" s="48" t="n">
        <v>10</v>
      </c>
      <c r="I393" s="48" t="n">
        <v>9</v>
      </c>
      <c r="J393" s="48" t="n">
        <v>12100</v>
      </c>
      <c r="K393" s="47">
        <f t="array" ref="K393">_xlfn.XLOOKUP(1,(참조!$B$2:$B$15=E393)*(참조!$D$2:$D$15=C393)*(참조!$E$2:$E$15=D393),참조!$C$2:$C$15,"")</f>
        <v/>
      </c>
    </row>
    <row r="394" hidden="1" s="27">
      <c r="A394" s="47" t="inlineStr">
        <is>
          <t>KG모바일</t>
        </is>
      </c>
      <c r="B394" s="47" t="inlineStr">
        <is>
          <t>[평생할인] 통화, 데이터 마음대로 100GB+</t>
        </is>
      </c>
      <c r="C394" s="47" t="inlineStr">
        <is>
          <t>무제한</t>
        </is>
      </c>
      <c r="D394" s="47" t="inlineStr">
        <is>
          <t>무제한</t>
        </is>
      </c>
      <c r="E394" s="47" t="inlineStr">
        <is>
          <t>월 100GB + 5Mbps</t>
        </is>
      </c>
      <c r="F394" s="47" t="inlineStr">
        <is>
          <t>LG U+</t>
        </is>
      </c>
      <c r="G394" s="47" t="inlineStr">
        <is>
          <t>LTE</t>
        </is>
      </c>
      <c r="H394" s="48" t="n">
        <v>34000</v>
      </c>
      <c r="I394" s="48" t="n"/>
      <c r="J394" s="48" t="n"/>
      <c r="K394" s="47">
        <f t="array" ref="K394">_xlfn.XLOOKUP(1,(참조!$B$2:$B$15=E394)*(참조!$D$2:$D$15=C394)*(참조!$E$2:$E$15=D394),참조!$C$2:$C$15,"")</f>
        <v/>
      </c>
    </row>
    <row r="395" hidden="1" s="27">
      <c r="A395" s="47" t="inlineStr">
        <is>
          <t>티플러스</t>
        </is>
      </c>
      <c r="B395" s="47" t="inlineStr">
        <is>
          <t>The 완전마음껏11G+(카톡 이모티콘+예스24e북)</t>
        </is>
      </c>
      <c r="C395" s="47" t="inlineStr">
        <is>
          <t>무제한</t>
        </is>
      </c>
      <c r="D395" s="47" t="inlineStr">
        <is>
          <t>무제한</t>
        </is>
      </c>
      <c r="E395" s="47" t="inlineStr">
        <is>
          <t>월 11GB + 매일 2GB + 3Mbps</t>
        </is>
      </c>
      <c r="F395" s="47" t="inlineStr">
        <is>
          <t>LG U+</t>
        </is>
      </c>
      <c r="G395" s="47" t="inlineStr">
        <is>
          <t>LTE</t>
        </is>
      </c>
      <c r="H395" s="48" t="n">
        <v>27900</v>
      </c>
      <c r="I395" s="48" t="n">
        <v>24</v>
      </c>
      <c r="J395" s="48" t="n">
        <v>39600</v>
      </c>
      <c r="K395" s="47">
        <f t="array" ref="K395">_xlfn.XLOOKUP(1,(참조!$B$2:$B$15=E395)*(참조!$D$2:$D$15=C395)*(참조!$E$2:$E$15=D395),참조!$C$2:$C$15,"")</f>
        <v/>
      </c>
    </row>
    <row r="396" hidden="1" s="27">
      <c r="A396" s="47" t="inlineStr">
        <is>
          <t>KT스카이라이프</t>
        </is>
      </c>
      <c r="B396" s="47" t="inlineStr">
        <is>
          <t>모두 충분 1.5GB+</t>
        </is>
      </c>
      <c r="C396" s="47" t="inlineStr">
        <is>
          <t>무제한</t>
        </is>
      </c>
      <c r="D396" s="47" t="inlineStr">
        <is>
          <t>무제한</t>
        </is>
      </c>
      <c r="E396" s="47" t="inlineStr">
        <is>
          <t>월 1.5GB + 400Kbps</t>
        </is>
      </c>
      <c r="F396" s="47" t="inlineStr">
        <is>
          <t>KT</t>
        </is>
      </c>
      <c r="G396" s="47" t="inlineStr">
        <is>
          <t>LTE</t>
        </is>
      </c>
      <c r="H396" s="48" t="n">
        <v>6900</v>
      </c>
      <c r="I396" s="48" t="n"/>
      <c r="J396" s="48" t="n"/>
      <c r="K396" s="47">
        <f t="array" ref="K396">_xlfn.XLOOKUP(1,(참조!$B$2:$B$15=E396)*(참조!$D$2:$D$15=C396)*(참조!$E$2:$E$15=D396),참조!$C$2:$C$15,"")</f>
        <v/>
      </c>
    </row>
    <row r="397" hidden="1" s="27">
      <c r="A397" s="47" t="inlineStr">
        <is>
          <t>U+유모바일</t>
        </is>
      </c>
      <c r="B397" s="47" t="inlineStr">
        <is>
          <t>[평생할인] 5G 2GB/통화기본</t>
        </is>
      </c>
      <c r="C397" s="47" t="inlineStr">
        <is>
          <t>무제한</t>
        </is>
      </c>
      <c r="D397" s="47" t="inlineStr">
        <is>
          <t>무제한</t>
        </is>
      </c>
      <c r="E397" s="47" t="inlineStr">
        <is>
          <t>월 2GB</t>
        </is>
      </c>
      <c r="F397" s="47" t="inlineStr">
        <is>
          <t>LG U+</t>
        </is>
      </c>
      <c r="G397" s="47" t="inlineStr">
        <is>
          <t>5G</t>
        </is>
      </c>
      <c r="H397" s="48" t="n">
        <v>6000</v>
      </c>
      <c r="I397" s="48" t="n"/>
      <c r="J397" s="48" t="n"/>
      <c r="K397" s="47">
        <f t="array" ref="K397">_xlfn.XLOOKUP(1,(참조!$B$2:$B$15=E397)*(참조!$D$2:$D$15=C397)*(참조!$E$2:$E$15=D397),참조!$C$2:$C$15,"")</f>
        <v/>
      </c>
    </row>
    <row r="398" hidden="1" s="27">
      <c r="A398" s="47" t="inlineStr">
        <is>
          <t>고고모바일</t>
        </is>
      </c>
      <c r="B398" s="47" t="inlineStr">
        <is>
          <t>[모요only] 5G 200분/12GB_12개월</t>
        </is>
      </c>
      <c r="C398" s="47" t="inlineStr">
        <is>
          <t>200분</t>
        </is>
      </c>
      <c r="D398" s="47" t="inlineStr">
        <is>
          <t>100건</t>
        </is>
      </c>
      <c r="E398" s="47" t="inlineStr">
        <is>
          <t>월 12GB</t>
        </is>
      </c>
      <c r="F398" s="47" t="inlineStr">
        <is>
          <t>KT</t>
        </is>
      </c>
      <c r="G398" s="47" t="inlineStr">
        <is>
          <t>5G</t>
        </is>
      </c>
      <c r="H398" s="48" t="n">
        <v>6600</v>
      </c>
      <c r="I398" s="48" t="n">
        <v>12</v>
      </c>
      <c r="J398" s="48" t="n">
        <v>22000</v>
      </c>
      <c r="K398" s="47">
        <f t="array" ref="K398">_xlfn.XLOOKUP(1,(참조!$B$2:$B$15=E398)*(참조!$D$2:$D$15=C398)*(참조!$E$2:$E$15=D398),참조!$C$2:$C$15,"")</f>
        <v/>
      </c>
    </row>
    <row r="399" hidden="1" s="27">
      <c r="A399" s="47" t="inlineStr">
        <is>
          <t>이지모바일</t>
        </is>
      </c>
      <c r="B399" s="47" t="inlineStr">
        <is>
          <t>이지 데이터 8GB</t>
        </is>
      </c>
      <c r="C399" s="47" t="inlineStr">
        <is>
          <t>300분</t>
        </is>
      </c>
      <c r="D399" s="47" t="inlineStr">
        <is>
          <t>100건</t>
        </is>
      </c>
      <c r="E399" s="47" t="inlineStr">
        <is>
          <t>월 8GB</t>
        </is>
      </c>
      <c r="F399" s="47" t="inlineStr">
        <is>
          <t>LG U+</t>
        </is>
      </c>
      <c r="G399" s="47" t="inlineStr">
        <is>
          <t>LTE</t>
        </is>
      </c>
      <c r="H399" s="48" t="n">
        <v>10</v>
      </c>
      <c r="I399" s="48" t="n">
        <v>6</v>
      </c>
      <c r="J399" s="48" t="n">
        <v>18700</v>
      </c>
      <c r="K399" s="47">
        <f t="array" ref="K399">_xlfn.XLOOKUP(1,(참조!$B$2:$B$15=E399)*(참조!$D$2:$D$15=C399)*(참조!$E$2:$E$15=D399),참조!$C$2:$C$15,"")</f>
        <v/>
      </c>
    </row>
    <row r="400" hidden="1" s="27">
      <c r="A400" s="47" t="inlineStr">
        <is>
          <t>마블링</t>
        </is>
      </c>
      <c r="B400" s="47" t="inlineStr">
        <is>
          <t>[모요only] 마블링 100분 15GB+</t>
        </is>
      </c>
      <c r="C400" s="47" t="inlineStr">
        <is>
          <t>100분</t>
        </is>
      </c>
      <c r="D400" s="47" t="inlineStr">
        <is>
          <t>100건</t>
        </is>
      </c>
      <c r="E400" s="47" t="inlineStr">
        <is>
          <t>월 15GB + 3Mbps</t>
        </is>
      </c>
      <c r="F400" s="47" t="inlineStr">
        <is>
          <t>LG U+</t>
        </is>
      </c>
      <c r="G400" s="47" t="inlineStr">
        <is>
          <t>LTE</t>
        </is>
      </c>
      <c r="H400" s="48" t="n">
        <v>17600</v>
      </c>
      <c r="I400" s="48" t="n">
        <v>12</v>
      </c>
      <c r="J400" s="48" t="n">
        <v>32890</v>
      </c>
      <c r="K400" s="47">
        <f t="array" ref="K400">_xlfn.XLOOKUP(1,(참조!$B$2:$B$15=E400)*(참조!$D$2:$D$15=C400)*(참조!$E$2:$E$15=D400),참조!$C$2:$C$15,"")</f>
        <v/>
      </c>
    </row>
    <row r="401" hidden="1" s="27">
      <c r="A401" s="47" t="inlineStr">
        <is>
          <t>인스모바일</t>
        </is>
      </c>
      <c r="B401" s="47" t="inlineStr">
        <is>
          <t>[평생할인]인스 유심 음성 100분+1GB</t>
        </is>
      </c>
      <c r="C401" s="47" t="inlineStr">
        <is>
          <t>100분</t>
        </is>
      </c>
      <c r="D401" s="47" t="inlineStr">
        <is>
          <t>50건</t>
        </is>
      </c>
      <c r="E401" s="47" t="inlineStr">
        <is>
          <t>월 1GB</t>
        </is>
      </c>
      <c r="F401" s="47" t="inlineStr">
        <is>
          <t>LG U+</t>
        </is>
      </c>
      <c r="G401" s="47" t="inlineStr">
        <is>
          <t>LTE</t>
        </is>
      </c>
      <c r="H401" s="48" t="n">
        <v>3300</v>
      </c>
      <c r="I401" s="48" t="n"/>
      <c r="J401" s="48" t="n"/>
      <c r="K401" s="47">
        <f t="array" ref="K401">_xlfn.XLOOKUP(1,(참조!$B$2:$B$15=E401)*(참조!$D$2:$D$15=C401)*(참조!$E$2:$E$15=D401),참조!$C$2:$C$15,"")</f>
        <v/>
      </c>
    </row>
    <row r="402" hidden="1" s="27">
      <c r="A402" s="47" t="inlineStr">
        <is>
          <t>찬스모바일</t>
        </is>
      </c>
      <c r="B402" s="47" t="inlineStr">
        <is>
          <t>5G 음성기본 125GB+5Mbps_24개월</t>
        </is>
      </c>
      <c r="C402" s="47" t="inlineStr">
        <is>
          <t>무제한</t>
        </is>
      </c>
      <c r="D402" s="47" t="inlineStr">
        <is>
          <t>무제한</t>
        </is>
      </c>
      <c r="E402" s="47" t="inlineStr">
        <is>
          <t>월 125GB + 5Mbps</t>
        </is>
      </c>
      <c r="F402" s="47" t="inlineStr">
        <is>
          <t>LG U+</t>
        </is>
      </c>
      <c r="G402" s="47" t="inlineStr">
        <is>
          <t>5G</t>
        </is>
      </c>
      <c r="H402" s="48" t="n">
        <v>28200</v>
      </c>
      <c r="I402" s="48" t="n">
        <v>24</v>
      </c>
      <c r="J402" s="48" t="n">
        <v>55000</v>
      </c>
      <c r="K402" s="47">
        <f t="array" ref="K402">_xlfn.XLOOKUP(1,(참조!$B$2:$B$15=E402)*(참조!$D$2:$D$15=C402)*(참조!$E$2:$E$15=D402),참조!$C$2:$C$15,"")</f>
        <v/>
      </c>
    </row>
    <row r="403" hidden="1" s="27">
      <c r="A403" s="47" t="inlineStr">
        <is>
          <t>티플러스</t>
        </is>
      </c>
      <c r="B403" s="47" t="inlineStr">
        <is>
          <t>가성비플러스(6GB/350분)</t>
        </is>
      </c>
      <c r="C403" s="47" t="inlineStr">
        <is>
          <t>350분</t>
        </is>
      </c>
      <c r="D403" s="47" t="inlineStr">
        <is>
          <t>100건</t>
        </is>
      </c>
      <c r="E403" s="47" t="inlineStr">
        <is>
          <t>월 6GB</t>
        </is>
      </c>
      <c r="F403" s="47" t="inlineStr">
        <is>
          <t>SKT</t>
        </is>
      </c>
      <c r="G403" s="47" t="inlineStr">
        <is>
          <t>LTE</t>
        </is>
      </c>
      <c r="H403" s="48" t="n">
        <v>10</v>
      </c>
      <c r="I403" s="48" t="n">
        <v>9</v>
      </c>
      <c r="J403" s="48" t="n">
        <v>9900</v>
      </c>
      <c r="K403" s="47">
        <f t="array" ref="K403">_xlfn.XLOOKUP(1,(참조!$B$2:$B$15=E403)*(참조!$D$2:$D$15=C403)*(참조!$E$2:$E$15=D403),참조!$C$2:$C$15,"")</f>
        <v/>
      </c>
    </row>
    <row r="404" hidden="1" s="27">
      <c r="A404" s="47" t="inlineStr">
        <is>
          <t>이야기모바일</t>
        </is>
      </c>
      <c r="B404" s="47" t="inlineStr">
        <is>
          <t>함께이야기해S(200분+20GB)</t>
        </is>
      </c>
      <c r="C404" s="47" t="inlineStr">
        <is>
          <t>200분</t>
        </is>
      </c>
      <c r="D404" s="47" t="inlineStr">
        <is>
          <t>200건</t>
        </is>
      </c>
      <c r="E404" s="47" t="inlineStr">
        <is>
          <t>월 20GB</t>
        </is>
      </c>
      <c r="F404" s="47" t="inlineStr">
        <is>
          <t>SKT</t>
        </is>
      </c>
      <c r="G404" s="47" t="inlineStr">
        <is>
          <t>LTE</t>
        </is>
      </c>
      <c r="H404" s="48" t="n">
        <v>9900</v>
      </c>
      <c r="I404" s="48" t="n">
        <v>12</v>
      </c>
      <c r="J404" s="48" t="n">
        <v>19250</v>
      </c>
      <c r="K404" s="47">
        <f t="array" ref="K404">_xlfn.XLOOKUP(1,(참조!$B$2:$B$15=E404)*(참조!$D$2:$D$15=C404)*(참조!$E$2:$E$15=D404),참조!$C$2:$C$15,"")</f>
        <v/>
      </c>
    </row>
    <row r="405" hidden="1" s="27">
      <c r="A405" s="47" t="inlineStr">
        <is>
          <t>슈가모바일</t>
        </is>
      </c>
      <c r="B405" s="47" t="inlineStr">
        <is>
          <t>Sugar 세이브+(300분/10GB)</t>
        </is>
      </c>
      <c r="C405" s="47" t="inlineStr">
        <is>
          <t>300분</t>
        </is>
      </c>
      <c r="D405" s="47" t="inlineStr">
        <is>
          <t>100건</t>
        </is>
      </c>
      <c r="E405" s="47" t="inlineStr">
        <is>
          <t>월 10GB + 1Mbps</t>
        </is>
      </c>
      <c r="F405" s="47" t="inlineStr">
        <is>
          <t>LG U+</t>
        </is>
      </c>
      <c r="G405" s="47" t="inlineStr">
        <is>
          <t>LTE</t>
        </is>
      </c>
      <c r="H405" s="48" t="n">
        <v>1100</v>
      </c>
      <c r="I405" s="48" t="n">
        <v>6</v>
      </c>
      <c r="J405" s="48" t="n">
        <v>29700</v>
      </c>
      <c r="K405" s="47">
        <f t="array" ref="K405">_xlfn.XLOOKUP(1,(참조!$B$2:$B$15=E405)*(참조!$D$2:$D$15=C405)*(참조!$E$2:$E$15=D405),참조!$C$2:$C$15,"")</f>
        <v/>
      </c>
    </row>
    <row r="406" hidden="1" s="27">
      <c r="A406" s="47" t="inlineStr">
        <is>
          <t>LG헬로모바일</t>
        </is>
      </c>
      <c r="B406" s="47" t="inlineStr">
        <is>
          <t>슬림 유심 2GB 200분</t>
        </is>
      </c>
      <c r="C406" s="47" t="inlineStr">
        <is>
          <t>200분</t>
        </is>
      </c>
      <c r="D406" s="47" t="inlineStr">
        <is>
          <t>150건</t>
        </is>
      </c>
      <c r="E406" s="47" t="inlineStr">
        <is>
          <t>월 2GB</t>
        </is>
      </c>
      <c r="F406" s="47" t="inlineStr">
        <is>
          <t>LG U+</t>
        </is>
      </c>
      <c r="G406" s="47" t="inlineStr">
        <is>
          <t>LTE</t>
        </is>
      </c>
      <c r="H406" s="48" t="n">
        <v>3700</v>
      </c>
      <c r="I406" s="48" t="n"/>
      <c r="J406" s="48" t="n"/>
      <c r="K406" s="47">
        <f t="array" ref="K406">_xlfn.XLOOKUP(1,(참조!$B$2:$B$15=E406)*(참조!$D$2:$D$15=C406)*(참조!$E$2:$E$15=D406),참조!$C$2:$C$15,"")</f>
        <v/>
      </c>
    </row>
    <row r="407" hidden="1" s="27">
      <c r="A407" s="47" t="inlineStr">
        <is>
          <t>이야기모바일</t>
        </is>
      </c>
      <c r="B407" s="47" t="inlineStr">
        <is>
          <t>내맘대로 (50분+500MB)</t>
        </is>
      </c>
      <c r="C407" s="47" t="inlineStr">
        <is>
          <t>50분</t>
        </is>
      </c>
      <c r="D407" s="47" t="inlineStr">
        <is>
          <t>50건</t>
        </is>
      </c>
      <c r="E407" s="47" t="inlineStr">
        <is>
          <t>월 500MB</t>
        </is>
      </c>
      <c r="F407" s="47" t="inlineStr">
        <is>
          <t>LG U+</t>
        </is>
      </c>
      <c r="G407" s="47" t="inlineStr">
        <is>
          <t>LTE</t>
        </is>
      </c>
      <c r="H407" s="48" t="n">
        <v>3300</v>
      </c>
      <c r="I407" s="48" t="n">
        <v>12</v>
      </c>
      <c r="J407" s="48" t="n">
        <v>4950</v>
      </c>
      <c r="K407" s="47">
        <f t="array" ref="K407">_xlfn.XLOOKUP(1,(참조!$B$2:$B$15=E407)*(참조!$D$2:$D$15=C407)*(참조!$E$2:$E$15=D407),참조!$C$2:$C$15,"")</f>
        <v/>
      </c>
    </row>
    <row r="408" hidden="1" s="27">
      <c r="A408" s="47" t="inlineStr">
        <is>
          <t>이야기모바일</t>
        </is>
      </c>
      <c r="B408" s="47" t="inlineStr">
        <is>
          <t>5G 함께이야기해S 무한 20GB</t>
        </is>
      </c>
      <c r="C408" s="47" t="inlineStr">
        <is>
          <t>무제한</t>
        </is>
      </c>
      <c r="D408" s="47" t="inlineStr">
        <is>
          <t>무제한</t>
        </is>
      </c>
      <c r="E408" s="47" t="inlineStr">
        <is>
          <t>월 20GB</t>
        </is>
      </c>
      <c r="F408" s="47" t="inlineStr">
        <is>
          <t>SKT</t>
        </is>
      </c>
      <c r="G408" s="47" t="inlineStr">
        <is>
          <t>5G</t>
        </is>
      </c>
      <c r="H408" s="48" t="n">
        <v>19900</v>
      </c>
      <c r="I408" s="48" t="n"/>
      <c r="J408" s="48" t="n"/>
      <c r="K408" s="47">
        <f t="array" ref="K408">_xlfn.XLOOKUP(1,(참조!$B$2:$B$15=E408)*(참조!$D$2:$D$15=C408)*(참조!$E$2:$E$15=D408),참조!$C$2:$C$15,"")</f>
        <v/>
      </c>
    </row>
    <row r="409" hidden="1" s="27">
      <c r="A409" s="47" t="inlineStr">
        <is>
          <t>고고모바일</t>
        </is>
      </c>
      <c r="B409" s="47" t="inlineStr">
        <is>
          <t>LTE 200분/20GB_모요</t>
        </is>
      </c>
      <c r="C409" s="47" t="inlineStr">
        <is>
          <t>200분</t>
        </is>
      </c>
      <c r="D409" s="47" t="inlineStr">
        <is>
          <t>100건</t>
        </is>
      </c>
      <c r="E409" s="47" t="inlineStr">
        <is>
          <t>월 20GB</t>
        </is>
      </c>
      <c r="F409" s="47" t="inlineStr">
        <is>
          <t>SKT</t>
        </is>
      </c>
      <c r="G409" s="47" t="inlineStr">
        <is>
          <t>LTE</t>
        </is>
      </c>
      <c r="H409" s="48" t="n">
        <v>3850</v>
      </c>
      <c r="I409" s="48" t="n">
        <v>7</v>
      </c>
      <c r="J409" s="48" t="n">
        <v>25190</v>
      </c>
      <c r="K409" s="47">
        <f t="array" ref="K409">_xlfn.XLOOKUP(1,(참조!$B$2:$B$15=E409)*(참조!$D$2:$D$15=C409)*(참조!$E$2:$E$15=D409),참조!$C$2:$C$15,"")</f>
        <v/>
      </c>
    </row>
    <row r="410" hidden="1" s="27">
      <c r="A410" s="47" t="inlineStr">
        <is>
          <t>더원모바일</t>
        </is>
      </c>
      <c r="B410" s="47" t="inlineStr">
        <is>
          <t>TOP 5G 110GB 기본 (밀리의서재)</t>
        </is>
      </c>
      <c r="C410" s="47" t="inlineStr">
        <is>
          <t>무제한</t>
        </is>
      </c>
      <c r="D410" s="47" t="inlineStr">
        <is>
          <t>무제한</t>
        </is>
      </c>
      <c r="E410" s="47" t="inlineStr">
        <is>
          <t>월 110GB + 5Mbps</t>
        </is>
      </c>
      <c r="F410" s="47" t="inlineStr">
        <is>
          <t>KT</t>
        </is>
      </c>
      <c r="G410" s="47" t="inlineStr">
        <is>
          <t>5G</t>
        </is>
      </c>
      <c r="H410" s="48" t="n">
        <v>16500</v>
      </c>
      <c r="I410" s="48" t="n">
        <v>7</v>
      </c>
      <c r="J410" s="48" t="n">
        <v>47300</v>
      </c>
      <c r="K410" s="47">
        <f t="array" ref="K410">_xlfn.XLOOKUP(1,(참조!$B$2:$B$15=E410)*(참조!$D$2:$D$15=C410)*(참조!$E$2:$E$15=D410),참조!$C$2:$C$15,"")</f>
        <v/>
      </c>
    </row>
    <row r="411" hidden="1" s="27">
      <c r="A411" s="47" t="inlineStr">
        <is>
          <t>모나</t>
        </is>
      </c>
      <c r="B411" s="47" t="inlineStr">
        <is>
          <t>모나기본100G안심5</t>
        </is>
      </c>
      <c r="C411" s="47" t="inlineStr">
        <is>
          <t>무제한</t>
        </is>
      </c>
      <c r="D411" s="47" t="inlineStr">
        <is>
          <t>무제한</t>
        </is>
      </c>
      <c r="E411" s="47" t="inlineStr">
        <is>
          <t>월 100GB + 5Mbps</t>
        </is>
      </c>
      <c r="F411" s="47" t="inlineStr">
        <is>
          <t>LG U+</t>
        </is>
      </c>
      <c r="G411" s="47" t="inlineStr">
        <is>
          <t>LTE</t>
        </is>
      </c>
      <c r="H411" s="48" t="n">
        <v>29900</v>
      </c>
      <c r="I411" s="48" t="n">
        <v>24</v>
      </c>
      <c r="J411" s="48" t="n">
        <v>48400</v>
      </c>
      <c r="K411" s="47">
        <f t="array" ref="K411">_xlfn.XLOOKUP(1,(참조!$B$2:$B$15=E411)*(참조!$D$2:$D$15=C411)*(참조!$E$2:$E$15=D411),참조!$C$2:$C$15,"")</f>
        <v/>
      </c>
    </row>
    <row r="412" hidden="1" s="27">
      <c r="A412" s="47" t="inlineStr">
        <is>
          <t>티플러스</t>
        </is>
      </c>
      <c r="B412" s="47" t="inlineStr">
        <is>
          <t>티플 11GB+(이디야커피)</t>
        </is>
      </c>
      <c r="C412" s="47" t="inlineStr">
        <is>
          <t>무제한</t>
        </is>
      </c>
      <c r="D412" s="47" t="inlineStr">
        <is>
          <t>무제한</t>
        </is>
      </c>
      <c r="E412" s="47" t="inlineStr">
        <is>
          <t>월 11GB + 매일 2GB + 3Mbps</t>
        </is>
      </c>
      <c r="F412" s="47" t="inlineStr">
        <is>
          <t>SKT</t>
        </is>
      </c>
      <c r="G412" s="47" t="inlineStr">
        <is>
          <t>LTE</t>
        </is>
      </c>
      <c r="H412" s="48" t="n">
        <v>9900</v>
      </c>
      <c r="I412" s="48" t="n">
        <v>7</v>
      </c>
      <c r="J412" s="48" t="n">
        <v>48400</v>
      </c>
      <c r="K412" s="47">
        <f t="array" ref="K412">_xlfn.XLOOKUP(1,(참조!$B$2:$B$15=E412)*(참조!$D$2:$D$15=C412)*(참조!$E$2:$E$15=D412),참조!$C$2:$C$15,"")</f>
        <v/>
      </c>
    </row>
    <row r="413" hidden="1" s="27">
      <c r="A413" s="47" t="inlineStr">
        <is>
          <t>고고모바일</t>
        </is>
      </c>
      <c r="B413" s="47" t="inlineStr">
        <is>
          <t>5G200분/15GB</t>
        </is>
      </c>
      <c r="C413" s="47" t="inlineStr">
        <is>
          <t>200분</t>
        </is>
      </c>
      <c r="D413" s="47" t="inlineStr">
        <is>
          <t>100건</t>
        </is>
      </c>
      <c r="E413" s="47" t="inlineStr">
        <is>
          <t>월 15GB</t>
        </is>
      </c>
      <c r="F413" s="47" t="inlineStr">
        <is>
          <t>KT</t>
        </is>
      </c>
      <c r="G413" s="47" t="inlineStr">
        <is>
          <t>5G</t>
        </is>
      </c>
      <c r="H413" s="48" t="n">
        <v>20790</v>
      </c>
      <c r="I413" s="48" t="n"/>
      <c r="J413" s="48" t="n"/>
      <c r="K413" s="47">
        <f t="array" ref="K413">_xlfn.XLOOKUP(1,(참조!$B$2:$B$15=E413)*(참조!$D$2:$D$15=C413)*(참조!$E$2:$E$15=D413),참조!$C$2:$C$15,"")</f>
        <v/>
      </c>
    </row>
    <row r="414" hidden="1" s="27">
      <c r="A414" s="47" t="inlineStr">
        <is>
          <t>KG모바일</t>
        </is>
      </c>
      <c r="B414" s="47" t="inlineStr">
        <is>
          <t>[일반] 데이터 마음대로 (15GB+/300분)_24개월</t>
        </is>
      </c>
      <c r="C414" s="47" t="inlineStr">
        <is>
          <t>300분</t>
        </is>
      </c>
      <c r="D414" s="47" t="inlineStr">
        <is>
          <t>300건</t>
        </is>
      </c>
      <c r="E414" s="47" t="inlineStr">
        <is>
          <t>월 15GB + 3Mbps</t>
        </is>
      </c>
      <c r="F414" s="47" t="inlineStr">
        <is>
          <t>LG U+</t>
        </is>
      </c>
      <c r="G414" s="47" t="inlineStr">
        <is>
          <t>LTE</t>
        </is>
      </c>
      <c r="H414" s="48" t="n">
        <v>21800</v>
      </c>
      <c r="I414" s="48" t="n">
        <v>24</v>
      </c>
      <c r="J414" s="48" t="n">
        <v>35200</v>
      </c>
      <c r="K414" s="47">
        <f t="array" ref="K414">_xlfn.XLOOKUP(1,(참조!$B$2:$B$15=E414)*(참조!$D$2:$D$15=C414)*(참조!$E$2:$E$15=D414),참조!$C$2:$C$15,"")</f>
        <v/>
      </c>
    </row>
    <row r="415" hidden="1" s="27">
      <c r="A415" s="47" t="inlineStr">
        <is>
          <t>이야기모바일</t>
        </is>
      </c>
      <c r="B415" s="47" t="inlineStr">
        <is>
          <t>이야기 라이트 100분6GB+</t>
        </is>
      </c>
      <c r="C415" s="47" t="inlineStr">
        <is>
          <t>100분</t>
        </is>
      </c>
      <c r="D415" s="47" t="inlineStr">
        <is>
          <t>100건</t>
        </is>
      </c>
      <c r="E415" s="47" t="inlineStr">
        <is>
          <t>월 6GB + 1Mbps</t>
        </is>
      </c>
      <c r="F415" s="47" t="inlineStr">
        <is>
          <t>LG U+</t>
        </is>
      </c>
      <c r="G415" s="47" t="inlineStr">
        <is>
          <t>LTE</t>
        </is>
      </c>
      <c r="H415" s="48" t="n">
        <v>10</v>
      </c>
      <c r="I415" s="48" t="n">
        <v>6</v>
      </c>
      <c r="J415" s="48" t="n">
        <v>24200</v>
      </c>
      <c r="K415" s="47">
        <f t="array" ref="K415">_xlfn.XLOOKUP(1,(참조!$B$2:$B$15=E415)*(참조!$D$2:$D$15=C415)*(참조!$E$2:$E$15=D415),참조!$C$2:$C$15,"")</f>
        <v/>
      </c>
    </row>
    <row r="416" hidden="1" s="27">
      <c r="A416" s="47" t="inlineStr">
        <is>
          <t>찬스모바일</t>
        </is>
      </c>
      <c r="B416" s="47" t="inlineStr">
        <is>
          <t>음성기본 7GB+</t>
        </is>
      </c>
      <c r="C416" s="47" t="inlineStr">
        <is>
          <t>무제한</t>
        </is>
      </c>
      <c r="D416" s="47" t="inlineStr">
        <is>
          <t>무제한</t>
        </is>
      </c>
      <c r="E416" s="47" t="inlineStr">
        <is>
          <t>월 7GB + 1Mbps</t>
        </is>
      </c>
      <c r="F416" s="47" t="inlineStr">
        <is>
          <t>LG U+</t>
        </is>
      </c>
      <c r="G416" s="47" t="inlineStr">
        <is>
          <t>LTE</t>
        </is>
      </c>
      <c r="H416" s="48" t="n">
        <v>9888</v>
      </c>
      <c r="I416" s="48" t="n">
        <v>12</v>
      </c>
      <c r="J416" s="48" t="n">
        <v>19800</v>
      </c>
      <c r="K416" s="47">
        <f t="array" ref="K416">_xlfn.XLOOKUP(1,(참조!$B$2:$B$15=E416)*(참조!$D$2:$D$15=C416)*(참조!$E$2:$E$15=D416),참조!$C$2:$C$15,"")</f>
        <v/>
      </c>
    </row>
    <row r="417" hidden="1" s="27">
      <c r="A417" s="47" t="inlineStr">
        <is>
          <t>더원모바일</t>
        </is>
      </c>
      <c r="B417" s="47" t="inlineStr">
        <is>
          <t>TOP 11GB 기본 (올리브영)</t>
        </is>
      </c>
      <c r="C417" s="47" t="inlineStr">
        <is>
          <t>무제한</t>
        </is>
      </c>
      <c r="D417" s="47" t="inlineStr">
        <is>
          <t>무제한</t>
        </is>
      </c>
      <c r="E417" s="47" t="inlineStr">
        <is>
          <t>월 11GB + 매일 2GB + 3Mbps</t>
        </is>
      </c>
      <c r="F417" s="47" t="inlineStr">
        <is>
          <t>KT</t>
        </is>
      </c>
      <c r="G417" s="47" t="inlineStr">
        <is>
          <t>LTE</t>
        </is>
      </c>
      <c r="H417" s="48" t="n">
        <v>9900</v>
      </c>
      <c r="I417" s="48" t="n">
        <v>7</v>
      </c>
      <c r="J417" s="48" t="n">
        <v>40700</v>
      </c>
      <c r="K417" s="47">
        <f t="array" ref="K417">_xlfn.XLOOKUP(1,(참조!$B$2:$B$15=E417)*(참조!$D$2:$D$15=C417)*(참조!$E$2:$E$15=D417),참조!$C$2:$C$15,"")</f>
        <v/>
      </c>
    </row>
    <row r="418" hidden="1" s="27">
      <c r="A418" s="47" t="inlineStr">
        <is>
          <t>더원모바일</t>
        </is>
      </c>
      <c r="B418" s="47" t="inlineStr">
        <is>
          <t>TOP 7GB 기본 (네이버페이)</t>
        </is>
      </c>
      <c r="C418" s="47" t="inlineStr">
        <is>
          <t>무제한</t>
        </is>
      </c>
      <c r="D418" s="47" t="inlineStr">
        <is>
          <t>무제한</t>
        </is>
      </c>
      <c r="E418" s="47" t="inlineStr">
        <is>
          <t>월 7GB + 1Mbps</t>
        </is>
      </c>
      <c r="F418" s="47" t="inlineStr">
        <is>
          <t>KT</t>
        </is>
      </c>
      <c r="G418" s="47" t="inlineStr">
        <is>
          <t>LTE</t>
        </is>
      </c>
      <c r="H418" s="48" t="n">
        <v>8910</v>
      </c>
      <c r="I418" s="48" t="n">
        <v>12</v>
      </c>
      <c r="J418" s="48" t="n">
        <v>26400</v>
      </c>
      <c r="K418" s="47">
        <f t="array" ref="K418">_xlfn.XLOOKUP(1,(참조!$B$2:$B$15=E418)*(참조!$D$2:$D$15=C418)*(참조!$E$2:$E$15=D418),참조!$C$2:$C$15,"")</f>
        <v/>
      </c>
    </row>
    <row r="419" hidden="1" s="27">
      <c r="A419" s="47" t="inlineStr">
        <is>
          <t>LG헬로모바일</t>
        </is>
      </c>
      <c r="B419" s="47" t="inlineStr">
        <is>
          <t>쿠폰팩 유심 11GB</t>
        </is>
      </c>
      <c r="C419" s="47" t="inlineStr">
        <is>
          <t>무제한</t>
        </is>
      </c>
      <c r="D419" s="47" t="inlineStr">
        <is>
          <t>무제한</t>
        </is>
      </c>
      <c r="E419" s="47" t="inlineStr">
        <is>
          <t>월 11GB + 매일 2GB + 3Mbps</t>
        </is>
      </c>
      <c r="F419" s="47" t="inlineStr">
        <is>
          <t>LG U+</t>
        </is>
      </c>
      <c r="G419" s="47" t="inlineStr">
        <is>
          <t>LTE</t>
        </is>
      </c>
      <c r="H419" s="48" t="n">
        <v>35730</v>
      </c>
      <c r="I419" s="48" t="n"/>
      <c r="J419" s="48" t="n"/>
      <c r="K419" s="47">
        <f t="array" ref="K419">_xlfn.XLOOKUP(1,(참조!$B$2:$B$15=E419)*(참조!$D$2:$D$15=C419)*(참조!$E$2:$E$15=D419),참조!$C$2:$C$15,"")</f>
        <v/>
      </c>
    </row>
    <row r="420" hidden="1" s="27">
      <c r="A420" s="47" t="inlineStr">
        <is>
          <t>티플러스</t>
        </is>
      </c>
      <c r="B420" s="47" t="inlineStr">
        <is>
          <t>5G 티플 150GB+</t>
        </is>
      </c>
      <c r="C420" s="47" t="inlineStr">
        <is>
          <t>무제한</t>
        </is>
      </c>
      <c r="D420" s="47" t="inlineStr">
        <is>
          <t>무제한</t>
        </is>
      </c>
      <c r="E420" s="47" t="inlineStr">
        <is>
          <t>월 150GB + 5Mbps</t>
        </is>
      </c>
      <c r="F420" s="47" t="inlineStr">
        <is>
          <t>LG U+</t>
        </is>
      </c>
      <c r="G420" s="47" t="inlineStr">
        <is>
          <t>5G</t>
        </is>
      </c>
      <c r="H420" s="48" t="n">
        <v>9900</v>
      </c>
      <c r="I420" s="48" t="n">
        <v>7</v>
      </c>
      <c r="J420" s="48" t="n">
        <v>57200</v>
      </c>
      <c r="K420" s="47">
        <f t="array" ref="K420">_xlfn.XLOOKUP(1,(참조!$B$2:$B$15=E420)*(참조!$D$2:$D$15=C420)*(참조!$E$2:$E$15=D420),참조!$C$2:$C$15,"")</f>
        <v/>
      </c>
    </row>
    <row r="421" hidden="1" s="27">
      <c r="A421" s="47" t="inlineStr">
        <is>
          <t>더원모바일</t>
        </is>
      </c>
      <c r="B421" s="47" t="inlineStr">
        <is>
          <t>TOP 10GB 기본 (네이버페이)</t>
        </is>
      </c>
      <c r="C421" s="47" t="inlineStr">
        <is>
          <t>무제한</t>
        </is>
      </c>
      <c r="D421" s="47" t="inlineStr">
        <is>
          <t>무제한</t>
        </is>
      </c>
      <c r="E421" s="47" t="inlineStr">
        <is>
          <t>월 10GB + 1Mbps</t>
        </is>
      </c>
      <c r="F421" s="47" t="inlineStr">
        <is>
          <t>KT</t>
        </is>
      </c>
      <c r="G421" s="47" t="inlineStr">
        <is>
          <t>LTE</t>
        </is>
      </c>
      <c r="H421" s="48" t="n">
        <v>9900</v>
      </c>
      <c r="I421" s="48" t="n">
        <v>12</v>
      </c>
      <c r="J421" s="48" t="n">
        <v>28600</v>
      </c>
      <c r="K421" s="47">
        <f t="array" ref="K421">_xlfn.XLOOKUP(1,(참조!$B$2:$B$15=E421)*(참조!$D$2:$D$15=C421)*(참조!$E$2:$E$15=D421),참조!$C$2:$C$15,"")</f>
        <v/>
      </c>
    </row>
    <row r="422" hidden="1" s="27">
      <c r="A422" s="47" t="inlineStr">
        <is>
          <t>더원모바일</t>
        </is>
      </c>
      <c r="B422" s="47" t="inlineStr">
        <is>
          <t>TOP 100GB 기본 (다이소)</t>
        </is>
      </c>
      <c r="C422" s="47" t="inlineStr">
        <is>
          <t>무제한</t>
        </is>
      </c>
      <c r="D422" s="47" t="inlineStr">
        <is>
          <t>무제한</t>
        </is>
      </c>
      <c r="E422" s="47" t="inlineStr">
        <is>
          <t>월 100GB + 5Mbps</t>
        </is>
      </c>
      <c r="F422" s="47" t="inlineStr">
        <is>
          <t>KT</t>
        </is>
      </c>
      <c r="G422" s="47" t="inlineStr">
        <is>
          <t>LTE</t>
        </is>
      </c>
      <c r="H422" s="48" t="n">
        <v>15070</v>
      </c>
      <c r="I422" s="48" t="n">
        <v>7</v>
      </c>
      <c r="J422" s="48" t="n">
        <v>46200</v>
      </c>
      <c r="K422" s="47">
        <f t="array" ref="K422">_xlfn.XLOOKUP(1,(참조!$B$2:$B$15=E422)*(참조!$D$2:$D$15=C422)*(참조!$E$2:$E$15=D422),참조!$C$2:$C$15,"")</f>
        <v/>
      </c>
    </row>
    <row r="423" hidden="1" s="27">
      <c r="A423" s="47" t="inlineStr">
        <is>
          <t>더원모바일</t>
        </is>
      </c>
      <c r="B423" s="47" t="inlineStr">
        <is>
          <t>TOP 15GB 300분 (올리브영)</t>
        </is>
      </c>
      <c r="C423" s="47" t="inlineStr">
        <is>
          <t>300분</t>
        </is>
      </c>
      <c r="D423" s="47" t="inlineStr">
        <is>
          <t>300건</t>
        </is>
      </c>
      <c r="E423" s="47" t="inlineStr">
        <is>
          <t>월 15GB + 3Mbps</t>
        </is>
      </c>
      <c r="F423" s="47" t="inlineStr">
        <is>
          <t>KT</t>
        </is>
      </c>
      <c r="G423" s="47" t="inlineStr">
        <is>
          <t>LTE</t>
        </is>
      </c>
      <c r="H423" s="48" t="n">
        <v>8250</v>
      </c>
      <c r="I423" s="48" t="n">
        <v>7</v>
      </c>
      <c r="J423" s="48" t="n">
        <v>38500</v>
      </c>
      <c r="K423" s="47">
        <f t="array" ref="K423">_xlfn.XLOOKUP(1,(참조!$B$2:$B$15=E423)*(참조!$D$2:$D$15=C423)*(참조!$E$2:$E$15=D423),참조!$C$2:$C$15,"")</f>
        <v/>
      </c>
    </row>
    <row r="424" hidden="1" s="27">
      <c r="A424" s="47" t="inlineStr">
        <is>
          <t>더원모바일</t>
        </is>
      </c>
      <c r="B424" s="47" t="inlineStr">
        <is>
          <t>TOP 15GB 100분 (다이소)</t>
        </is>
      </c>
      <c r="C424" s="47" t="inlineStr">
        <is>
          <t>100분</t>
        </is>
      </c>
      <c r="D424" s="47" t="inlineStr">
        <is>
          <t>100건</t>
        </is>
      </c>
      <c r="E424" s="47" t="inlineStr">
        <is>
          <t>월 15GB + 3Mbps</t>
        </is>
      </c>
      <c r="F424" s="47" t="inlineStr">
        <is>
          <t>KT</t>
        </is>
      </c>
      <c r="G424" s="47" t="inlineStr">
        <is>
          <t>LTE</t>
        </is>
      </c>
      <c r="H424" s="48" t="n">
        <v>7700</v>
      </c>
      <c r="I424" s="48" t="n">
        <v>7</v>
      </c>
      <c r="J424" s="48" t="n">
        <v>35200</v>
      </c>
      <c r="K424" s="47">
        <f t="array" ref="K424">_xlfn.XLOOKUP(1,(참조!$B$2:$B$15=E424)*(참조!$D$2:$D$15=C424)*(참조!$E$2:$E$15=D424),참조!$C$2:$C$15,"")</f>
        <v/>
      </c>
    </row>
    <row r="425" hidden="1" s="27">
      <c r="A425" s="47" t="inlineStr">
        <is>
          <t>시월모바일</t>
        </is>
      </c>
      <c r="B425" s="47" t="inlineStr">
        <is>
          <t>두해 통화기본100GB+</t>
        </is>
      </c>
      <c r="C425" s="47" t="inlineStr">
        <is>
          <t>무제한</t>
        </is>
      </c>
      <c r="D425" s="47" t="inlineStr">
        <is>
          <t>무제한</t>
        </is>
      </c>
      <c r="E425" s="47" t="inlineStr">
        <is>
          <t>월 100GB + 5Mbps</t>
        </is>
      </c>
      <c r="F425" s="47" t="inlineStr">
        <is>
          <t>LG U+</t>
        </is>
      </c>
      <c r="G425" s="47" t="inlineStr">
        <is>
          <t>LTE</t>
        </is>
      </c>
      <c r="H425" s="48" t="n">
        <v>29090</v>
      </c>
      <c r="I425" s="48" t="n">
        <v>24</v>
      </c>
      <c r="J425" s="48" t="n">
        <v>47350</v>
      </c>
      <c r="K425" s="47">
        <f t="array" ref="K425">_xlfn.XLOOKUP(1,(참조!$B$2:$B$15=E425)*(참조!$D$2:$D$15=C425)*(참조!$E$2:$E$15=D425),참조!$C$2:$C$15,"")</f>
        <v/>
      </c>
    </row>
    <row r="426" hidden="1" s="27">
      <c r="A426" s="47" t="inlineStr">
        <is>
          <t>더원모바일</t>
        </is>
      </c>
      <c r="B426" s="47" t="inlineStr">
        <is>
          <t>TOP 7GB 기본 (올리브영)</t>
        </is>
      </c>
      <c r="C426" s="47" t="inlineStr">
        <is>
          <t>무제한</t>
        </is>
      </c>
      <c r="D426" s="47" t="inlineStr">
        <is>
          <t>무제한</t>
        </is>
      </c>
      <c r="E426" s="47" t="inlineStr">
        <is>
          <t>월 7GB + 1Mbps</t>
        </is>
      </c>
      <c r="F426" s="47" t="inlineStr">
        <is>
          <t>KT</t>
        </is>
      </c>
      <c r="G426" s="47" t="inlineStr">
        <is>
          <t>LTE</t>
        </is>
      </c>
      <c r="H426" s="48" t="n">
        <v>8910</v>
      </c>
      <c r="I426" s="48" t="n">
        <v>12</v>
      </c>
      <c r="J426" s="48" t="n">
        <v>26400</v>
      </c>
      <c r="K426" s="47">
        <f t="array" ref="K426">_xlfn.XLOOKUP(1,(참조!$B$2:$B$15=E426)*(참조!$D$2:$D$15=C426)*(참조!$E$2:$E$15=D426),참조!$C$2:$C$15,"")</f>
        <v/>
      </c>
    </row>
    <row r="427" hidden="1" s="27">
      <c r="A427" s="47" t="inlineStr">
        <is>
          <t>스마텔</t>
        </is>
      </c>
      <c r="B427" s="47" t="inlineStr">
        <is>
          <t>스마일플러스 (200분+5GB)</t>
        </is>
      </c>
      <c r="C427" s="47" t="inlineStr">
        <is>
          <t>200분</t>
        </is>
      </c>
      <c r="D427" s="47" t="inlineStr">
        <is>
          <t>100건</t>
        </is>
      </c>
      <c r="E427" s="47" t="inlineStr">
        <is>
          <t>월 5GB</t>
        </is>
      </c>
      <c r="F427" s="47" t="inlineStr">
        <is>
          <t>SKT</t>
        </is>
      </c>
      <c r="G427" s="47" t="inlineStr">
        <is>
          <t>LTE</t>
        </is>
      </c>
      <c r="H427" s="48" t="n">
        <v>990</v>
      </c>
      <c r="I427" s="48" t="n">
        <v>12</v>
      </c>
      <c r="J427" s="48" t="n">
        <v>9900</v>
      </c>
      <c r="K427" s="47">
        <f t="array" ref="K427">_xlfn.XLOOKUP(1,(참조!$B$2:$B$15=E427)*(참조!$D$2:$D$15=C427)*(참조!$E$2:$E$15=D427),참조!$C$2:$C$15,"")</f>
        <v/>
      </c>
    </row>
    <row r="428" hidden="1" s="27">
      <c r="A428" s="47" t="inlineStr">
        <is>
          <t>더원모바일</t>
        </is>
      </c>
      <c r="B428" s="47" t="inlineStr">
        <is>
          <t>ONE 5G 15GB 300분</t>
        </is>
      </c>
      <c r="C428" s="47" t="inlineStr">
        <is>
          <t>300분</t>
        </is>
      </c>
      <c r="D428" s="47" t="inlineStr">
        <is>
          <t>200건</t>
        </is>
      </c>
      <c r="E428" s="47" t="inlineStr">
        <is>
          <t>월 15GB</t>
        </is>
      </c>
      <c r="F428" s="47" t="inlineStr">
        <is>
          <t>KT</t>
        </is>
      </c>
      <c r="G428" s="47" t="inlineStr">
        <is>
          <t>5G</t>
        </is>
      </c>
      <c r="H428" s="48" t="n">
        <v>2750</v>
      </c>
      <c r="I428" s="48" t="n">
        <v>6</v>
      </c>
      <c r="J428" s="48" t="n">
        <v>22000</v>
      </c>
      <c r="K428" s="47">
        <f t="array" ref="K428">_xlfn.XLOOKUP(1,(참조!$B$2:$B$15=E428)*(참조!$D$2:$D$15=C428)*(참조!$E$2:$E$15=D428),참조!$C$2:$C$15,"")</f>
        <v/>
      </c>
    </row>
    <row r="429" hidden="1" s="27">
      <c r="A429" s="47" t="inlineStr">
        <is>
          <t>모나</t>
        </is>
      </c>
      <c r="B429" s="47" t="inlineStr">
        <is>
          <t>5G_모나기본95G안심3</t>
        </is>
      </c>
      <c r="C429" s="47" t="inlineStr">
        <is>
          <t>무제한</t>
        </is>
      </c>
      <c r="D429" s="47" t="inlineStr">
        <is>
          <t>무제한</t>
        </is>
      </c>
      <c r="E429" s="47" t="inlineStr">
        <is>
          <t>월 95GB + 3Mbps</t>
        </is>
      </c>
      <c r="F429" s="47" t="inlineStr">
        <is>
          <t>LG U+</t>
        </is>
      </c>
      <c r="G429" s="47" t="inlineStr">
        <is>
          <t>5G</t>
        </is>
      </c>
      <c r="H429" s="48" t="n">
        <v>28400</v>
      </c>
      <c r="I429" s="48" t="n">
        <v>24</v>
      </c>
      <c r="J429" s="48" t="n">
        <v>55000</v>
      </c>
      <c r="K429" s="47">
        <f t="array" ref="K429">_xlfn.XLOOKUP(1,(참조!$B$2:$B$15=E429)*(참조!$D$2:$D$15=C429)*(참조!$E$2:$E$15=D429),참조!$C$2:$C$15,"")</f>
        <v/>
      </c>
    </row>
    <row r="430" hidden="1" s="27">
      <c r="A430" s="47" t="inlineStr">
        <is>
          <t>이야기모바일</t>
        </is>
      </c>
      <c r="B430" s="47" t="inlineStr">
        <is>
          <t>이야기 스탠다드 11GB+(24개월)</t>
        </is>
      </c>
      <c r="C430" s="47" t="inlineStr">
        <is>
          <t>무제한</t>
        </is>
      </c>
      <c r="D430" s="47" t="inlineStr">
        <is>
          <t>무제한</t>
        </is>
      </c>
      <c r="E430" s="47" t="inlineStr">
        <is>
          <t>월 11GB + 매일 2GB + 3Mbps</t>
        </is>
      </c>
      <c r="F430" s="47" t="inlineStr">
        <is>
          <t>LG U+</t>
        </is>
      </c>
      <c r="G430" s="47" t="inlineStr">
        <is>
          <t>LTE</t>
        </is>
      </c>
      <c r="H430" s="48" t="n">
        <v>26950</v>
      </c>
      <c r="I430" s="48" t="n">
        <v>24</v>
      </c>
      <c r="J430" s="48" t="n">
        <v>39600</v>
      </c>
      <c r="K430" s="47">
        <f t="array" ref="K430">_xlfn.XLOOKUP(1,(참조!$B$2:$B$15=E430)*(참조!$D$2:$D$15=C430)*(참조!$E$2:$E$15=D430),참조!$C$2:$C$15,"")</f>
        <v/>
      </c>
    </row>
    <row r="431" hidden="1" s="27">
      <c r="A431" s="47" t="inlineStr">
        <is>
          <t>티플러스</t>
        </is>
      </c>
      <c r="B431" s="47" t="inlineStr">
        <is>
          <t>티플 10GB(10GB/200분)</t>
        </is>
      </c>
      <c r="C431" s="47" t="inlineStr">
        <is>
          <t>200분</t>
        </is>
      </c>
      <c r="D431" s="47" t="inlineStr">
        <is>
          <t>100건</t>
        </is>
      </c>
      <c r="E431" s="47" t="inlineStr">
        <is>
          <t>월 10GB</t>
        </is>
      </c>
      <c r="F431" s="47" t="inlineStr">
        <is>
          <t>SKT</t>
        </is>
      </c>
      <c r="G431" s="47" t="inlineStr">
        <is>
          <t>LTE</t>
        </is>
      </c>
      <c r="H431" s="48" t="n">
        <v>8500</v>
      </c>
      <c r="I431" s="48" t="n"/>
      <c r="J431" s="48" t="n"/>
      <c r="K431" s="47">
        <f t="array" ref="K431">_xlfn.XLOOKUP(1,(참조!$B$2:$B$15=E431)*(참조!$D$2:$D$15=C431)*(참조!$E$2:$E$15=D431),참조!$C$2:$C$15,"")</f>
        <v/>
      </c>
    </row>
    <row r="432" hidden="1" s="27">
      <c r="A432" s="47" t="inlineStr">
        <is>
          <t>티플러스</t>
        </is>
      </c>
      <c r="B432" s="47" t="inlineStr">
        <is>
          <t>5G 티플 125GB+_24개월프로모션</t>
        </is>
      </c>
      <c r="C432" s="47" t="inlineStr">
        <is>
          <t>무제한</t>
        </is>
      </c>
      <c r="D432" s="47" t="inlineStr">
        <is>
          <t>무제한</t>
        </is>
      </c>
      <c r="E432" s="47" t="inlineStr">
        <is>
          <t>월 125GB + 5Mbps</t>
        </is>
      </c>
      <c r="F432" s="47" t="inlineStr">
        <is>
          <t>LG U+</t>
        </is>
      </c>
      <c r="G432" s="47" t="inlineStr">
        <is>
          <t>5G</t>
        </is>
      </c>
      <c r="H432" s="48" t="n">
        <v>27900</v>
      </c>
      <c r="I432" s="48" t="n">
        <v>24</v>
      </c>
      <c r="J432" s="48" t="n">
        <v>52800</v>
      </c>
      <c r="K432" s="47">
        <f t="array" ref="K432">_xlfn.XLOOKUP(1,(참조!$B$2:$B$15=E432)*(참조!$D$2:$D$15=C432)*(참조!$E$2:$E$15=D432),참조!$C$2:$C$15,"")</f>
        <v/>
      </c>
    </row>
    <row r="433" hidden="1" s="27">
      <c r="A433" s="47" t="inlineStr">
        <is>
          <t>더원모바일</t>
        </is>
      </c>
      <c r="B433" s="47" t="inlineStr">
        <is>
          <t>TOP 7GB 기본 (쿠팡캐시)</t>
        </is>
      </c>
      <c r="C433" s="47" t="inlineStr">
        <is>
          <t>무제한</t>
        </is>
      </c>
      <c r="D433" s="47" t="inlineStr">
        <is>
          <t>무제한</t>
        </is>
      </c>
      <c r="E433" s="47" t="inlineStr">
        <is>
          <t>월 7GB + 1Mbps</t>
        </is>
      </c>
      <c r="F433" s="47" t="inlineStr">
        <is>
          <t>KT</t>
        </is>
      </c>
      <c r="G433" s="47" t="inlineStr">
        <is>
          <t>LTE</t>
        </is>
      </c>
      <c r="H433" s="48" t="n">
        <v>8910</v>
      </c>
      <c r="I433" s="48" t="n">
        <v>12</v>
      </c>
      <c r="J433" s="48" t="n">
        <v>26400</v>
      </c>
      <c r="K433" s="47">
        <f t="array" ref="K433">_xlfn.XLOOKUP(1,(참조!$B$2:$B$15=E433)*(참조!$D$2:$D$15=C433)*(참조!$E$2:$E$15=D433),참조!$C$2:$C$15,"")</f>
        <v/>
      </c>
    </row>
    <row r="434" hidden="1" s="27">
      <c r="A434" s="47" t="inlineStr">
        <is>
          <t>티플러스</t>
        </is>
      </c>
      <c r="B434" s="47" t="inlineStr">
        <is>
          <t>티플 7G+_24개월할인</t>
        </is>
      </c>
      <c r="C434" s="47" t="inlineStr">
        <is>
          <t>무제한</t>
        </is>
      </c>
      <c r="D434" s="47" t="inlineStr">
        <is>
          <t>무제한</t>
        </is>
      </c>
      <c r="E434" s="47" t="inlineStr">
        <is>
          <t>월 7GB + 1Mbps</t>
        </is>
      </c>
      <c r="F434" s="47" t="inlineStr">
        <is>
          <t>LG U+</t>
        </is>
      </c>
      <c r="G434" s="47" t="inlineStr">
        <is>
          <t>LTE</t>
        </is>
      </c>
      <c r="H434" s="48" t="n">
        <v>11900</v>
      </c>
      <c r="I434" s="48" t="n">
        <v>24</v>
      </c>
      <c r="J434" s="48" t="n">
        <v>22000</v>
      </c>
      <c r="K434" s="47">
        <f t="array" ref="K434">_xlfn.XLOOKUP(1,(참조!$B$2:$B$15=E434)*(참조!$D$2:$D$15=C434)*(참조!$E$2:$E$15=D434),참조!$C$2:$C$15,"")</f>
        <v/>
      </c>
    </row>
    <row r="435" hidden="1" s="27">
      <c r="A435" s="47" t="inlineStr">
        <is>
          <t>더원모바일</t>
        </is>
      </c>
      <c r="B435" s="47" t="inlineStr">
        <is>
          <t>TOP 7GB 기본 (다이소)</t>
        </is>
      </c>
      <c r="C435" s="47" t="inlineStr">
        <is>
          <t>무제한</t>
        </is>
      </c>
      <c r="D435" s="47" t="inlineStr">
        <is>
          <t>무제한</t>
        </is>
      </c>
      <c r="E435" s="47" t="inlineStr">
        <is>
          <t>월 7GB + 1Mbps</t>
        </is>
      </c>
      <c r="F435" s="47" t="inlineStr">
        <is>
          <t>KT</t>
        </is>
      </c>
      <c r="G435" s="47" t="inlineStr">
        <is>
          <t>LTE</t>
        </is>
      </c>
      <c r="H435" s="48" t="n">
        <v>8910</v>
      </c>
      <c r="I435" s="48" t="n">
        <v>12</v>
      </c>
      <c r="J435" s="48" t="n">
        <v>26400</v>
      </c>
      <c r="K435" s="47">
        <f t="array" ref="K435">_xlfn.XLOOKUP(1,(참조!$B$2:$B$15=E435)*(참조!$D$2:$D$15=C435)*(참조!$E$2:$E$15=D435),참조!$C$2:$C$15,"")</f>
        <v/>
      </c>
    </row>
    <row r="436" hidden="1" s="27">
      <c r="A436" s="47" t="inlineStr">
        <is>
          <t>고고모바일</t>
        </is>
      </c>
      <c r="B436" s="47" t="inlineStr">
        <is>
          <t>[모요only] LTE 무제한 100GB+5M(CU20%할인)</t>
        </is>
      </c>
      <c r="C436" s="47" t="inlineStr">
        <is>
          <t>무제한</t>
        </is>
      </c>
      <c r="D436" s="47" t="inlineStr">
        <is>
          <t>무제한</t>
        </is>
      </c>
      <c r="E436" s="47" t="inlineStr">
        <is>
          <t>월 100GB + 5Mbps</t>
        </is>
      </c>
      <c r="F436" s="47" t="inlineStr">
        <is>
          <t>KT</t>
        </is>
      </c>
      <c r="G436" s="47" t="inlineStr">
        <is>
          <t>LTE</t>
        </is>
      </c>
      <c r="H436" s="48" t="n">
        <v>15000</v>
      </c>
      <c r="I436" s="48" t="n">
        <v>7</v>
      </c>
      <c r="J436" s="48" t="n">
        <v>44000</v>
      </c>
      <c r="K436" s="47">
        <f t="array" ref="K436">_xlfn.XLOOKUP(1,(참조!$B$2:$B$15=E436)*(참조!$D$2:$D$15=C436)*(참조!$E$2:$E$15=D436),참조!$C$2:$C$15,"")</f>
        <v/>
      </c>
    </row>
    <row r="437" hidden="1" s="27">
      <c r="A437" s="47" t="inlineStr">
        <is>
          <t>KT스카이라이프</t>
        </is>
      </c>
      <c r="B437" s="47" t="inlineStr">
        <is>
          <t>모두 충분 15GB+(후후안심)</t>
        </is>
      </c>
      <c r="C437" s="47" t="inlineStr">
        <is>
          <t>무제한</t>
        </is>
      </c>
      <c r="D437" s="47" t="inlineStr">
        <is>
          <t>무제한</t>
        </is>
      </c>
      <c r="E437" s="47" t="inlineStr">
        <is>
          <t>월 15GB + 1Mbps</t>
        </is>
      </c>
      <c r="F437" s="47" t="inlineStr">
        <is>
          <t>KT</t>
        </is>
      </c>
      <c r="G437" s="47" t="inlineStr">
        <is>
          <t>LTE</t>
        </is>
      </c>
      <c r="H437" s="48" t="n">
        <v>21200</v>
      </c>
      <c r="I437" s="48" t="n"/>
      <c r="J437" s="48" t="n"/>
      <c r="K437" s="47">
        <f t="array" ref="K437">_xlfn.XLOOKUP(1,(참조!$B$2:$B$15=E437)*(참조!$D$2:$D$15=C437)*(참조!$E$2:$E$15=D437),참조!$C$2:$C$15,"")</f>
        <v/>
      </c>
    </row>
    <row r="438" hidden="1" s="27">
      <c r="A438" s="47" t="inlineStr">
        <is>
          <t>이야기모바일</t>
        </is>
      </c>
      <c r="B438" s="47" t="inlineStr">
        <is>
          <t>5G 함께이야기해S (200분+15GB)</t>
        </is>
      </c>
      <c r="C438" s="47" t="inlineStr">
        <is>
          <t>200분</t>
        </is>
      </c>
      <c r="D438" s="47" t="inlineStr">
        <is>
          <t>100건</t>
        </is>
      </c>
      <c r="E438" s="47" t="inlineStr">
        <is>
          <t>월 15GB</t>
        </is>
      </c>
      <c r="F438" s="47" t="inlineStr">
        <is>
          <t>SKT</t>
        </is>
      </c>
      <c r="G438" s="47" t="inlineStr">
        <is>
          <t>5G</t>
        </is>
      </c>
      <c r="H438" s="48" t="n">
        <v>14900</v>
      </c>
      <c r="I438" s="48" t="n"/>
      <c r="J438" s="48" t="n"/>
      <c r="K438" s="47">
        <f t="array" ref="K438">_xlfn.XLOOKUP(1,(참조!$B$2:$B$15=E438)*(참조!$D$2:$D$15=C438)*(참조!$E$2:$E$15=D438),참조!$C$2:$C$15,"")</f>
        <v/>
      </c>
    </row>
    <row r="439" hidden="1" s="27">
      <c r="A439" s="47" t="inlineStr">
        <is>
          <t>이야기모바일</t>
        </is>
      </c>
      <c r="B439" s="47" t="inlineStr">
        <is>
          <t>내맘대로 차단형 (50분+0MB)</t>
        </is>
      </c>
      <c r="C439" s="47" t="inlineStr">
        <is>
          <t>50분</t>
        </is>
      </c>
      <c r="D439" s="47" t="inlineStr">
        <is>
          <t>50건</t>
        </is>
      </c>
      <c r="E439" s="47" t="inlineStr">
        <is>
          <t>데이터 제공안함</t>
        </is>
      </c>
      <c r="F439" s="47" t="inlineStr">
        <is>
          <t>LG U+</t>
        </is>
      </c>
      <c r="G439" s="47" t="inlineStr">
        <is>
          <t>LTE</t>
        </is>
      </c>
      <c r="H439" s="48" t="n">
        <v>3300</v>
      </c>
      <c r="I439" s="48" t="n"/>
      <c r="J439" s="48" t="n"/>
      <c r="K439" s="47">
        <f t="array" ref="K439">_xlfn.XLOOKUP(1,(참조!$B$2:$B$15=E439)*(참조!$D$2:$D$15=C439)*(참조!$E$2:$E$15=D439),참조!$C$2:$C$15,"")</f>
        <v/>
      </c>
    </row>
    <row r="440" hidden="1" s="27">
      <c r="A440" s="47" t="inlineStr">
        <is>
          <t>이지모바일</t>
        </is>
      </c>
      <c r="B440" s="47" t="inlineStr">
        <is>
          <t>EG 10무제한 100G+5(CU할인)</t>
        </is>
      </c>
      <c r="C440" s="47" t="inlineStr">
        <is>
          <t>무제한</t>
        </is>
      </c>
      <c r="D440" s="47" t="inlineStr">
        <is>
          <t>무제한</t>
        </is>
      </c>
      <c r="E440" s="47" t="inlineStr">
        <is>
          <t>월 100GB + 5Mbps</t>
        </is>
      </c>
      <c r="F440" s="47" t="inlineStr">
        <is>
          <t>KT</t>
        </is>
      </c>
      <c r="G440" s="47" t="inlineStr">
        <is>
          <t>LTE</t>
        </is>
      </c>
      <c r="H440" s="48" t="n">
        <v>23000</v>
      </c>
      <c r="I440" s="48" t="n">
        <v>10</v>
      </c>
      <c r="J440" s="48" t="n">
        <v>44550</v>
      </c>
      <c r="K440" s="47">
        <f t="array" ref="K440">_xlfn.XLOOKUP(1,(참조!$B$2:$B$15=E440)*(참조!$D$2:$D$15=C440)*(참조!$E$2:$E$15=D440),참조!$C$2:$C$15,"")</f>
        <v/>
      </c>
    </row>
    <row r="441" hidden="1" s="27">
      <c r="A441" s="47" t="inlineStr">
        <is>
          <t>인스모바일</t>
        </is>
      </c>
      <c r="B441" s="47" t="inlineStr">
        <is>
          <t>[12개월]인스 유심 스트롱 15GB+</t>
        </is>
      </c>
      <c r="C441" s="47" t="inlineStr">
        <is>
          <t>100분</t>
        </is>
      </c>
      <c r="D441" s="47" t="inlineStr">
        <is>
          <t>100건</t>
        </is>
      </c>
      <c r="E441" s="47" t="inlineStr">
        <is>
          <t>월 15GB + 3Mbps</t>
        </is>
      </c>
      <c r="F441" s="47" t="inlineStr">
        <is>
          <t>LG U+</t>
        </is>
      </c>
      <c r="G441" s="47" t="inlineStr">
        <is>
          <t>LTE</t>
        </is>
      </c>
      <c r="H441" s="48" t="n">
        <v>18600</v>
      </c>
      <c r="I441" s="48" t="n">
        <v>12</v>
      </c>
      <c r="J441" s="48" t="n">
        <v>29050</v>
      </c>
      <c r="K441" s="47">
        <f t="array" ref="K441">_xlfn.XLOOKUP(1,(참조!$B$2:$B$15=E441)*(참조!$D$2:$D$15=C441)*(참조!$E$2:$E$15=D441),참조!$C$2:$C$15,"")</f>
        <v/>
      </c>
    </row>
    <row r="442" hidden="1" s="27">
      <c r="A442" s="47" t="inlineStr">
        <is>
          <t>티플러스</t>
        </is>
      </c>
      <c r="B442" s="47" t="inlineStr">
        <is>
          <t>티플 위드유 15GB＋(100분)(G car)</t>
        </is>
      </c>
      <c r="C442" s="47" t="inlineStr">
        <is>
          <t>100분</t>
        </is>
      </c>
      <c r="D442" s="47" t="inlineStr">
        <is>
          <t>100건</t>
        </is>
      </c>
      <c r="E442" s="47" t="inlineStr">
        <is>
          <t>월 15GB + 3Mbps</t>
        </is>
      </c>
      <c r="F442" s="47" t="inlineStr">
        <is>
          <t>SKT</t>
        </is>
      </c>
      <c r="G442" s="47" t="inlineStr">
        <is>
          <t>LTE</t>
        </is>
      </c>
      <c r="H442" s="48" t="n">
        <v>6000</v>
      </c>
      <c r="I442" s="48" t="n">
        <v>7</v>
      </c>
      <c r="J442" s="48" t="n">
        <v>31900</v>
      </c>
      <c r="K442" s="47">
        <f t="array" ref="K442">_xlfn.XLOOKUP(1,(참조!$B$2:$B$15=E442)*(참조!$D$2:$D$15=C442)*(참조!$E$2:$E$15=D442),참조!$C$2:$C$15,"")</f>
        <v/>
      </c>
    </row>
    <row r="443" hidden="1" s="27">
      <c r="A443" s="47" t="inlineStr">
        <is>
          <t>이야기모바일</t>
        </is>
      </c>
      <c r="B443" s="47" t="inlineStr">
        <is>
          <t>이야기K 데이터 11GB+(후후안심)</t>
        </is>
      </c>
      <c r="C443" s="47" t="inlineStr">
        <is>
          <t>무제한</t>
        </is>
      </c>
      <c r="D443" s="47" t="inlineStr">
        <is>
          <t>무제한</t>
        </is>
      </c>
      <c r="E443" s="47" t="inlineStr">
        <is>
          <t>월 11GB + 매일 2GB + 3Mbps</t>
        </is>
      </c>
      <c r="F443" s="47" t="inlineStr">
        <is>
          <t>KT</t>
        </is>
      </c>
      <c r="G443" s="47" t="inlineStr">
        <is>
          <t>LTE</t>
        </is>
      </c>
      <c r="H443" s="48" t="n">
        <v>25900</v>
      </c>
      <c r="I443" s="48" t="n">
        <v>24</v>
      </c>
      <c r="J443" s="48" t="n">
        <v>40590</v>
      </c>
      <c r="K443" s="47">
        <f t="array" ref="K443">_xlfn.XLOOKUP(1,(참조!$B$2:$B$15=E443)*(참조!$D$2:$D$15=C443)*(참조!$E$2:$E$15=D443),참조!$C$2:$C$15,"")</f>
        <v/>
      </c>
    </row>
    <row r="444" hidden="1" s="27">
      <c r="A444" s="47" t="inlineStr">
        <is>
          <t>인스모바일</t>
        </is>
      </c>
      <c r="B444" s="47" t="inlineStr">
        <is>
          <t>실속 200분+3GB(USIM)</t>
        </is>
      </c>
      <c r="C444" s="47" t="inlineStr">
        <is>
          <t>200분</t>
        </is>
      </c>
      <c r="D444" s="47" t="inlineStr">
        <is>
          <t>50건</t>
        </is>
      </c>
      <c r="E444" s="47" t="inlineStr">
        <is>
          <t>월 3GB</t>
        </is>
      </c>
      <c r="F444" s="47" t="inlineStr">
        <is>
          <t>LG U+</t>
        </is>
      </c>
      <c r="G444" s="47" t="inlineStr">
        <is>
          <t>LTE</t>
        </is>
      </c>
      <c r="H444" s="48" t="n">
        <v>10</v>
      </c>
      <c r="I444" s="48" t="n">
        <v>6</v>
      </c>
      <c r="J444" s="48" t="n">
        <v>16500</v>
      </c>
      <c r="K444" s="47">
        <f t="array" ref="K444">_xlfn.XLOOKUP(1,(참조!$B$2:$B$15=E444)*(참조!$D$2:$D$15=C444)*(참조!$E$2:$E$15=D444),참조!$C$2:$C$15,"")</f>
        <v/>
      </c>
    </row>
    <row r="445" hidden="1" s="27">
      <c r="A445" s="47" t="inlineStr">
        <is>
          <t>티플러스</t>
        </is>
      </c>
      <c r="B445" s="47" t="inlineStr">
        <is>
          <t>티플 마음껏 매일5G＋_24개월요금</t>
        </is>
      </c>
      <c r="C445" s="47" t="inlineStr">
        <is>
          <t>무제한</t>
        </is>
      </c>
      <c r="D445" s="47" t="inlineStr">
        <is>
          <t>무제한</t>
        </is>
      </c>
      <c r="E445" s="47" t="inlineStr">
        <is>
          <t>매일 5GB + 5Mbps</t>
        </is>
      </c>
      <c r="F445" s="47" t="inlineStr">
        <is>
          <t>LG U+</t>
        </is>
      </c>
      <c r="G445" s="47" t="inlineStr">
        <is>
          <t>LTE</t>
        </is>
      </c>
      <c r="H445" s="48" t="n">
        <v>28900</v>
      </c>
      <c r="I445" s="48" t="n">
        <v>24</v>
      </c>
      <c r="J445" s="48" t="n">
        <v>41800</v>
      </c>
      <c r="K445" s="47">
        <f t="array" ref="K445">_xlfn.XLOOKUP(1,(참조!$B$2:$B$15=E445)*(참조!$D$2:$D$15=C445)*(참조!$E$2:$E$15=D445),참조!$C$2:$C$15,"")</f>
        <v/>
      </c>
    </row>
    <row r="446" hidden="1" s="27">
      <c r="A446" s="47" t="inlineStr">
        <is>
          <t>더원모바일</t>
        </is>
      </c>
      <c r="B446" s="47" t="inlineStr">
        <is>
          <t>ONE 15GB 300분</t>
        </is>
      </c>
      <c r="C446" s="47" t="inlineStr">
        <is>
          <t>300분</t>
        </is>
      </c>
      <c r="D446" s="47" t="inlineStr">
        <is>
          <t>200건</t>
        </is>
      </c>
      <c r="E446" s="47" t="inlineStr">
        <is>
          <t>월 15GB</t>
        </is>
      </c>
      <c r="F446" s="47" t="inlineStr">
        <is>
          <t>KT</t>
        </is>
      </c>
      <c r="G446" s="47" t="inlineStr">
        <is>
          <t>LTE</t>
        </is>
      </c>
      <c r="H446" s="48" t="n">
        <v>2750</v>
      </c>
      <c r="I446" s="48" t="n">
        <v>6</v>
      </c>
      <c r="J446" s="48" t="n">
        <v>22000</v>
      </c>
      <c r="K446" s="47">
        <f t="array" ref="K446">_xlfn.XLOOKUP(1,(참조!$B$2:$B$15=E446)*(참조!$D$2:$D$15=C446)*(참조!$E$2:$E$15=D446),참조!$C$2:$C$15,"")</f>
        <v/>
      </c>
    </row>
    <row r="447" hidden="1" s="27">
      <c r="A447" s="47" t="inlineStr">
        <is>
          <t>티플러스</t>
        </is>
      </c>
      <c r="B447" s="47" t="inlineStr">
        <is>
          <t>티플 위드유 100GB＋(G car)</t>
        </is>
      </c>
      <c r="C447" s="47" t="inlineStr">
        <is>
          <t>무제한</t>
        </is>
      </c>
      <c r="D447" s="47" t="inlineStr">
        <is>
          <t>무제한</t>
        </is>
      </c>
      <c r="E447" s="47" t="inlineStr">
        <is>
          <t>월 100GB + 5Mbps</t>
        </is>
      </c>
      <c r="F447" s="47" t="inlineStr">
        <is>
          <t>SKT</t>
        </is>
      </c>
      <c r="G447" s="47" t="inlineStr">
        <is>
          <t>LTE</t>
        </is>
      </c>
      <c r="H447" s="48" t="n">
        <v>13900</v>
      </c>
      <c r="I447" s="48" t="n">
        <v>7</v>
      </c>
      <c r="J447" s="48" t="n">
        <v>48400</v>
      </c>
      <c r="K447" s="47">
        <f t="array" ref="K447">_xlfn.XLOOKUP(1,(참조!$B$2:$B$15=E447)*(참조!$D$2:$D$15=C447)*(참조!$E$2:$E$15=D447),참조!$C$2:$C$15,"")</f>
        <v/>
      </c>
    </row>
    <row r="448" hidden="1" s="27">
      <c r="A448" s="47" t="inlineStr">
        <is>
          <t>모나</t>
        </is>
      </c>
      <c r="B448" s="47" t="inlineStr">
        <is>
          <t>코나아이데이터300분15G+</t>
        </is>
      </c>
      <c r="C448" s="47" t="inlineStr">
        <is>
          <t>300분</t>
        </is>
      </c>
      <c r="D448" s="47" t="inlineStr">
        <is>
          <t>300건</t>
        </is>
      </c>
      <c r="E448" s="47" t="inlineStr">
        <is>
          <t>월 15GB + 3Mbps</t>
        </is>
      </c>
      <c r="F448" s="47" t="inlineStr">
        <is>
          <t>LG U+</t>
        </is>
      </c>
      <c r="G448" s="47" t="inlineStr">
        <is>
          <t>LTE</t>
        </is>
      </c>
      <c r="H448" s="48" t="n">
        <v>22990</v>
      </c>
      <c r="I448" s="48" t="n"/>
      <c r="J448" s="48" t="n"/>
      <c r="K448" s="47">
        <f t="array" ref="K448">_xlfn.XLOOKUP(1,(참조!$B$2:$B$15=E448)*(참조!$D$2:$D$15=C448)*(참조!$E$2:$E$15=D448),참조!$C$2:$C$15,"")</f>
        <v/>
      </c>
    </row>
    <row r="449" hidden="1" s="27">
      <c r="A449" s="47" t="inlineStr">
        <is>
          <t>티플러스</t>
        </is>
      </c>
      <c r="B449" s="47" t="inlineStr">
        <is>
          <t>The 완전마음껏11G＋(올리브영 매월 5000P)</t>
        </is>
      </c>
      <c r="C449" s="47" t="inlineStr">
        <is>
          <t>무제한</t>
        </is>
      </c>
      <c r="D449" s="47" t="inlineStr">
        <is>
          <t>무제한</t>
        </is>
      </c>
      <c r="E449" s="47" t="inlineStr">
        <is>
          <t>월 11GB + 매일 2GB + 3Mbps</t>
        </is>
      </c>
      <c r="F449" s="47" t="inlineStr">
        <is>
          <t>LG U+</t>
        </is>
      </c>
      <c r="G449" s="47" t="inlineStr">
        <is>
          <t>LTE</t>
        </is>
      </c>
      <c r="H449" s="48" t="n">
        <v>27900</v>
      </c>
      <c r="I449" s="48" t="n">
        <v>24</v>
      </c>
      <c r="J449" s="48" t="n">
        <v>39600</v>
      </c>
      <c r="K449" s="47">
        <f t="array" ref="K449">_xlfn.XLOOKUP(1,(참조!$B$2:$B$15=E449)*(참조!$D$2:$D$15=C449)*(참조!$E$2:$E$15=D449),참조!$C$2:$C$15,"")</f>
        <v/>
      </c>
    </row>
    <row r="450" hidden="1" s="27">
      <c r="A450" s="47" t="inlineStr">
        <is>
          <t>스마텔</t>
        </is>
      </c>
      <c r="B450" s="47" t="inlineStr">
        <is>
          <t>USIM 스위트 5G망(500분/10GB)</t>
        </is>
      </c>
      <c r="C450" s="47" t="inlineStr">
        <is>
          <t>500분</t>
        </is>
      </c>
      <c r="D450" s="47" t="inlineStr">
        <is>
          <t>100건</t>
        </is>
      </c>
      <c r="E450" s="47" t="inlineStr">
        <is>
          <t>월 10GB</t>
        </is>
      </c>
      <c r="F450" s="47" t="inlineStr">
        <is>
          <t>KT</t>
        </is>
      </c>
      <c r="G450" s="47" t="inlineStr">
        <is>
          <t>5G</t>
        </is>
      </c>
      <c r="H450" s="48" t="n">
        <v>900</v>
      </c>
      <c r="I450" s="48" t="n">
        <v>7</v>
      </c>
      <c r="J450" s="48" t="n">
        <v>20900</v>
      </c>
      <c r="K450" s="47">
        <f t="array" ref="K450">_xlfn.XLOOKUP(1,(참조!$B$2:$B$15=E450)*(참조!$D$2:$D$15=C450)*(참조!$E$2:$E$15=D450),참조!$C$2:$C$15,"")</f>
        <v/>
      </c>
    </row>
    <row r="451" hidden="1" s="27">
      <c r="A451" s="47" t="inlineStr">
        <is>
          <t>더원모바일</t>
        </is>
      </c>
      <c r="B451" s="47" t="inlineStr">
        <is>
          <t>TOP 15GB 기본 (후후)</t>
        </is>
      </c>
      <c r="C451" s="47" t="inlineStr">
        <is>
          <t>무제한</t>
        </is>
      </c>
      <c r="D451" s="47" t="inlineStr">
        <is>
          <t>무제한</t>
        </is>
      </c>
      <c r="E451" s="47" t="inlineStr">
        <is>
          <t>월 15GB + 1Mbps</t>
        </is>
      </c>
      <c r="F451" s="47" t="inlineStr">
        <is>
          <t>KT</t>
        </is>
      </c>
      <c r="G451" s="47" t="inlineStr">
        <is>
          <t>LTE</t>
        </is>
      </c>
      <c r="H451" s="48" t="n">
        <v>5500</v>
      </c>
      <c r="I451" s="48" t="n">
        <v>7</v>
      </c>
      <c r="J451" s="48" t="n">
        <v>29700</v>
      </c>
      <c r="K451" s="47">
        <f t="array" ref="K451">_xlfn.XLOOKUP(1,(참조!$B$2:$B$15=E451)*(참조!$D$2:$D$15=C451)*(참조!$E$2:$E$15=D451),참조!$C$2:$C$15,"")</f>
        <v/>
      </c>
    </row>
    <row r="452" hidden="1" s="27">
      <c r="A452" s="47" t="inlineStr">
        <is>
          <t>스마텔</t>
        </is>
      </c>
      <c r="B452" s="47" t="inlineStr">
        <is>
          <t>USIM 스위트 5G망(100분/10GB)</t>
        </is>
      </c>
      <c r="C452" s="47" t="inlineStr">
        <is>
          <t>100분</t>
        </is>
      </c>
      <c r="D452" s="47" t="inlineStr">
        <is>
          <t>100건</t>
        </is>
      </c>
      <c r="E452" s="47" t="inlineStr">
        <is>
          <t>월 10GB</t>
        </is>
      </c>
      <c r="F452" s="47" t="inlineStr">
        <is>
          <t>KT</t>
        </is>
      </c>
      <c r="G452" s="47" t="inlineStr">
        <is>
          <t>5G</t>
        </is>
      </c>
      <c r="H452" s="48" t="n">
        <v>90</v>
      </c>
      <c r="I452" s="48" t="n">
        <v>7</v>
      </c>
      <c r="J452" s="48" t="n">
        <v>15400</v>
      </c>
      <c r="K452" s="47">
        <f t="array" ref="K452">_xlfn.XLOOKUP(1,(참조!$B$2:$B$15=E452)*(참조!$D$2:$D$15=C452)*(참조!$E$2:$E$15=D452),참조!$C$2:$C$15,"")</f>
        <v/>
      </c>
    </row>
    <row r="453" hidden="1" s="27">
      <c r="A453" s="47" t="inlineStr">
        <is>
          <t>U+유모바일</t>
        </is>
      </c>
      <c r="B453" s="47" t="inlineStr">
        <is>
          <t>[평생할인] 10GB/100분</t>
        </is>
      </c>
      <c r="C453" s="47" t="inlineStr">
        <is>
          <t>100분</t>
        </is>
      </c>
      <c r="D453" s="47" t="inlineStr">
        <is>
          <t>100건</t>
        </is>
      </c>
      <c r="E453" s="47" t="inlineStr">
        <is>
          <t>월 10GB</t>
        </is>
      </c>
      <c r="F453" s="47" t="inlineStr">
        <is>
          <t>LG U+</t>
        </is>
      </c>
      <c r="G453" s="47" t="inlineStr">
        <is>
          <t>LTE</t>
        </is>
      </c>
      <c r="H453" s="48" t="n">
        <v>9900</v>
      </c>
      <c r="I453" s="48" t="n"/>
      <c r="J453" s="48" t="n"/>
      <c r="K453" s="47">
        <f t="array" ref="K453">_xlfn.XLOOKUP(1,(참조!$B$2:$B$15=E453)*(참조!$D$2:$D$15=C453)*(참조!$E$2:$E$15=D453),참조!$C$2:$C$15,"")</f>
        <v/>
      </c>
    </row>
    <row r="454" hidden="1" s="27">
      <c r="A454" s="47" t="inlineStr">
        <is>
          <t>핀다이렉트</t>
        </is>
      </c>
      <c r="B454" s="47" t="inlineStr">
        <is>
          <t>[모요only] [K] 핀다이렉트Z Light(12) _PIN</t>
        </is>
      </c>
      <c r="C454" s="47" t="inlineStr">
        <is>
          <t>100분</t>
        </is>
      </c>
      <c r="D454" s="47" t="inlineStr">
        <is>
          <t>100건</t>
        </is>
      </c>
      <c r="E454" s="47" t="inlineStr">
        <is>
          <t>월 15GB + 3Mbps</t>
        </is>
      </c>
      <c r="F454" s="47" t="inlineStr">
        <is>
          <t>KT</t>
        </is>
      </c>
      <c r="G454" s="47" t="inlineStr">
        <is>
          <t>LTE</t>
        </is>
      </c>
      <c r="H454" s="48" t="n">
        <v>18000</v>
      </c>
      <c r="I454" s="48" t="n">
        <v>12</v>
      </c>
      <c r="J454" s="48" t="n">
        <v>30800</v>
      </c>
      <c r="K454" s="47">
        <f t="array" ref="K454">_xlfn.XLOOKUP(1,(참조!$B$2:$B$15=E454)*(참조!$D$2:$D$15=C454)*(참조!$E$2:$E$15=D454),참조!$C$2:$C$15,"")</f>
        <v/>
      </c>
    </row>
    <row r="455" hidden="1" s="27">
      <c r="A455" s="47" t="inlineStr">
        <is>
          <t>쉐이크모바일</t>
        </is>
      </c>
      <c r="B455" s="47" t="inlineStr">
        <is>
          <t>[모요only] 쉐이크 LTE 15GB+/100분_CU</t>
        </is>
      </c>
      <c r="C455" s="47" t="inlineStr">
        <is>
          <t>100분</t>
        </is>
      </c>
      <c r="D455" s="47" t="inlineStr">
        <is>
          <t>100건</t>
        </is>
      </c>
      <c r="E455" s="47" t="inlineStr">
        <is>
          <t>월 15GB + 3Mbps</t>
        </is>
      </c>
      <c r="F455" s="47" t="inlineStr">
        <is>
          <t>KT</t>
        </is>
      </c>
      <c r="G455" s="47" t="inlineStr">
        <is>
          <t>LTE</t>
        </is>
      </c>
      <c r="H455" s="48" t="n">
        <v>19000</v>
      </c>
      <c r="I455" s="48" t="n">
        <v>12</v>
      </c>
      <c r="J455" s="48" t="n">
        <v>33000</v>
      </c>
      <c r="K455" s="47">
        <f t="array" ref="K455">_xlfn.XLOOKUP(1,(참조!$B$2:$B$15=E455)*(참조!$D$2:$D$15=C455)*(참조!$E$2:$E$15=D455),참조!$C$2:$C$15,"")</f>
        <v/>
      </c>
    </row>
    <row r="456" hidden="1" s="27">
      <c r="A456" s="47" t="inlineStr">
        <is>
          <t>이야기모바일</t>
        </is>
      </c>
      <c r="B456" s="47" t="inlineStr">
        <is>
          <t>5G 이야기스페셜 125GB+</t>
        </is>
      </c>
      <c r="C456" s="47" t="inlineStr">
        <is>
          <t>무제한</t>
        </is>
      </c>
      <c r="D456" s="47" t="inlineStr">
        <is>
          <t>무제한</t>
        </is>
      </c>
      <c r="E456" s="47" t="inlineStr">
        <is>
          <t>월 125GB + 5Mbps</t>
        </is>
      </c>
      <c r="F456" s="47" t="inlineStr">
        <is>
          <t>LG U+</t>
        </is>
      </c>
      <c r="G456" s="47" t="inlineStr">
        <is>
          <t>5G</t>
        </is>
      </c>
      <c r="H456" s="48" t="n">
        <v>30800</v>
      </c>
      <c r="I456" s="48" t="n">
        <v>24</v>
      </c>
      <c r="J456" s="48" t="n">
        <v>46200</v>
      </c>
      <c r="K456" s="47">
        <f t="array" ref="K456">_xlfn.XLOOKUP(1,(참조!$B$2:$B$15=E456)*(참조!$D$2:$D$15=C456)*(참조!$E$2:$E$15=D456),참조!$C$2:$C$15,"")</f>
        <v/>
      </c>
    </row>
    <row r="457" hidden="1" s="27">
      <c r="A457" s="47" t="inlineStr">
        <is>
          <t>핀다이렉트</t>
        </is>
      </c>
      <c r="B457" s="47" t="inlineStr">
        <is>
          <t>[모요only] [K] 핀다이렉트Z 100GB+(네이버페이) _PIN</t>
        </is>
      </c>
      <c r="C457" s="47" t="inlineStr">
        <is>
          <t>무제한</t>
        </is>
      </c>
      <c r="D457" s="47" t="inlineStr">
        <is>
          <t>무제한</t>
        </is>
      </c>
      <c r="E457" s="47" t="inlineStr">
        <is>
          <t>월 100GB + 5Mbps</t>
        </is>
      </c>
      <c r="F457" s="47" t="inlineStr">
        <is>
          <t>KT</t>
        </is>
      </c>
      <c r="G457" s="47" t="inlineStr">
        <is>
          <t>LTE</t>
        </is>
      </c>
      <c r="H457" s="48" t="n">
        <v>16300</v>
      </c>
      <c r="I457" s="48" t="n">
        <v>7</v>
      </c>
      <c r="J457" s="48" t="n">
        <v>47000</v>
      </c>
      <c r="K457" s="47">
        <f t="array" ref="K457">_xlfn.XLOOKUP(1,(참조!$B$2:$B$15=E457)*(참조!$D$2:$D$15=C457)*(참조!$E$2:$E$15=D457),참조!$C$2:$C$15,"")</f>
        <v/>
      </c>
    </row>
    <row r="458" hidden="1" s="27">
      <c r="A458" s="47" t="inlineStr">
        <is>
          <t>모나</t>
        </is>
      </c>
      <c r="B458" s="47" t="inlineStr">
        <is>
          <t>5G_모나알뜰125G안심5</t>
        </is>
      </c>
      <c r="C458" s="47" t="inlineStr">
        <is>
          <t>무제한</t>
        </is>
      </c>
      <c r="D458" s="47" t="inlineStr">
        <is>
          <t>무제한</t>
        </is>
      </c>
      <c r="E458" s="47" t="inlineStr">
        <is>
          <t>월 125GB + 5Mbps</t>
        </is>
      </c>
      <c r="F458" s="47" t="inlineStr">
        <is>
          <t>LG U+</t>
        </is>
      </c>
      <c r="G458" s="47" t="inlineStr">
        <is>
          <t>5G</t>
        </is>
      </c>
      <c r="H458" s="48" t="n">
        <v>32100</v>
      </c>
      <c r="I458" s="48" t="n">
        <v>24</v>
      </c>
      <c r="J458" s="48" t="n">
        <v>57200</v>
      </c>
      <c r="K458" s="47">
        <f t="array" ref="K458">_xlfn.XLOOKUP(1,(참조!$B$2:$B$15=E458)*(참조!$D$2:$D$15=C458)*(참조!$E$2:$E$15=D458),참조!$C$2:$C$15,"")</f>
        <v/>
      </c>
    </row>
    <row r="459" hidden="1" s="27">
      <c r="A459" s="47" t="inlineStr">
        <is>
          <t>더원모바일</t>
        </is>
      </c>
      <c r="B459" s="47" t="inlineStr">
        <is>
          <t>TOP 100GB 기본 (쿠팡캐시)</t>
        </is>
      </c>
      <c r="C459" s="47" t="inlineStr">
        <is>
          <t>무제한</t>
        </is>
      </c>
      <c r="D459" s="47" t="inlineStr">
        <is>
          <t>무제한</t>
        </is>
      </c>
      <c r="E459" s="47" t="inlineStr">
        <is>
          <t>월 100GB + 5Mbps</t>
        </is>
      </c>
      <c r="F459" s="47" t="inlineStr">
        <is>
          <t>KT</t>
        </is>
      </c>
      <c r="G459" s="47" t="inlineStr">
        <is>
          <t>LTE</t>
        </is>
      </c>
      <c r="H459" s="48" t="n">
        <v>15070</v>
      </c>
      <c r="I459" s="48" t="n">
        <v>7</v>
      </c>
      <c r="J459" s="48" t="n">
        <v>46200</v>
      </c>
      <c r="K459" s="47">
        <f t="array" ref="K459">_xlfn.XLOOKUP(1,(참조!$B$2:$B$15=E459)*(참조!$D$2:$D$15=C459)*(참조!$E$2:$E$15=D459),참조!$C$2:$C$15,"")</f>
        <v/>
      </c>
    </row>
    <row r="460" hidden="1" s="27">
      <c r="A460" s="47" t="inlineStr">
        <is>
          <t>인스모바일</t>
        </is>
      </c>
      <c r="B460" s="47" t="inlineStr">
        <is>
          <t>인스유심 스트롱 15GB+</t>
        </is>
      </c>
      <c r="C460" s="47" t="inlineStr">
        <is>
          <t>100분</t>
        </is>
      </c>
      <c r="D460" s="47" t="inlineStr">
        <is>
          <t>100건</t>
        </is>
      </c>
      <c r="E460" s="47" t="inlineStr">
        <is>
          <t>월 15GB + 3Mbps</t>
        </is>
      </c>
      <c r="F460" s="47" t="inlineStr">
        <is>
          <t>LG U+</t>
        </is>
      </c>
      <c r="G460" s="47" t="inlineStr">
        <is>
          <t>LTE</t>
        </is>
      </c>
      <c r="H460" s="48" t="n">
        <v>9800</v>
      </c>
      <c r="I460" s="48" t="n">
        <v>7</v>
      </c>
      <c r="J460" s="48" t="n">
        <v>29600</v>
      </c>
      <c r="K460" s="47">
        <f t="array" ref="K460">_xlfn.XLOOKUP(1,(참조!$B$2:$B$15=E460)*(참조!$D$2:$D$15=C460)*(참조!$E$2:$E$15=D460),참조!$C$2:$C$15,"")</f>
        <v/>
      </c>
    </row>
    <row r="461" hidden="1" s="27">
      <c r="A461" s="47" t="inlineStr">
        <is>
          <t>KT스카이라이프</t>
        </is>
      </c>
      <c r="B461" s="47" t="inlineStr">
        <is>
          <t>통화 충분 1.5GB</t>
        </is>
      </c>
      <c r="C461" s="47" t="inlineStr">
        <is>
          <t>무제한</t>
        </is>
      </c>
      <c r="D461" s="47" t="inlineStr">
        <is>
          <t>무제한</t>
        </is>
      </c>
      <c r="E461" s="47" t="inlineStr">
        <is>
          <t>월 1.5GB</t>
        </is>
      </c>
      <c r="F461" s="47" t="inlineStr">
        <is>
          <t>KT</t>
        </is>
      </c>
      <c r="G461" s="47" t="inlineStr">
        <is>
          <t>LTE</t>
        </is>
      </c>
      <c r="H461" s="48" t="n">
        <v>6600</v>
      </c>
      <c r="I461" s="48" t="n"/>
      <c r="J461" s="48" t="n"/>
      <c r="K461" s="47">
        <f t="array" ref="K461">_xlfn.XLOOKUP(1,(참조!$B$2:$B$15=E461)*(참조!$D$2:$D$15=C461)*(참조!$E$2:$E$15=D461),참조!$C$2:$C$15,"")</f>
        <v/>
      </c>
    </row>
    <row r="462" hidden="1" s="27">
      <c r="A462" s="47" t="inlineStr">
        <is>
          <t>KT스카이라이프</t>
        </is>
      </c>
      <c r="B462" s="47" t="inlineStr">
        <is>
          <t>슬림 2GB/200분</t>
        </is>
      </c>
      <c r="C462" s="47" t="inlineStr">
        <is>
          <t>200분</t>
        </is>
      </c>
      <c r="D462" s="47" t="inlineStr">
        <is>
          <t>200건</t>
        </is>
      </c>
      <c r="E462" s="47" t="inlineStr">
        <is>
          <t>월 2GB</t>
        </is>
      </c>
      <c r="F462" s="47" t="inlineStr">
        <is>
          <t>KT</t>
        </is>
      </c>
      <c r="G462" s="47" t="inlineStr">
        <is>
          <t>LTE</t>
        </is>
      </c>
      <c r="H462" s="48" t="n">
        <v>4900</v>
      </c>
      <c r="I462" s="48" t="n"/>
      <c r="J462" s="48" t="n"/>
      <c r="K462" s="47">
        <f t="array" ref="K462">_xlfn.XLOOKUP(1,(참조!$B$2:$B$15=E462)*(참조!$D$2:$D$15=C462)*(참조!$E$2:$E$15=D462),참조!$C$2:$C$15,"")</f>
        <v/>
      </c>
    </row>
    <row r="463" hidden="1" s="27">
      <c r="A463" s="47" t="inlineStr">
        <is>
          <t>핀다이렉트</t>
        </is>
      </c>
      <c r="B463" s="47" t="inlineStr">
        <is>
          <t>[모요only] [S] 핀다이렉트Z _PIN</t>
        </is>
      </c>
      <c r="C463" s="47" t="inlineStr">
        <is>
          <t>무제한</t>
        </is>
      </c>
      <c r="D463" s="47" t="inlineStr">
        <is>
          <t>무제한</t>
        </is>
      </c>
      <c r="E463" s="47" t="inlineStr">
        <is>
          <t>월 11GB + 매일 2GB + 3Mbps</t>
        </is>
      </c>
      <c r="F463" s="47" t="inlineStr">
        <is>
          <t>SKT</t>
        </is>
      </c>
      <c r="G463" s="47" t="inlineStr">
        <is>
          <t>LTE</t>
        </is>
      </c>
      <c r="H463" s="48" t="n">
        <v>15000</v>
      </c>
      <c r="I463" s="48" t="n">
        <v>7</v>
      </c>
      <c r="J463" s="48" t="n">
        <v>39600</v>
      </c>
      <c r="K463" s="47">
        <f t="array" ref="K463">_xlfn.XLOOKUP(1,(참조!$B$2:$B$15=E463)*(참조!$D$2:$D$15=C463)*(참조!$E$2:$E$15=D463),참조!$C$2:$C$15,"")</f>
        <v/>
      </c>
    </row>
    <row r="464" hidden="1" s="27">
      <c r="A464" s="47" t="inlineStr">
        <is>
          <t>이지모바일</t>
        </is>
      </c>
      <c r="B464" s="47" t="inlineStr">
        <is>
          <t>이지 데이터 15G+1/300분</t>
        </is>
      </c>
      <c r="C464" s="47" t="inlineStr">
        <is>
          <t>300분</t>
        </is>
      </c>
      <c r="D464" s="47" t="inlineStr">
        <is>
          <t>300건</t>
        </is>
      </c>
      <c r="E464" s="47" t="inlineStr">
        <is>
          <t>월 15GB + 1Mbps</t>
        </is>
      </c>
      <c r="F464" s="47" t="inlineStr">
        <is>
          <t>LG U+</t>
        </is>
      </c>
      <c r="G464" s="47" t="inlineStr">
        <is>
          <t>5G</t>
        </is>
      </c>
      <c r="H464" s="48" t="n">
        <v>5830</v>
      </c>
      <c r="I464" s="48" t="n">
        <v>6</v>
      </c>
      <c r="J464" s="48" t="n">
        <v>26400</v>
      </c>
      <c r="K464" s="47">
        <f t="array" ref="K464">_xlfn.XLOOKUP(1,(참조!$B$2:$B$15=E464)*(참조!$D$2:$D$15=C464)*(참조!$E$2:$E$15=D464),참조!$C$2:$C$15,"")</f>
        <v/>
      </c>
    </row>
    <row r="465" hidden="1" s="27">
      <c r="A465" s="47" t="inlineStr">
        <is>
          <t>인스모바일</t>
        </is>
      </c>
      <c r="B465" s="47" t="inlineStr">
        <is>
          <t>[24개월] 인스 유심 올프리 7GB+</t>
        </is>
      </c>
      <c r="C465" s="47" t="inlineStr">
        <is>
          <t>무제한</t>
        </is>
      </c>
      <c r="D465" s="47" t="inlineStr">
        <is>
          <t>무제한</t>
        </is>
      </c>
      <c r="E465" s="47" t="inlineStr">
        <is>
          <t>월 7GB + 1Mbps</t>
        </is>
      </c>
      <c r="F465" s="47" t="inlineStr">
        <is>
          <t>LG U+</t>
        </is>
      </c>
      <c r="G465" s="47" t="inlineStr">
        <is>
          <t>LTE</t>
        </is>
      </c>
      <c r="H465" s="48" t="n">
        <v>12650</v>
      </c>
      <c r="I465" s="48" t="n">
        <v>24</v>
      </c>
      <c r="J465" s="48" t="n">
        <v>25300</v>
      </c>
      <c r="K465" s="47">
        <f t="array" ref="K465">_xlfn.XLOOKUP(1,(참조!$B$2:$B$15=E465)*(참조!$D$2:$D$15=C465)*(참조!$E$2:$E$15=D465),참조!$C$2:$C$15,"")</f>
        <v/>
      </c>
    </row>
    <row r="466" hidden="1" s="27">
      <c r="A466" s="47" t="inlineStr">
        <is>
          <t>KT엠모바일</t>
        </is>
      </c>
      <c r="B466" s="47" t="inlineStr">
        <is>
          <t>통화 맘껏 10GB</t>
        </is>
      </c>
      <c r="C466" s="47" t="inlineStr">
        <is>
          <t>무제한</t>
        </is>
      </c>
      <c r="D466" s="47" t="inlineStr">
        <is>
          <t>무제한</t>
        </is>
      </c>
      <c r="E466" s="47" t="inlineStr">
        <is>
          <t>월 10GB</t>
        </is>
      </c>
      <c r="F466" s="47" t="inlineStr">
        <is>
          <t>KT</t>
        </is>
      </c>
      <c r="G466" s="47" t="inlineStr">
        <is>
          <t>LTE</t>
        </is>
      </c>
      <c r="H466" s="48" t="n">
        <v>10400</v>
      </c>
      <c r="I466" s="48" t="n"/>
      <c r="J466" s="48" t="n"/>
      <c r="K466" s="47">
        <f t="array" ref="K466">_xlfn.XLOOKUP(1,(참조!$B$2:$B$15=E466)*(참조!$D$2:$D$15=C466)*(참조!$E$2:$E$15=D466),참조!$C$2:$C$15,"")</f>
        <v/>
      </c>
    </row>
    <row r="467" hidden="1" s="27">
      <c r="A467" s="47" t="inlineStr">
        <is>
          <t>슈가모바일</t>
        </is>
      </c>
      <c r="B467" s="47" t="inlineStr">
        <is>
          <t>5G 슈가X윌라 125G+</t>
        </is>
      </c>
      <c r="C467" s="47" t="inlineStr">
        <is>
          <t>무제한</t>
        </is>
      </c>
      <c r="D467" s="47" t="inlineStr">
        <is>
          <t>무제한</t>
        </is>
      </c>
      <c r="E467" s="47" t="inlineStr">
        <is>
          <t>월 125GB + 5Mbps</t>
        </is>
      </c>
      <c r="F467" s="47" t="inlineStr">
        <is>
          <t>LG U+</t>
        </is>
      </c>
      <c r="G467" s="47" t="inlineStr">
        <is>
          <t>5G</t>
        </is>
      </c>
      <c r="H467" s="48" t="n">
        <v>26500</v>
      </c>
      <c r="I467" s="48" t="n">
        <v>24</v>
      </c>
      <c r="J467" s="48" t="n">
        <v>53000</v>
      </c>
      <c r="K467" s="47">
        <f t="array" ref="K467">_xlfn.XLOOKUP(1,(참조!$B$2:$B$15=E467)*(참조!$D$2:$D$15=C467)*(참조!$E$2:$E$15=D467),참조!$C$2:$C$15,"")</f>
        <v/>
      </c>
    </row>
    <row r="468" hidden="1" s="27">
      <c r="A468" s="47" t="inlineStr">
        <is>
          <t>고고모바일</t>
        </is>
      </c>
      <c r="B468" s="47" t="inlineStr">
        <is>
          <t>[모요only] 무제한 11GB+3M(매월 네이버페이5000P)</t>
        </is>
      </c>
      <c r="C468" s="47" t="inlineStr">
        <is>
          <t>무제한</t>
        </is>
      </c>
      <c r="D468" s="47" t="inlineStr">
        <is>
          <t>무제한</t>
        </is>
      </c>
      <c r="E468" s="47" t="inlineStr">
        <is>
          <t>월 11GB + 매일 2GB + 3Mbps</t>
        </is>
      </c>
      <c r="F468" s="47" t="inlineStr">
        <is>
          <t>KT</t>
        </is>
      </c>
      <c r="G468" s="47" t="inlineStr">
        <is>
          <t>LTE</t>
        </is>
      </c>
      <c r="H468" s="48" t="n">
        <v>16000</v>
      </c>
      <c r="I468" s="48" t="n">
        <v>7</v>
      </c>
      <c r="J468" s="48" t="n">
        <v>40700</v>
      </c>
      <c r="K468" s="47">
        <f t="array" ref="K468">_xlfn.XLOOKUP(1,(참조!$B$2:$B$15=E468)*(참조!$D$2:$D$15=C468)*(참조!$E$2:$E$15=D468),참조!$C$2:$C$15,"")</f>
        <v/>
      </c>
    </row>
    <row r="469" hidden="1" s="27">
      <c r="A469" s="47" t="inlineStr">
        <is>
          <t>U+유모바일</t>
        </is>
      </c>
      <c r="B469" s="47" t="inlineStr">
        <is>
          <t>[Npay 12만 기본제공] 7GB+/통화기본</t>
        </is>
      </c>
      <c r="C469" s="47" t="inlineStr">
        <is>
          <t>무제한</t>
        </is>
      </c>
      <c r="D469" s="47" t="inlineStr">
        <is>
          <t>무제한</t>
        </is>
      </c>
      <c r="E469" s="47" t="inlineStr">
        <is>
          <t>월 7GB + 1Mbps</t>
        </is>
      </c>
      <c r="F469" s="47" t="inlineStr">
        <is>
          <t>LG U+</t>
        </is>
      </c>
      <c r="G469" s="47" t="inlineStr">
        <is>
          <t>LTE</t>
        </is>
      </c>
      <c r="H469" s="48" t="n">
        <v>18300</v>
      </c>
      <c r="I469" s="48" t="n"/>
      <c r="J469" s="48" t="n"/>
      <c r="K469" s="47">
        <f t="array" ref="K469">_xlfn.XLOOKUP(1,(참조!$B$2:$B$15=E469)*(참조!$D$2:$D$15=C469)*(참조!$E$2:$E$15=D469),참조!$C$2:$C$15,"")</f>
        <v/>
      </c>
    </row>
    <row r="470" hidden="1" s="27">
      <c r="A470" s="47" t="inlineStr">
        <is>
          <t>이지모바일</t>
        </is>
      </c>
      <c r="B470" s="47" t="inlineStr">
        <is>
          <t>이지 데이터 4.5GB</t>
        </is>
      </c>
      <c r="C470" s="47" t="inlineStr">
        <is>
          <t>350분</t>
        </is>
      </c>
      <c r="D470" s="47" t="inlineStr">
        <is>
          <t>100건</t>
        </is>
      </c>
      <c r="E470" s="47" t="inlineStr">
        <is>
          <t>월 4.5GB</t>
        </is>
      </c>
      <c r="F470" s="47" t="inlineStr">
        <is>
          <t>LG U+</t>
        </is>
      </c>
      <c r="G470" s="47" t="inlineStr">
        <is>
          <t>LTE</t>
        </is>
      </c>
      <c r="H470" s="48" t="n">
        <v>10</v>
      </c>
      <c r="I470" s="48" t="n">
        <v>6</v>
      </c>
      <c r="J470" s="48" t="n">
        <v>15400</v>
      </c>
      <c r="K470" s="47">
        <f t="array" ref="K470">_xlfn.XLOOKUP(1,(참조!$B$2:$B$15=E470)*(참조!$D$2:$D$15=C470)*(참조!$E$2:$E$15=D470),참조!$C$2:$C$15,"")</f>
        <v/>
      </c>
    </row>
    <row r="471" hidden="1" s="27">
      <c r="A471" s="47" t="inlineStr">
        <is>
          <t>인스모바일</t>
        </is>
      </c>
      <c r="B471" s="47" t="inlineStr">
        <is>
          <t>[24개월] 인스 유심 스트롱 100GB+</t>
        </is>
      </c>
      <c r="C471" s="47" t="inlineStr">
        <is>
          <t>무제한</t>
        </is>
      </c>
      <c r="D471" s="47" t="inlineStr">
        <is>
          <t>무제한</t>
        </is>
      </c>
      <c r="E471" s="47" t="inlineStr">
        <is>
          <t>월 100GB + 5Mbps</t>
        </is>
      </c>
      <c r="F471" s="47" t="inlineStr">
        <is>
          <t>LG U+</t>
        </is>
      </c>
      <c r="G471" s="47" t="inlineStr">
        <is>
          <t>LTE</t>
        </is>
      </c>
      <c r="H471" s="48" t="n">
        <v>28520</v>
      </c>
      <c r="I471" s="48" t="n">
        <v>24</v>
      </c>
      <c r="J471" s="48" t="n">
        <v>47000</v>
      </c>
      <c r="K471" s="47">
        <f t="array" ref="K471">_xlfn.XLOOKUP(1,(참조!$B$2:$B$15=E471)*(참조!$D$2:$D$15=C471)*(참조!$E$2:$E$15=D471),참조!$C$2:$C$15,"")</f>
        <v/>
      </c>
    </row>
    <row r="472" hidden="1" s="27">
      <c r="A472" s="47" t="inlineStr">
        <is>
          <t>모나</t>
        </is>
      </c>
      <c r="B472" s="47" t="inlineStr">
        <is>
          <t>코나아이데이터100G+5M</t>
        </is>
      </c>
      <c r="C472" s="47" t="inlineStr">
        <is>
          <t>무제한</t>
        </is>
      </c>
      <c r="D472" s="47" t="inlineStr">
        <is>
          <t>무제한</t>
        </is>
      </c>
      <c r="E472" s="47" t="inlineStr">
        <is>
          <t>월 100GB + 5Mbps</t>
        </is>
      </c>
      <c r="F472" s="47" t="inlineStr">
        <is>
          <t>LG U+</t>
        </is>
      </c>
      <c r="G472" s="47" t="inlineStr">
        <is>
          <t>LTE</t>
        </is>
      </c>
      <c r="H472" s="48" t="n">
        <v>32900</v>
      </c>
      <c r="I472" s="48" t="n"/>
      <c r="J472" s="48" t="n"/>
      <c r="K472" s="47">
        <f t="array" ref="K472">_xlfn.XLOOKUP(1,(참조!$B$2:$B$15=E472)*(참조!$D$2:$D$15=C472)*(참조!$E$2:$E$15=D472),참조!$C$2:$C$15,"")</f>
        <v/>
      </c>
    </row>
    <row r="473" hidden="1" s="27">
      <c r="A473" s="47" t="inlineStr">
        <is>
          <t>인스모바일</t>
        </is>
      </c>
      <c r="B473" s="47" t="inlineStr">
        <is>
          <t>[평생할인]데이터 안심 10GB+(USIM)</t>
        </is>
      </c>
      <c r="C473" s="47" t="inlineStr">
        <is>
          <t>100분</t>
        </is>
      </c>
      <c r="D473" s="47" t="inlineStr">
        <is>
          <t>100건</t>
        </is>
      </c>
      <c r="E473" s="47" t="inlineStr">
        <is>
          <t>월 10GB + 1Mbps</t>
        </is>
      </c>
      <c r="F473" s="47" t="inlineStr">
        <is>
          <t>LG U+</t>
        </is>
      </c>
      <c r="G473" s="47" t="inlineStr">
        <is>
          <t>LTE</t>
        </is>
      </c>
      <c r="H473" s="48" t="n">
        <v>8250</v>
      </c>
      <c r="I473" s="48" t="n"/>
      <c r="J473" s="48" t="n"/>
      <c r="K473" s="47">
        <f t="array" ref="K473">_xlfn.XLOOKUP(1,(참조!$B$2:$B$15=E473)*(참조!$D$2:$D$15=C473)*(참조!$E$2:$E$15=D473),참조!$C$2:$C$15,"")</f>
        <v/>
      </c>
    </row>
    <row r="474" hidden="1" s="27">
      <c r="A474" s="47" t="inlineStr">
        <is>
          <t>인스모바일</t>
        </is>
      </c>
      <c r="B474" s="47" t="inlineStr">
        <is>
          <t>[평생할인]인스 유심 음성 120분+1.5GB</t>
        </is>
      </c>
      <c r="C474" s="47" t="inlineStr">
        <is>
          <t>120분</t>
        </is>
      </c>
      <c r="D474" s="47" t="inlineStr">
        <is>
          <t>100건</t>
        </is>
      </c>
      <c r="E474" s="47" t="inlineStr">
        <is>
          <t>월 1.5GB</t>
        </is>
      </c>
      <c r="F474" s="47" t="inlineStr">
        <is>
          <t>LG U+</t>
        </is>
      </c>
      <c r="G474" s="47" t="inlineStr">
        <is>
          <t>LTE</t>
        </is>
      </c>
      <c r="H474" s="48" t="n">
        <v>2430</v>
      </c>
      <c r="I474" s="48" t="n"/>
      <c r="J474" s="48" t="n"/>
      <c r="K474" s="47">
        <f t="array" ref="K474">_xlfn.XLOOKUP(1,(참조!$B$2:$B$15=E474)*(참조!$D$2:$D$15=C474)*(참조!$E$2:$E$15=D474),참조!$C$2:$C$15,"")</f>
        <v/>
      </c>
    </row>
    <row r="475" hidden="1" s="27">
      <c r="A475" s="47" t="inlineStr">
        <is>
          <t>슈가모바일</t>
        </is>
      </c>
      <c r="B475" s="47" t="inlineStr">
        <is>
          <t>슈가칩 매일5GB++</t>
        </is>
      </c>
      <c r="C475" s="47" t="inlineStr">
        <is>
          <t>무제한</t>
        </is>
      </c>
      <c r="D475" s="47" t="inlineStr">
        <is>
          <t>무제한</t>
        </is>
      </c>
      <c r="E475" s="47" t="inlineStr">
        <is>
          <t>매일 5GB + 5Mbps</t>
        </is>
      </c>
      <c r="F475" s="47" t="inlineStr">
        <is>
          <t>LG U+</t>
        </is>
      </c>
      <c r="G475" s="47" t="inlineStr">
        <is>
          <t>LTE</t>
        </is>
      </c>
      <c r="H475" s="48" t="n">
        <v>14000</v>
      </c>
      <c r="I475" s="48" t="n">
        <v>7</v>
      </c>
      <c r="J475" s="48" t="n">
        <v>48000</v>
      </c>
      <c r="K475" s="47">
        <f t="array" ref="K475">_xlfn.XLOOKUP(1,(참조!$B$2:$B$15=E475)*(참조!$D$2:$D$15=C475)*(참조!$E$2:$E$15=D475),참조!$C$2:$C$15,"")</f>
        <v/>
      </c>
    </row>
    <row r="476" hidden="1" s="27">
      <c r="A476" s="47" t="inlineStr">
        <is>
          <t>티플러스</t>
        </is>
      </c>
      <c r="B476" s="47" t="inlineStr">
        <is>
          <t>The 완전마음껏11G+(컬쳐랜드 문화상품권 매월 5000P)</t>
        </is>
      </c>
      <c r="C476" s="47" t="inlineStr">
        <is>
          <t>무제한</t>
        </is>
      </c>
      <c r="D476" s="47" t="inlineStr">
        <is>
          <t>무제한</t>
        </is>
      </c>
      <c r="E476" s="47" t="inlineStr">
        <is>
          <t>월 11GB + 매일 2GB + 3Mbps</t>
        </is>
      </c>
      <c r="F476" s="47" t="inlineStr">
        <is>
          <t>LG U+</t>
        </is>
      </c>
      <c r="G476" s="47" t="inlineStr">
        <is>
          <t>LTE</t>
        </is>
      </c>
      <c r="H476" s="48" t="n">
        <v>27900</v>
      </c>
      <c r="I476" s="48" t="n">
        <v>24</v>
      </c>
      <c r="J476" s="48" t="n">
        <v>39600</v>
      </c>
      <c r="K476" s="47">
        <f t="array" ref="K476">_xlfn.XLOOKUP(1,(참조!$B$2:$B$15=E476)*(참조!$D$2:$D$15=C476)*(참조!$E$2:$E$15=D476),참조!$C$2:$C$15,"")</f>
        <v/>
      </c>
    </row>
    <row r="477" hidden="1" s="27">
      <c r="A477" s="47" t="inlineStr">
        <is>
          <t>스마텔</t>
        </is>
      </c>
      <c r="B477" s="47" t="inlineStr">
        <is>
          <t>USIM 스위트 (300분/10GB)</t>
        </is>
      </c>
      <c r="C477" s="47" t="inlineStr">
        <is>
          <t>300분</t>
        </is>
      </c>
      <c r="D477" s="47" t="inlineStr">
        <is>
          <t>100건</t>
        </is>
      </c>
      <c r="E477" s="47" t="inlineStr">
        <is>
          <t>월 10GB</t>
        </is>
      </c>
      <c r="F477" s="47" t="inlineStr">
        <is>
          <t>KT</t>
        </is>
      </c>
      <c r="G477" s="47" t="inlineStr">
        <is>
          <t>LTE</t>
        </is>
      </c>
      <c r="H477" s="48" t="n">
        <v>500</v>
      </c>
      <c r="I477" s="48" t="n">
        <v>7</v>
      </c>
      <c r="J477" s="48" t="n">
        <v>18700</v>
      </c>
      <c r="K477" s="47">
        <f t="array" ref="K477">_xlfn.XLOOKUP(1,(참조!$B$2:$B$15=E477)*(참조!$D$2:$D$15=C477)*(참조!$E$2:$E$15=D477),참조!$C$2:$C$15,"")</f>
        <v/>
      </c>
    </row>
    <row r="478" hidden="1" s="27">
      <c r="A478" s="47" t="inlineStr">
        <is>
          <t>찬스모바일</t>
        </is>
      </c>
      <c r="B478" s="47" t="inlineStr">
        <is>
          <t>음성 300분 15GB+3Mbps_24개월</t>
        </is>
      </c>
      <c r="C478" s="47" t="inlineStr">
        <is>
          <t>300분</t>
        </is>
      </c>
      <c r="D478" s="47" t="inlineStr">
        <is>
          <t>300건</t>
        </is>
      </c>
      <c r="E478" s="47" t="inlineStr">
        <is>
          <t>월 15GB + 3Mbps</t>
        </is>
      </c>
      <c r="F478" s="47" t="inlineStr">
        <is>
          <t>LG U+</t>
        </is>
      </c>
      <c r="G478" s="47" t="inlineStr">
        <is>
          <t>LTE</t>
        </is>
      </c>
      <c r="H478" s="48" t="n">
        <v>20900</v>
      </c>
      <c r="I478" s="48" t="n">
        <v>24</v>
      </c>
      <c r="J478" s="48" t="n">
        <v>36300</v>
      </c>
      <c r="K478" s="47">
        <f t="array" ref="K478">_xlfn.XLOOKUP(1,(참조!$B$2:$B$15=E478)*(참조!$D$2:$D$15=C478)*(참조!$E$2:$E$15=D478),참조!$C$2:$C$15,"")</f>
        <v/>
      </c>
    </row>
    <row r="479" hidden="1" s="27">
      <c r="A479" s="47" t="inlineStr">
        <is>
          <t>U+유모바일</t>
        </is>
      </c>
      <c r="B479" s="47" t="inlineStr">
        <is>
          <t>데이터 플러스 15GB(평생 +10GB 추가 제공 프로모션)</t>
        </is>
      </c>
      <c r="C479" s="47" t="inlineStr">
        <is>
          <t>무제한</t>
        </is>
      </c>
      <c r="D479" s="47" t="inlineStr">
        <is>
          <t>무제한</t>
        </is>
      </c>
      <c r="E479" s="47" t="inlineStr">
        <is>
          <t>월 25GB + 1Mbps</t>
        </is>
      </c>
      <c r="F479" s="47" t="inlineStr">
        <is>
          <t>LG U+</t>
        </is>
      </c>
      <c r="G479" s="47" t="inlineStr">
        <is>
          <t>LTE</t>
        </is>
      </c>
      <c r="H479" s="48" t="n">
        <v>21900</v>
      </c>
      <c r="I479" s="48" t="n"/>
      <c r="J479" s="48" t="n"/>
      <c r="K479" s="47">
        <f t="array" ref="K479">_xlfn.XLOOKUP(1,(참조!$B$2:$B$15=E479)*(참조!$D$2:$D$15=C479)*(참조!$E$2:$E$15=D479),참조!$C$2:$C$15,"")</f>
        <v/>
      </c>
    </row>
    <row r="480" hidden="1" s="27">
      <c r="A480" s="47" t="inlineStr">
        <is>
          <t>슈가모바일</t>
        </is>
      </c>
      <c r="B480" s="47" t="inlineStr">
        <is>
          <t>슈가X윌라 100GB+</t>
        </is>
      </c>
      <c r="C480" s="47" t="inlineStr">
        <is>
          <t>무제한</t>
        </is>
      </c>
      <c r="D480" s="47" t="inlineStr">
        <is>
          <t>무제한</t>
        </is>
      </c>
      <c r="E480" s="47" t="inlineStr">
        <is>
          <t>월 100GB + 5Mbps</t>
        </is>
      </c>
      <c r="F480" s="47" t="inlineStr">
        <is>
          <t>LG U+</t>
        </is>
      </c>
      <c r="G480" s="47" t="inlineStr">
        <is>
          <t>LTE</t>
        </is>
      </c>
      <c r="H480" s="48" t="n">
        <v>30900</v>
      </c>
      <c r="I480" s="48" t="n">
        <v>24</v>
      </c>
      <c r="J480" s="48" t="n">
        <v>50000</v>
      </c>
      <c r="K480" s="47">
        <f t="array" ref="K480">_xlfn.XLOOKUP(1,(참조!$B$2:$B$15=E480)*(참조!$D$2:$D$15=C480)*(참조!$E$2:$E$15=D480),참조!$C$2:$C$15,"")</f>
        <v/>
      </c>
    </row>
    <row r="481" hidden="1" s="27">
      <c r="A481" s="47" t="inlineStr">
        <is>
          <t>시월모바일</t>
        </is>
      </c>
      <c r="B481" s="47" t="inlineStr">
        <is>
          <t>두해 100분15GB+</t>
        </is>
      </c>
      <c r="C481" s="47" t="inlineStr">
        <is>
          <t>100분</t>
        </is>
      </c>
      <c r="D481" s="47" t="inlineStr">
        <is>
          <t>100건</t>
        </is>
      </c>
      <c r="E481" s="47" t="inlineStr">
        <is>
          <t>월 15GB + 3Mbps</t>
        </is>
      </c>
      <c r="F481" s="47" t="inlineStr">
        <is>
          <t>LG U+</t>
        </is>
      </c>
      <c r="G481" s="47" t="inlineStr">
        <is>
          <t>LTE</t>
        </is>
      </c>
      <c r="H481" s="48" t="n">
        <v>19560</v>
      </c>
      <c r="I481" s="48" t="n">
        <v>24</v>
      </c>
      <c r="J481" s="48" t="n">
        <v>31990</v>
      </c>
      <c r="K481" s="47">
        <f t="array" ref="K481">_xlfn.XLOOKUP(1,(참조!$B$2:$B$15=E481)*(참조!$D$2:$D$15=C481)*(참조!$E$2:$E$15=D481),참조!$C$2:$C$15,"")</f>
        <v/>
      </c>
    </row>
    <row r="482" hidden="1" s="27">
      <c r="A482" s="47" t="inlineStr">
        <is>
          <t>티플러스</t>
        </is>
      </c>
      <c r="B482" s="47" t="inlineStr">
        <is>
          <t>티플 10GB(10GB/300분)</t>
        </is>
      </c>
      <c r="C482" s="47" t="inlineStr">
        <is>
          <t>300분</t>
        </is>
      </c>
      <c r="D482" s="47" t="inlineStr">
        <is>
          <t>100건</t>
        </is>
      </c>
      <c r="E482" s="47" t="inlineStr">
        <is>
          <t>월 10GB</t>
        </is>
      </c>
      <c r="F482" s="47" t="inlineStr">
        <is>
          <t>KT</t>
        </is>
      </c>
      <c r="G482" s="47" t="inlineStr">
        <is>
          <t>LTE</t>
        </is>
      </c>
      <c r="H482" s="48" t="n">
        <v>8990</v>
      </c>
      <c r="I482" s="48" t="n"/>
      <c r="J482" s="48" t="n"/>
      <c r="K482" s="47">
        <f t="array" ref="K482">_xlfn.XLOOKUP(1,(참조!$B$2:$B$15=E482)*(참조!$D$2:$D$15=C482)*(참조!$E$2:$E$15=D482),참조!$C$2:$C$15,"")</f>
        <v/>
      </c>
    </row>
    <row r="483" hidden="1" s="27">
      <c r="A483" s="47" t="inlineStr">
        <is>
          <t>KT스카이라이프</t>
        </is>
      </c>
      <c r="B483" s="47" t="inlineStr">
        <is>
          <t>모두 충분 15GB+(모아진)</t>
        </is>
      </c>
      <c r="C483" s="47" t="inlineStr">
        <is>
          <t>무제한</t>
        </is>
      </c>
      <c r="D483" s="47" t="inlineStr">
        <is>
          <t>무제한</t>
        </is>
      </c>
      <c r="E483" s="47" t="inlineStr">
        <is>
          <t>월 15GB + 1Mbps</t>
        </is>
      </c>
      <c r="F483" s="47" t="inlineStr">
        <is>
          <t>KT</t>
        </is>
      </c>
      <c r="G483" s="47" t="inlineStr">
        <is>
          <t>LTE</t>
        </is>
      </c>
      <c r="H483" s="48" t="n">
        <v>21400</v>
      </c>
      <c r="I483" s="48" t="n"/>
      <c r="J483" s="48" t="n"/>
      <c r="K483" s="47">
        <f t="array" ref="K483">_xlfn.XLOOKUP(1,(참조!$B$2:$B$15=E483)*(참조!$D$2:$D$15=C483)*(참조!$E$2:$E$15=D483),참조!$C$2:$C$15,"")</f>
        <v/>
      </c>
    </row>
    <row r="484" hidden="1" s="27">
      <c r="A484" s="47" t="inlineStr">
        <is>
          <t>티플러스</t>
        </is>
      </c>
      <c r="B484" s="47" t="inlineStr">
        <is>
          <t>티플 10GB(10GB/100분)</t>
        </is>
      </c>
      <c r="C484" s="47" t="inlineStr">
        <is>
          <t>100분</t>
        </is>
      </c>
      <c r="D484" s="47" t="inlineStr">
        <is>
          <t>100건</t>
        </is>
      </c>
      <c r="E484" s="47" t="inlineStr">
        <is>
          <t>월 10GB</t>
        </is>
      </c>
      <c r="F484" s="47" t="inlineStr">
        <is>
          <t>KT</t>
        </is>
      </c>
      <c r="G484" s="47" t="inlineStr">
        <is>
          <t>LTE</t>
        </is>
      </c>
      <c r="H484" s="48" t="n">
        <v>7990</v>
      </c>
      <c r="I484" s="48" t="n"/>
      <c r="J484" s="48" t="n"/>
      <c r="K484" s="47">
        <f t="array" ref="K484">_xlfn.XLOOKUP(1,(참조!$B$2:$B$15=E484)*(참조!$D$2:$D$15=C484)*(참조!$E$2:$E$15=D484),참조!$C$2:$C$15,"")</f>
        <v/>
      </c>
    </row>
    <row r="485" hidden="1" s="27">
      <c r="A485" s="47" t="inlineStr">
        <is>
          <t>LG헬로모바일</t>
        </is>
      </c>
      <c r="B485" s="47" t="inlineStr">
        <is>
          <t>쿠폰팩 유심 15GB</t>
        </is>
      </c>
      <c r="C485" s="47" t="inlineStr">
        <is>
          <t>무제한</t>
        </is>
      </c>
      <c r="D485" s="47" t="inlineStr">
        <is>
          <t>무제한</t>
        </is>
      </c>
      <c r="E485" s="47" t="inlineStr">
        <is>
          <t>월 15GB + 1Mbps</t>
        </is>
      </c>
      <c r="F485" s="47" t="inlineStr">
        <is>
          <t>LG U+</t>
        </is>
      </c>
      <c r="G485" s="47" t="inlineStr">
        <is>
          <t>LTE</t>
        </is>
      </c>
      <c r="H485" s="48" t="n">
        <v>23350</v>
      </c>
      <c r="I485" s="48" t="n"/>
      <c r="J485" s="48" t="n"/>
      <c r="K485" s="47">
        <f t="array" ref="K485">_xlfn.XLOOKUP(1,(참조!$B$2:$B$15=E485)*(참조!$D$2:$D$15=C485)*(참조!$E$2:$E$15=D485),참조!$C$2:$C$15,"")</f>
        <v/>
      </c>
    </row>
    <row r="486" hidden="1" s="27">
      <c r="A486" s="47" t="inlineStr">
        <is>
          <t>스마텔</t>
        </is>
      </c>
      <c r="B486" s="47" t="inlineStr">
        <is>
          <t>[모요only] CU 스위트 무제한 100GB+</t>
        </is>
      </c>
      <c r="C486" s="47" t="inlineStr">
        <is>
          <t>9,997분</t>
        </is>
      </c>
      <c r="D486" s="47" t="inlineStr">
        <is>
          <t>무제한</t>
        </is>
      </c>
      <c r="E486" s="47" t="inlineStr">
        <is>
          <t>월 100GB + 5Mbps</t>
        </is>
      </c>
      <c r="F486" s="47" t="inlineStr">
        <is>
          <t>KT</t>
        </is>
      </c>
      <c r="G486" s="47" t="inlineStr">
        <is>
          <t>LTE</t>
        </is>
      </c>
      <c r="H486" s="48" t="n">
        <v>26000</v>
      </c>
      <c r="I486" s="48" t="n">
        <v>12</v>
      </c>
      <c r="J486" s="48" t="n">
        <v>46200</v>
      </c>
      <c r="K486" s="47">
        <f t="array" ref="K486">_xlfn.XLOOKUP(1,(참조!$B$2:$B$15=E486)*(참조!$D$2:$D$15=C486)*(참조!$E$2:$E$15=D486),참조!$C$2:$C$15,"")</f>
        <v/>
      </c>
    </row>
    <row r="487" hidden="1" s="27">
      <c r="A487" s="47" t="inlineStr">
        <is>
          <t>티플러스</t>
        </is>
      </c>
      <c r="B487" s="47" t="inlineStr">
        <is>
          <t>완전마음껏 11GB＋＋(네이버페이 매월 5000P)</t>
        </is>
      </c>
      <c r="C487" s="47" t="inlineStr">
        <is>
          <t>무제한</t>
        </is>
      </c>
      <c r="D487" s="47" t="inlineStr">
        <is>
          <t>무제한</t>
        </is>
      </c>
      <c r="E487" s="47" t="inlineStr">
        <is>
          <t>월 11GB + 매일 2GB + 3Mbps</t>
        </is>
      </c>
      <c r="F487" s="47" t="inlineStr">
        <is>
          <t>KT</t>
        </is>
      </c>
      <c r="G487" s="47" t="inlineStr">
        <is>
          <t>LTE</t>
        </is>
      </c>
      <c r="H487" s="48" t="n">
        <v>13900</v>
      </c>
      <c r="I487" s="48" t="n">
        <v>7</v>
      </c>
      <c r="J487" s="48" t="n">
        <v>40900</v>
      </c>
      <c r="K487" s="47">
        <f t="array" ref="K487">_xlfn.XLOOKUP(1,(참조!$B$2:$B$15=E487)*(참조!$D$2:$D$15=C487)*(참조!$E$2:$E$15=D487),참조!$C$2:$C$15,"")</f>
        <v/>
      </c>
    </row>
    <row r="488" hidden="1" s="27">
      <c r="A488" s="47" t="inlineStr">
        <is>
          <t>시월모바일</t>
        </is>
      </c>
      <c r="B488" s="47" t="inlineStr">
        <is>
          <t>두해 통화기본매일5GB+</t>
        </is>
      </c>
      <c r="C488" s="47" t="inlineStr">
        <is>
          <t>무제한</t>
        </is>
      </c>
      <c r="D488" s="47" t="inlineStr">
        <is>
          <t>무제한</t>
        </is>
      </c>
      <c r="E488" s="47" t="inlineStr">
        <is>
          <t>매일 5GB + 5Mbps</t>
        </is>
      </c>
      <c r="F488" s="47" t="inlineStr">
        <is>
          <t>LG U+</t>
        </is>
      </c>
      <c r="G488" s="47" t="inlineStr">
        <is>
          <t>LTE</t>
        </is>
      </c>
      <c r="H488" s="48" t="n">
        <v>29090</v>
      </c>
      <c r="I488" s="48" t="n">
        <v>24</v>
      </c>
      <c r="J488" s="48" t="n">
        <v>46250</v>
      </c>
      <c r="K488" s="47">
        <f t="array" ref="K488">_xlfn.XLOOKUP(1,(참조!$B$2:$B$15=E488)*(참조!$D$2:$D$15=C488)*(참조!$E$2:$E$15=D488),참조!$C$2:$C$15,"")</f>
        <v/>
      </c>
    </row>
    <row r="489" hidden="1" s="27">
      <c r="A489" s="47" t="inlineStr">
        <is>
          <t>고고모바일</t>
        </is>
      </c>
      <c r="B489" s="47" t="inlineStr">
        <is>
          <t>[모요only] 무제한 100GB+5M(매월 네이버페이5000P)</t>
        </is>
      </c>
      <c r="C489" s="47" t="inlineStr">
        <is>
          <t>무제한</t>
        </is>
      </c>
      <c r="D489" s="47" t="inlineStr">
        <is>
          <t>무제한</t>
        </is>
      </c>
      <c r="E489" s="47" t="inlineStr">
        <is>
          <t>월 100GB + 5Mbps</t>
        </is>
      </c>
      <c r="F489" s="47" t="inlineStr">
        <is>
          <t>KT</t>
        </is>
      </c>
      <c r="G489" s="47" t="inlineStr">
        <is>
          <t>LTE</t>
        </is>
      </c>
      <c r="H489" s="48" t="n">
        <v>18000</v>
      </c>
      <c r="I489" s="48" t="n">
        <v>7</v>
      </c>
      <c r="J489" s="48" t="n">
        <v>47300</v>
      </c>
      <c r="K489" s="47">
        <f t="array" ref="K489">_xlfn.XLOOKUP(1,(참조!$B$2:$B$15=E489)*(참조!$D$2:$D$15=C489)*(참조!$E$2:$E$15=D489),참조!$C$2:$C$15,"")</f>
        <v/>
      </c>
    </row>
    <row r="490" hidden="1" s="27">
      <c r="A490" s="47" t="inlineStr">
        <is>
          <t>고고모바일</t>
        </is>
      </c>
      <c r="B490" s="47" t="inlineStr">
        <is>
          <t>[모요only] LTE 무제한 15GB+1M(CU20%할인)</t>
        </is>
      </c>
      <c r="C490" s="47" t="inlineStr">
        <is>
          <t>무제한</t>
        </is>
      </c>
      <c r="D490" s="47" t="inlineStr">
        <is>
          <t>무제한</t>
        </is>
      </c>
      <c r="E490" s="47" t="inlineStr">
        <is>
          <t>월 15GB + 1Mbps</t>
        </is>
      </c>
      <c r="F490" s="47" t="inlineStr">
        <is>
          <t>KT</t>
        </is>
      </c>
      <c r="G490" s="47" t="inlineStr">
        <is>
          <t>LTE</t>
        </is>
      </c>
      <c r="H490" s="48" t="n">
        <v>9000</v>
      </c>
      <c r="I490" s="48" t="n">
        <v>7</v>
      </c>
      <c r="J490" s="48" t="n">
        <v>26400</v>
      </c>
      <c r="K490" s="47">
        <f t="array" ref="K490">_xlfn.XLOOKUP(1,(참조!$B$2:$B$15=E490)*(참조!$D$2:$D$15=C490)*(참조!$E$2:$E$15=D490),참조!$C$2:$C$15,"")</f>
        <v/>
      </c>
    </row>
    <row r="491" hidden="1" s="27">
      <c r="A491" s="47" t="inlineStr">
        <is>
          <t>이지모바일</t>
        </is>
      </c>
      <c r="B491" s="47" t="inlineStr">
        <is>
          <t>이지 무한 100GB+5</t>
        </is>
      </c>
      <c r="C491" s="47" t="inlineStr">
        <is>
          <t>무제한</t>
        </is>
      </c>
      <c r="D491" s="47" t="inlineStr">
        <is>
          <t>무제한</t>
        </is>
      </c>
      <c r="E491" s="47" t="inlineStr">
        <is>
          <t>월 100GB + 5Mbps</t>
        </is>
      </c>
      <c r="F491" s="47" t="inlineStr">
        <is>
          <t>LG U+</t>
        </is>
      </c>
      <c r="G491" s="47" t="inlineStr">
        <is>
          <t>LTE</t>
        </is>
      </c>
      <c r="H491" s="48" t="n">
        <v>15950</v>
      </c>
      <c r="I491" s="48" t="n">
        <v>7</v>
      </c>
      <c r="J491" s="48" t="n">
        <v>46200</v>
      </c>
      <c r="K491" s="47">
        <f t="array" ref="K491">_xlfn.XLOOKUP(1,(참조!$B$2:$B$15=E491)*(참조!$D$2:$D$15=C491)*(참조!$E$2:$E$15=D491),참조!$C$2:$C$15,"")</f>
        <v/>
      </c>
    </row>
    <row r="492" hidden="1" s="27">
      <c r="A492" s="47" t="inlineStr">
        <is>
          <t>고고모바일</t>
        </is>
      </c>
      <c r="B492" s="47" t="inlineStr">
        <is>
          <t>고고 LTE 무제한 7GB+1M_모요</t>
        </is>
      </c>
      <c r="C492" s="47" t="inlineStr">
        <is>
          <t>무제한</t>
        </is>
      </c>
      <c r="D492" s="47" t="inlineStr">
        <is>
          <t>무제한</t>
        </is>
      </c>
      <c r="E492" s="47" t="inlineStr">
        <is>
          <t>월 7GB + 1Mbps</t>
        </is>
      </c>
      <c r="F492" s="47" t="inlineStr">
        <is>
          <t>SKT</t>
        </is>
      </c>
      <c r="G492" s="47" t="inlineStr">
        <is>
          <t>LTE</t>
        </is>
      </c>
      <c r="H492" s="48" t="n">
        <v>4000</v>
      </c>
      <c r="I492" s="48" t="n">
        <v>7</v>
      </c>
      <c r="J492" s="48" t="n">
        <v>23100</v>
      </c>
      <c r="K492" s="47">
        <f t="array" ref="K492">_xlfn.XLOOKUP(1,(참조!$B$2:$B$15=E492)*(참조!$D$2:$D$15=C492)*(참조!$E$2:$E$15=D492),참조!$C$2:$C$15,"")</f>
        <v/>
      </c>
    </row>
    <row r="493" hidden="1" s="27">
      <c r="A493" s="47" t="inlineStr">
        <is>
          <t>KG모바일</t>
        </is>
      </c>
      <c r="B493" s="47" t="inlineStr">
        <is>
          <t>[평생할인] 데이터 마음대로 (15GB+/100분)</t>
        </is>
      </c>
      <c r="C493" s="47" t="inlineStr">
        <is>
          <t>100분</t>
        </is>
      </c>
      <c r="D493" s="47" t="inlineStr">
        <is>
          <t>100건</t>
        </is>
      </c>
      <c r="E493" s="47" t="inlineStr">
        <is>
          <t>월 15GB + 3Mbps</t>
        </is>
      </c>
      <c r="F493" s="47" t="inlineStr">
        <is>
          <t>LG U+</t>
        </is>
      </c>
      <c r="G493" s="47" t="inlineStr">
        <is>
          <t>LTE</t>
        </is>
      </c>
      <c r="H493" s="48" t="n">
        <v>22100</v>
      </c>
      <c r="I493" s="48" t="n"/>
      <c r="J493" s="48" t="n"/>
      <c r="K493" s="47">
        <f t="array" ref="K493">_xlfn.XLOOKUP(1,(참조!$B$2:$B$15=E493)*(참조!$D$2:$D$15=C493)*(참조!$E$2:$E$15=D493),참조!$C$2:$C$15,"")</f>
        <v/>
      </c>
    </row>
    <row r="494" hidden="1" s="27">
      <c r="A494" s="47" t="inlineStr">
        <is>
          <t>더원모바일</t>
        </is>
      </c>
      <c r="B494" s="47" t="inlineStr">
        <is>
          <t>TOP 100GB 기본 (네이버페이)</t>
        </is>
      </c>
      <c r="C494" s="47" t="inlineStr">
        <is>
          <t>무제한</t>
        </is>
      </c>
      <c r="D494" s="47" t="inlineStr">
        <is>
          <t>무제한</t>
        </is>
      </c>
      <c r="E494" s="47" t="inlineStr">
        <is>
          <t>월 100GB + 5Mbps</t>
        </is>
      </c>
      <c r="F494" s="47" t="inlineStr">
        <is>
          <t>KT</t>
        </is>
      </c>
      <c r="G494" s="47" t="inlineStr">
        <is>
          <t>LTE</t>
        </is>
      </c>
      <c r="H494" s="48" t="n">
        <v>15070</v>
      </c>
      <c r="I494" s="48" t="n">
        <v>7</v>
      </c>
      <c r="J494" s="48" t="n">
        <v>46200</v>
      </c>
      <c r="K494" s="47">
        <f t="array" ref="K494">_xlfn.XLOOKUP(1,(참조!$B$2:$B$15=E494)*(참조!$D$2:$D$15=C494)*(참조!$E$2:$E$15=D494),참조!$C$2:$C$15,"")</f>
        <v/>
      </c>
    </row>
    <row r="495" hidden="1" s="27">
      <c r="A495" s="47" t="inlineStr">
        <is>
          <t>핀다이렉트</t>
        </is>
      </c>
      <c r="B495" s="47" t="inlineStr">
        <is>
          <t>[L] 핀다이렉트e Xtra 1GB</t>
        </is>
      </c>
      <c r="C495" s="47" t="inlineStr">
        <is>
          <t>50분</t>
        </is>
      </c>
      <c r="D495" s="47" t="inlineStr">
        <is>
          <t>50건</t>
        </is>
      </c>
      <c r="E495" s="47" t="inlineStr">
        <is>
          <t>월 1GB</t>
        </is>
      </c>
      <c r="F495" s="47" t="inlineStr">
        <is>
          <t>LG U+</t>
        </is>
      </c>
      <c r="G495" s="47" t="inlineStr">
        <is>
          <t>5G</t>
        </is>
      </c>
      <c r="H495" s="48" t="n">
        <v>110</v>
      </c>
      <c r="I495" s="48" t="n">
        <v>7</v>
      </c>
      <c r="J495" s="48" t="n">
        <v>6600</v>
      </c>
      <c r="K495" s="47">
        <f t="array" ref="K495">_xlfn.XLOOKUP(1,(참조!$B$2:$B$15=E495)*(참조!$D$2:$D$15=C495)*(참조!$E$2:$E$15=D495),참조!$C$2:$C$15,"")</f>
        <v/>
      </c>
    </row>
    <row r="496" hidden="1" s="27">
      <c r="A496" s="47" t="inlineStr">
        <is>
          <t>이야기모바일</t>
        </is>
      </c>
      <c r="B496" s="47" t="inlineStr">
        <is>
          <t>내맘대로S(100+1GB)</t>
        </is>
      </c>
      <c r="C496" s="47" t="inlineStr">
        <is>
          <t>100분</t>
        </is>
      </c>
      <c r="D496" s="47" t="inlineStr">
        <is>
          <t>100건</t>
        </is>
      </c>
      <c r="E496" s="47" t="inlineStr">
        <is>
          <t>월 1GB</t>
        </is>
      </c>
      <c r="F496" s="47" t="inlineStr">
        <is>
          <t>SKT</t>
        </is>
      </c>
      <c r="G496" s="47" t="inlineStr">
        <is>
          <t>LTE</t>
        </is>
      </c>
      <c r="H496" s="48" t="n">
        <v>80</v>
      </c>
      <c r="I496" s="48" t="n">
        <v>4</v>
      </c>
      <c r="J496" s="48" t="n">
        <v>5500</v>
      </c>
      <c r="K496" s="47">
        <f t="array" ref="K496">_xlfn.XLOOKUP(1,(참조!$B$2:$B$15=E496)*(참조!$D$2:$D$15=C496)*(참조!$E$2:$E$15=D496),참조!$C$2:$C$15,"")</f>
        <v/>
      </c>
    </row>
    <row r="497" hidden="1" s="27">
      <c r="A497" s="47" t="inlineStr">
        <is>
          <t>찬스모바일</t>
        </is>
      </c>
      <c r="B497" s="47" t="inlineStr">
        <is>
          <t>5G 음성기본 95GB+3Mbps</t>
        </is>
      </c>
      <c r="C497" s="47" t="inlineStr">
        <is>
          <t>무제한</t>
        </is>
      </c>
      <c r="D497" s="47" t="inlineStr">
        <is>
          <t>무제한</t>
        </is>
      </c>
      <c r="E497" s="47" t="inlineStr">
        <is>
          <t>월 95GB + 3Mbps</t>
        </is>
      </c>
      <c r="F497" s="47" t="inlineStr">
        <is>
          <t>LG U+</t>
        </is>
      </c>
      <c r="G497" s="47" t="inlineStr">
        <is>
          <t>5G</t>
        </is>
      </c>
      <c r="H497" s="48" t="n">
        <v>9900</v>
      </c>
      <c r="I497" s="48" t="n">
        <v>7</v>
      </c>
      <c r="J497" s="48" t="n">
        <v>50600</v>
      </c>
      <c r="K497" s="47">
        <f t="array" ref="K497">_xlfn.XLOOKUP(1,(참조!$B$2:$B$15=E497)*(참조!$D$2:$D$15=C497)*(참조!$E$2:$E$15=D497),참조!$C$2:$C$15,"")</f>
        <v/>
      </c>
    </row>
    <row r="498" hidden="1" s="27">
      <c r="A498" s="47" t="inlineStr">
        <is>
          <t>이지모바일</t>
        </is>
      </c>
      <c r="B498" s="47" t="inlineStr">
        <is>
          <t>이지 더 오래쓰는 무제한 7G+1</t>
        </is>
      </c>
      <c r="C498" s="47" t="inlineStr">
        <is>
          <t>무제한</t>
        </is>
      </c>
      <c r="D498" s="47" t="inlineStr">
        <is>
          <t>무제한</t>
        </is>
      </c>
      <c r="E498" s="47" t="inlineStr">
        <is>
          <t>월 7GB + 1Mbps</t>
        </is>
      </c>
      <c r="F498" s="47" t="inlineStr">
        <is>
          <t>LG U+</t>
        </is>
      </c>
      <c r="G498" s="47" t="inlineStr">
        <is>
          <t>LTE</t>
        </is>
      </c>
      <c r="H498" s="48" t="n">
        <v>12980</v>
      </c>
      <c r="I498" s="48" t="n">
        <v>24</v>
      </c>
      <c r="J498" s="48" t="n">
        <v>20900</v>
      </c>
      <c r="K498" s="47">
        <f t="array" ref="K498">_xlfn.XLOOKUP(1,(참조!$B$2:$B$15=E498)*(참조!$D$2:$D$15=C498)*(참조!$E$2:$E$15=D498),참조!$C$2:$C$15,"")</f>
        <v/>
      </c>
    </row>
    <row r="499" hidden="1" s="27">
      <c r="A499" s="47" t="inlineStr">
        <is>
          <t>이야기모바일</t>
        </is>
      </c>
      <c r="B499" s="47" t="inlineStr">
        <is>
          <t>5G이야기 스페셜 150GB+</t>
        </is>
      </c>
      <c r="C499" s="47" t="inlineStr">
        <is>
          <t>무제한</t>
        </is>
      </c>
      <c r="D499" s="47" t="inlineStr">
        <is>
          <t>무제한</t>
        </is>
      </c>
      <c r="E499" s="47" t="inlineStr">
        <is>
          <t>월 150GB + 5Mbps</t>
        </is>
      </c>
      <c r="F499" s="47" t="inlineStr">
        <is>
          <t>LG U+</t>
        </is>
      </c>
      <c r="G499" s="47" t="inlineStr">
        <is>
          <t>5G</t>
        </is>
      </c>
      <c r="H499" s="48" t="n">
        <v>30800</v>
      </c>
      <c r="I499" s="48" t="n">
        <v>24</v>
      </c>
      <c r="J499" s="48" t="n">
        <v>48400</v>
      </c>
      <c r="K499" s="47">
        <f t="array" ref="K499">_xlfn.XLOOKUP(1,(참조!$B$2:$B$15=E499)*(참조!$D$2:$D$15=C499)*(참조!$E$2:$E$15=D499),참조!$C$2:$C$15,"")</f>
        <v/>
      </c>
    </row>
    <row r="500" hidden="1" s="27">
      <c r="A500" s="47" t="inlineStr">
        <is>
          <t>고고모바일</t>
        </is>
      </c>
      <c r="B500" s="47" t="inlineStr">
        <is>
          <t>[모요only] 무제한 7GB+1M(밀리의서재 Free)</t>
        </is>
      </c>
      <c r="C500" s="47" t="inlineStr">
        <is>
          <t>무제한</t>
        </is>
      </c>
      <c r="D500" s="47" t="inlineStr">
        <is>
          <t>무제한</t>
        </is>
      </c>
      <c r="E500" s="47" t="inlineStr">
        <is>
          <t>월 7GB + 1Mbps</t>
        </is>
      </c>
      <c r="F500" s="47" t="inlineStr">
        <is>
          <t>KT</t>
        </is>
      </c>
      <c r="G500" s="47" t="inlineStr">
        <is>
          <t>LTE</t>
        </is>
      </c>
      <c r="H500" s="48" t="n">
        <v>3000</v>
      </c>
      <c r="I500" s="48" t="n">
        <v>7</v>
      </c>
      <c r="J500" s="48" t="n">
        <v>20900</v>
      </c>
      <c r="K500" s="47">
        <f t="array" ref="K500">_xlfn.XLOOKUP(1,(참조!$B$2:$B$15=E500)*(참조!$D$2:$D$15=C500)*(참조!$E$2:$E$15=D500),참조!$C$2:$C$15,"")</f>
        <v/>
      </c>
    </row>
    <row r="501" hidden="1" s="27">
      <c r="A501" s="47" t="inlineStr">
        <is>
          <t>KG모바일</t>
        </is>
      </c>
      <c r="B501" s="47" t="inlineStr">
        <is>
          <t>[평생할인] 유심 5G 150GB+</t>
        </is>
      </c>
      <c r="C501" s="47" t="inlineStr">
        <is>
          <t>무제한</t>
        </is>
      </c>
      <c r="D501" s="47" t="inlineStr">
        <is>
          <t>무제한</t>
        </is>
      </c>
      <c r="E501" s="47" t="inlineStr">
        <is>
          <t>월 150GB + 5Mbps</t>
        </is>
      </c>
      <c r="F501" s="47" t="inlineStr">
        <is>
          <t>LG U+</t>
        </is>
      </c>
      <c r="G501" s="47" t="inlineStr">
        <is>
          <t>5G</t>
        </is>
      </c>
      <c r="H501" s="48" t="n">
        <v>34500</v>
      </c>
      <c r="I501" s="48" t="n"/>
      <c r="J501" s="48" t="n"/>
      <c r="K501" s="47">
        <f t="array" ref="K501">_xlfn.XLOOKUP(1,(참조!$B$2:$B$15=E501)*(참조!$D$2:$D$15=C501)*(참조!$E$2:$E$15=D501),참조!$C$2:$C$15,"")</f>
        <v/>
      </c>
    </row>
    <row r="502" hidden="1" s="27">
      <c r="A502" s="47" t="inlineStr">
        <is>
          <t>시월모바일</t>
        </is>
      </c>
      <c r="B502" s="47" t="inlineStr">
        <is>
          <t>시월 300분15GB+3Mbps</t>
        </is>
      </c>
      <c r="C502" s="47" t="inlineStr">
        <is>
          <t>300분</t>
        </is>
      </c>
      <c r="D502" s="47" t="inlineStr">
        <is>
          <t>300건</t>
        </is>
      </c>
      <c r="E502" s="47" t="inlineStr">
        <is>
          <t>월 15GB + 3Mbps</t>
        </is>
      </c>
      <c r="F502" s="47" t="inlineStr">
        <is>
          <t>LG U+</t>
        </is>
      </c>
      <c r="G502" s="47" t="inlineStr">
        <is>
          <t>LTE</t>
        </is>
      </c>
      <c r="H502" s="48" t="n">
        <v>12050</v>
      </c>
      <c r="I502" s="48" t="n">
        <v>7</v>
      </c>
      <c r="J502" s="48" t="n">
        <v>30750</v>
      </c>
      <c r="K502" s="47">
        <f t="array" ref="K502">_xlfn.XLOOKUP(1,(참조!$B$2:$B$15=E502)*(참조!$D$2:$D$15=C502)*(참조!$E$2:$E$15=D502),참조!$C$2:$C$15,"")</f>
        <v/>
      </c>
    </row>
    <row r="503" hidden="1" s="27">
      <c r="A503" s="47" t="inlineStr">
        <is>
          <t>이야기모바일</t>
        </is>
      </c>
      <c r="B503" s="47" t="inlineStr">
        <is>
          <t>내맘대로S(200+10GB)</t>
        </is>
      </c>
      <c r="C503" s="47" t="inlineStr">
        <is>
          <t>200분</t>
        </is>
      </c>
      <c r="D503" s="47" t="inlineStr">
        <is>
          <t>200건</t>
        </is>
      </c>
      <c r="E503" s="47" t="inlineStr">
        <is>
          <t>월 10GB</t>
        </is>
      </c>
      <c r="F503" s="47" t="inlineStr">
        <is>
          <t>SKT</t>
        </is>
      </c>
      <c r="G503" s="47" t="inlineStr">
        <is>
          <t>LTE</t>
        </is>
      </c>
      <c r="H503" s="48" t="n">
        <v>11000</v>
      </c>
      <c r="I503" s="48" t="n">
        <v>12</v>
      </c>
      <c r="J503" s="48" t="n">
        <v>15400</v>
      </c>
      <c r="K503" s="47">
        <f t="array" ref="K503">_xlfn.XLOOKUP(1,(참조!$B$2:$B$15=E503)*(참조!$D$2:$D$15=C503)*(참조!$E$2:$E$15=D503),참조!$C$2:$C$15,"")</f>
        <v/>
      </c>
    </row>
    <row r="504" hidden="1" s="27">
      <c r="A504" s="47" t="inlineStr">
        <is>
          <t>U+유모바일</t>
        </is>
      </c>
      <c r="B504" s="47" t="inlineStr">
        <is>
          <t>[다이소 12만] 7GB(+10GB 추가 제공 프로모션)</t>
        </is>
      </c>
      <c r="C504" s="47" t="inlineStr">
        <is>
          <t>무제한</t>
        </is>
      </c>
      <c r="D504" s="47" t="inlineStr">
        <is>
          <t>무제한</t>
        </is>
      </c>
      <c r="E504" s="47" t="inlineStr">
        <is>
          <t>월 17GB + 1Mbps</t>
        </is>
      </c>
      <c r="F504" s="47" t="inlineStr">
        <is>
          <t>LG U+</t>
        </is>
      </c>
      <c r="G504" s="47" t="inlineStr">
        <is>
          <t>LTE</t>
        </is>
      </c>
      <c r="H504" s="48" t="n">
        <v>19700</v>
      </c>
      <c r="I504" s="48" t="n"/>
      <c r="J504" s="48" t="n"/>
      <c r="K504" s="47">
        <f t="array" ref="K504">_xlfn.XLOOKUP(1,(참조!$B$2:$B$15=E504)*(참조!$D$2:$D$15=C504)*(참조!$E$2:$E$15=D504),참조!$C$2:$C$15,"")</f>
        <v/>
      </c>
    </row>
    <row r="505" hidden="1" s="27">
      <c r="A505" s="47" t="inlineStr">
        <is>
          <t>KG모바일</t>
        </is>
      </c>
      <c r="B505" s="47" t="inlineStr">
        <is>
          <t>[평생할인] 데이터 마음대로 (1GB+/300분)</t>
        </is>
      </c>
      <c r="C505" s="47" t="inlineStr">
        <is>
          <t>300분</t>
        </is>
      </c>
      <c r="D505" s="47" t="inlineStr">
        <is>
          <t>100건</t>
        </is>
      </c>
      <c r="E505" s="47" t="inlineStr">
        <is>
          <t>월 1GB + 1Mbps</t>
        </is>
      </c>
      <c r="F505" s="47" t="inlineStr">
        <is>
          <t>LG U+</t>
        </is>
      </c>
      <c r="G505" s="47" t="inlineStr">
        <is>
          <t>LTE</t>
        </is>
      </c>
      <c r="H505" s="48" t="n">
        <v>4510</v>
      </c>
      <c r="I505" s="48" t="n"/>
      <c r="J505" s="48" t="n"/>
      <c r="K505" s="47">
        <f t="array" ref="K505">_xlfn.XLOOKUP(1,(참조!$B$2:$B$15=E505)*(참조!$D$2:$D$15=C505)*(참조!$E$2:$E$15=D505),참조!$C$2:$C$15,"")</f>
        <v/>
      </c>
    </row>
    <row r="506" hidden="1" s="27">
      <c r="A506" s="47" t="inlineStr">
        <is>
          <t>시월모바일</t>
        </is>
      </c>
      <c r="B506" s="47" t="inlineStr">
        <is>
          <t>시월 100분15GB+3Mbps</t>
        </is>
      </c>
      <c r="C506" s="47" t="inlineStr">
        <is>
          <t>100분</t>
        </is>
      </c>
      <c r="D506" s="47" t="inlineStr">
        <is>
          <t>100건</t>
        </is>
      </c>
      <c r="E506" s="47" t="inlineStr">
        <is>
          <t>월 15GB + 3Mbps</t>
        </is>
      </c>
      <c r="F506" s="47" t="inlineStr">
        <is>
          <t>LG U+</t>
        </is>
      </c>
      <c r="G506" s="47" t="inlineStr">
        <is>
          <t>LTE</t>
        </is>
      </c>
      <c r="H506" s="48" t="n">
        <v>10060</v>
      </c>
      <c r="I506" s="48" t="n">
        <v>7</v>
      </c>
      <c r="J506" s="48" t="n">
        <v>28760</v>
      </c>
      <c r="K506" s="47">
        <f t="array" ref="K506">_xlfn.XLOOKUP(1,(참조!$B$2:$B$15=E506)*(참조!$D$2:$D$15=C506)*(참조!$E$2:$E$15=D506),참조!$C$2:$C$15,"")</f>
        <v/>
      </c>
    </row>
    <row r="507" hidden="1" s="27">
      <c r="A507" s="47" t="inlineStr">
        <is>
          <t>더원모바일</t>
        </is>
      </c>
      <c r="B507" s="47" t="inlineStr">
        <is>
          <t>TOP 11GB 기본 (웨이브 광고형)</t>
        </is>
      </c>
      <c r="C507" s="47" t="inlineStr">
        <is>
          <t>무제한</t>
        </is>
      </c>
      <c r="D507" s="47" t="inlineStr">
        <is>
          <t>무제한</t>
        </is>
      </c>
      <c r="E507" s="47" t="inlineStr">
        <is>
          <t>월 11GB + 매일 2GB + 3Mbps</t>
        </is>
      </c>
      <c r="F507" s="47" t="inlineStr">
        <is>
          <t>KT</t>
        </is>
      </c>
      <c r="G507" s="47" t="inlineStr">
        <is>
          <t>LTE</t>
        </is>
      </c>
      <c r="H507" s="48" t="n">
        <v>9900</v>
      </c>
      <c r="I507" s="48" t="n">
        <v>7</v>
      </c>
      <c r="J507" s="48" t="n">
        <v>40700</v>
      </c>
      <c r="K507" s="47">
        <f t="array" ref="K507">_xlfn.XLOOKUP(1,(참조!$B$2:$B$15=E507)*(참조!$D$2:$D$15=C507)*(참조!$E$2:$E$15=D507),참조!$C$2:$C$15,"")</f>
        <v/>
      </c>
    </row>
    <row r="508" hidden="1" s="27">
      <c r="A508" s="47" t="inlineStr">
        <is>
          <t>KG모바일</t>
        </is>
      </c>
      <c r="B508" s="47" t="inlineStr">
        <is>
          <t>[일반] 데이터 마음대로 (15GB+/100분)_24개월</t>
        </is>
      </c>
      <c r="C508" s="47" t="inlineStr">
        <is>
          <t>100분</t>
        </is>
      </c>
      <c r="D508" s="47" t="inlineStr">
        <is>
          <t>100건</t>
        </is>
      </c>
      <c r="E508" s="47" t="inlineStr">
        <is>
          <t>월 15GB + 3Mbps</t>
        </is>
      </c>
      <c r="F508" s="47" t="inlineStr">
        <is>
          <t>LG U+</t>
        </is>
      </c>
      <c r="G508" s="47" t="inlineStr">
        <is>
          <t>LTE</t>
        </is>
      </c>
      <c r="H508" s="48" t="n">
        <v>19900</v>
      </c>
      <c r="I508" s="48" t="n">
        <v>24</v>
      </c>
      <c r="J508" s="48" t="n">
        <v>33000</v>
      </c>
      <c r="K508" s="47">
        <f t="array" ref="K508">_xlfn.XLOOKUP(1,(참조!$B$2:$B$15=E508)*(참조!$D$2:$D$15=C508)*(참조!$E$2:$E$15=D508),참조!$C$2:$C$15,"")</f>
        <v/>
      </c>
    </row>
    <row r="509" hidden="1" s="27">
      <c r="A509" s="47" t="inlineStr">
        <is>
          <t>KG모바일</t>
        </is>
      </c>
      <c r="B509" s="47" t="inlineStr">
        <is>
          <t>[모빌카드 스페셜] 유심 5G 95GB+</t>
        </is>
      </c>
      <c r="C509" s="47" t="inlineStr">
        <is>
          <t>무제한</t>
        </is>
      </c>
      <c r="D509" s="47" t="inlineStr">
        <is>
          <t>무제한</t>
        </is>
      </c>
      <c r="E509" s="47" t="inlineStr">
        <is>
          <t>월 95GB + 3Mbps</t>
        </is>
      </c>
      <c r="F509" s="47" t="inlineStr">
        <is>
          <t>LG U+</t>
        </is>
      </c>
      <c r="G509" s="47" t="inlineStr">
        <is>
          <t>5G</t>
        </is>
      </c>
      <c r="H509" s="48" t="n">
        <v>14000</v>
      </c>
      <c r="I509" s="48" t="n">
        <v>7</v>
      </c>
      <c r="J509" s="48" t="n">
        <v>49500</v>
      </c>
      <c r="K509" s="47">
        <f t="array" ref="K509">_xlfn.XLOOKUP(1,(참조!$B$2:$B$15=E509)*(참조!$D$2:$D$15=C509)*(참조!$E$2:$E$15=D509),참조!$C$2:$C$15,"")</f>
        <v/>
      </c>
    </row>
    <row r="510" hidden="1" s="27">
      <c r="A510" s="47" t="inlineStr">
        <is>
          <t>찬스모바일</t>
        </is>
      </c>
      <c r="B510" s="47" t="inlineStr">
        <is>
          <t>실속 10GB+1Mbps</t>
        </is>
      </c>
      <c r="C510" s="47" t="inlineStr">
        <is>
          <t>200분</t>
        </is>
      </c>
      <c r="D510" s="47" t="inlineStr">
        <is>
          <t>100건</t>
        </is>
      </c>
      <c r="E510" s="47" t="inlineStr">
        <is>
          <t>월 10GB + 1Mbps</t>
        </is>
      </c>
      <c r="F510" s="47" t="inlineStr">
        <is>
          <t>LG U+</t>
        </is>
      </c>
      <c r="G510" s="47" t="inlineStr">
        <is>
          <t>LTE</t>
        </is>
      </c>
      <c r="H510" s="48" t="n">
        <v>1100</v>
      </c>
      <c r="I510" s="48" t="n">
        <v>6</v>
      </c>
      <c r="J510" s="48" t="n">
        <v>14300</v>
      </c>
      <c r="K510" s="47">
        <f t="array" ref="K510">_xlfn.XLOOKUP(1,(참조!$B$2:$B$15=E510)*(참조!$D$2:$D$15=C510)*(참조!$E$2:$E$15=D510),참조!$C$2:$C$15,"")</f>
        <v/>
      </c>
    </row>
    <row r="511" hidden="1" s="27">
      <c r="A511" s="47" t="inlineStr">
        <is>
          <t>모나</t>
        </is>
      </c>
      <c r="B511" s="47" t="inlineStr">
        <is>
          <t>5G_신한카드_기본95G안심3</t>
        </is>
      </c>
      <c r="C511" s="47" t="inlineStr">
        <is>
          <t>무제한</t>
        </is>
      </c>
      <c r="D511" s="47" t="inlineStr">
        <is>
          <t>무제한</t>
        </is>
      </c>
      <c r="E511" s="47" t="inlineStr">
        <is>
          <t>월 95GB + 3Mbps</t>
        </is>
      </c>
      <c r="F511" s="47" t="inlineStr">
        <is>
          <t>LG U+</t>
        </is>
      </c>
      <c r="G511" s="47" t="inlineStr">
        <is>
          <t>5G</t>
        </is>
      </c>
      <c r="H511" s="48" t="n">
        <v>26900</v>
      </c>
      <c r="I511" s="48" t="n">
        <v>24</v>
      </c>
      <c r="J511" s="48" t="n">
        <v>55000</v>
      </c>
      <c r="K511" s="47">
        <f t="array" ref="K511">_xlfn.XLOOKUP(1,(참조!$B$2:$B$15=E511)*(참조!$D$2:$D$15=C511)*(참조!$E$2:$E$15=D511),참조!$C$2:$C$15,"")</f>
        <v/>
      </c>
    </row>
    <row r="512" hidden="1" s="27">
      <c r="A512" s="47" t="inlineStr">
        <is>
          <t>티플러스</t>
        </is>
      </c>
      <c r="B512" s="47" t="inlineStr">
        <is>
          <t>5G 티플 10GB(10GB/300분)_평생요금</t>
        </is>
      </c>
      <c r="C512" s="47" t="inlineStr">
        <is>
          <t>300분</t>
        </is>
      </c>
      <c r="D512" s="47" t="inlineStr">
        <is>
          <t>100건</t>
        </is>
      </c>
      <c r="E512" s="47" t="inlineStr">
        <is>
          <t>월 10GB</t>
        </is>
      </c>
      <c r="F512" s="47" t="inlineStr">
        <is>
          <t>SKT</t>
        </is>
      </c>
      <c r="G512" s="47" t="inlineStr">
        <is>
          <t>5G</t>
        </is>
      </c>
      <c r="H512" s="48" t="n">
        <v>8990</v>
      </c>
      <c r="I512" s="48" t="n"/>
      <c r="J512" s="48" t="n"/>
      <c r="K512" s="47">
        <f t="array" ref="K512">_xlfn.XLOOKUP(1,(참조!$B$2:$B$15=E512)*(참조!$D$2:$D$15=C512)*(참조!$E$2:$E$15=D512),참조!$C$2:$C$15,"")</f>
        <v/>
      </c>
    </row>
    <row r="513" hidden="1" s="27">
      <c r="A513" s="47" t="inlineStr">
        <is>
          <t>티플러스</t>
        </is>
      </c>
      <c r="B513" s="47" t="inlineStr">
        <is>
          <t>5G 티플 15GB(15GB/300분)</t>
        </is>
      </c>
      <c r="C513" s="47" t="inlineStr">
        <is>
          <t>300분</t>
        </is>
      </c>
      <c r="D513" s="47" t="inlineStr">
        <is>
          <t>100건</t>
        </is>
      </c>
      <c r="E513" s="47" t="inlineStr">
        <is>
          <t>월 15GB</t>
        </is>
      </c>
      <c r="F513" s="47" t="inlineStr">
        <is>
          <t>SKT</t>
        </is>
      </c>
      <c r="G513" s="47" t="inlineStr">
        <is>
          <t>5G</t>
        </is>
      </c>
      <c r="H513" s="48" t="n">
        <v>8800</v>
      </c>
      <c r="I513" s="48" t="n">
        <v>4</v>
      </c>
      <c r="J513" s="48" t="n">
        <v>22000</v>
      </c>
      <c r="K513" s="47">
        <f t="array" ref="K513">_xlfn.XLOOKUP(1,(참조!$B$2:$B$15=E513)*(참조!$D$2:$D$15=C513)*(참조!$E$2:$E$15=D513),참조!$C$2:$C$15,"")</f>
        <v/>
      </c>
    </row>
    <row r="514" hidden="1" s="27">
      <c r="A514" s="47" t="inlineStr">
        <is>
          <t>KG모바일</t>
        </is>
      </c>
      <c r="B514" s="47" t="inlineStr">
        <is>
          <t>[평생할인] 유심 5G 95GB+</t>
        </is>
      </c>
      <c r="C514" s="47" t="inlineStr">
        <is>
          <t>무제한</t>
        </is>
      </c>
      <c r="D514" s="47" t="inlineStr">
        <is>
          <t>무제한</t>
        </is>
      </c>
      <c r="E514" s="47" t="inlineStr">
        <is>
          <t>월 95GB + 3Mbps</t>
        </is>
      </c>
      <c r="F514" s="47" t="inlineStr">
        <is>
          <t>LG U+</t>
        </is>
      </c>
      <c r="G514" s="47" t="inlineStr">
        <is>
          <t>5G</t>
        </is>
      </c>
      <c r="H514" s="48" t="n">
        <v>33500</v>
      </c>
      <c r="I514" s="48" t="n"/>
      <c r="J514" s="48" t="n"/>
      <c r="K514" s="47">
        <f t="array" ref="K514">_xlfn.XLOOKUP(1,(참조!$B$2:$B$15=E514)*(참조!$D$2:$D$15=C514)*(참조!$E$2:$E$15=D514),참조!$C$2:$C$15,"")</f>
        <v/>
      </c>
    </row>
    <row r="515" hidden="1" s="27">
      <c r="A515" s="47" t="inlineStr">
        <is>
          <t>이야기모바일</t>
        </is>
      </c>
      <c r="B515" s="47" t="inlineStr">
        <is>
          <t>이야기 K 데이터 100GB+(밀리의서재)</t>
        </is>
      </c>
      <c r="C515" s="47" t="inlineStr">
        <is>
          <t>무제한</t>
        </is>
      </c>
      <c r="D515" s="47" t="inlineStr">
        <is>
          <t>무제한</t>
        </is>
      </c>
      <c r="E515" s="47" t="inlineStr">
        <is>
          <t>월 100GB + 5Mbps</t>
        </is>
      </c>
      <c r="F515" s="47" t="inlineStr">
        <is>
          <t>KT</t>
        </is>
      </c>
      <c r="G515" s="47" t="inlineStr">
        <is>
          <t>LTE</t>
        </is>
      </c>
      <c r="H515" s="48" t="n">
        <v>29900</v>
      </c>
      <c r="I515" s="48" t="n">
        <v>18</v>
      </c>
      <c r="J515" s="48" t="n">
        <v>49200</v>
      </c>
      <c r="K515" s="47">
        <f t="array" ref="K515">_xlfn.XLOOKUP(1,(참조!$B$2:$B$15=E515)*(참조!$D$2:$D$15=C515)*(참조!$E$2:$E$15=D515),참조!$C$2:$C$15,"")</f>
        <v/>
      </c>
    </row>
    <row r="516" hidden="1" s="27">
      <c r="A516" s="47" t="inlineStr">
        <is>
          <t>KG모바일</t>
        </is>
      </c>
      <c r="B516" s="47" t="inlineStr">
        <is>
          <t>[모빌카드 스페셜] 통화, 데이터 마음대로 11GB+</t>
        </is>
      </c>
      <c r="C516" s="47" t="inlineStr">
        <is>
          <t>무제한</t>
        </is>
      </c>
      <c r="D516" s="47" t="inlineStr">
        <is>
          <t>무제한</t>
        </is>
      </c>
      <c r="E516" s="47" t="inlineStr">
        <is>
          <t>월 11GB + 매일 2GB + 3Mbps</t>
        </is>
      </c>
      <c r="F516" s="47" t="inlineStr">
        <is>
          <t>LG U+</t>
        </is>
      </c>
      <c r="G516" s="47" t="inlineStr">
        <is>
          <t>LTE</t>
        </is>
      </c>
      <c r="H516" s="48" t="n">
        <v>15000</v>
      </c>
      <c r="I516" s="48" t="n">
        <v>7</v>
      </c>
      <c r="J516" s="48" t="n">
        <v>41800</v>
      </c>
      <c r="K516" s="47">
        <f t="array" ref="K516">_xlfn.XLOOKUP(1,(참조!$B$2:$B$15=E516)*(참조!$D$2:$D$15=C516)*(참조!$E$2:$E$15=D516),참조!$C$2:$C$15,"")</f>
        <v/>
      </c>
    </row>
    <row r="517" hidden="1" s="27">
      <c r="A517" s="47" t="inlineStr">
        <is>
          <t>이야기모바일</t>
        </is>
      </c>
      <c r="B517" s="47" t="inlineStr">
        <is>
          <t>함께이야기해S(100분+20GB)</t>
        </is>
      </c>
      <c r="C517" s="47" t="inlineStr">
        <is>
          <t>100분</t>
        </is>
      </c>
      <c r="D517" s="47" t="inlineStr">
        <is>
          <t>200건</t>
        </is>
      </c>
      <c r="E517" s="47" t="inlineStr">
        <is>
          <t>월 20GB</t>
        </is>
      </c>
      <c r="F517" s="47" t="inlineStr">
        <is>
          <t>SKT</t>
        </is>
      </c>
      <c r="G517" s="47" t="inlineStr">
        <is>
          <t>LTE</t>
        </is>
      </c>
      <c r="H517" s="48" t="n">
        <v>15400</v>
      </c>
      <c r="I517" s="48" t="n">
        <v>12</v>
      </c>
      <c r="J517" s="48" t="n">
        <v>23100</v>
      </c>
      <c r="K517" s="47">
        <f t="array" ref="K517">_xlfn.XLOOKUP(1,(참조!$B$2:$B$15=E517)*(참조!$D$2:$D$15=C517)*(참조!$E$2:$E$15=D517),참조!$C$2:$C$15,"")</f>
        <v/>
      </c>
    </row>
    <row r="518" hidden="1" s="27">
      <c r="A518" s="47" t="inlineStr">
        <is>
          <t>LG헬로모바일</t>
        </is>
      </c>
      <c r="B518" s="47" t="inlineStr">
        <is>
          <t>The 착한 데이터 유심 11GB</t>
        </is>
      </c>
      <c r="C518" s="47" t="inlineStr">
        <is>
          <t>무제한</t>
        </is>
      </c>
      <c r="D518" s="47" t="inlineStr">
        <is>
          <t>무제한</t>
        </is>
      </c>
      <c r="E518" s="47" t="inlineStr">
        <is>
          <t>월 11GB + 매일 2GB + 3Mbps</t>
        </is>
      </c>
      <c r="F518" s="47" t="inlineStr">
        <is>
          <t>LG U+</t>
        </is>
      </c>
      <c r="G518" s="47" t="inlineStr">
        <is>
          <t>LTE</t>
        </is>
      </c>
      <c r="H518" s="48" t="n">
        <v>32990</v>
      </c>
      <c r="I518" s="48" t="n"/>
      <c r="J518" s="48" t="n"/>
      <c r="K518" s="47">
        <f t="array" ref="K518">_xlfn.XLOOKUP(1,(참조!$B$2:$B$15=E518)*(참조!$D$2:$D$15=C518)*(참조!$E$2:$E$15=D518),참조!$C$2:$C$15,"")</f>
        <v/>
      </c>
    </row>
    <row r="519" hidden="1" s="27">
      <c r="A519" s="47" t="inlineStr">
        <is>
          <t>찬스모바일</t>
        </is>
      </c>
      <c r="B519" s="47" t="inlineStr">
        <is>
          <t>5G 음성기본 95GB+3Mbps_24개월</t>
        </is>
      </c>
      <c r="C519" s="47" t="inlineStr">
        <is>
          <t>무제한</t>
        </is>
      </c>
      <c r="D519" s="47" t="inlineStr">
        <is>
          <t>무제한</t>
        </is>
      </c>
      <c r="E519" s="47" t="inlineStr">
        <is>
          <t>월 95GB + 3Mbps</t>
        </is>
      </c>
      <c r="F519" s="47" t="inlineStr">
        <is>
          <t>LG U+</t>
        </is>
      </c>
      <c r="G519" s="47" t="inlineStr">
        <is>
          <t>5G</t>
        </is>
      </c>
      <c r="H519" s="48" t="n">
        <v>28200</v>
      </c>
      <c r="I519" s="48" t="n">
        <v>24</v>
      </c>
      <c r="J519" s="48" t="n">
        <v>49500</v>
      </c>
      <c r="K519" s="47">
        <f t="array" ref="K519">_xlfn.XLOOKUP(1,(참조!$B$2:$B$15=E519)*(참조!$D$2:$D$15=C519)*(참조!$E$2:$E$15=D519),참조!$C$2:$C$15,"")</f>
        <v/>
      </c>
    </row>
    <row r="520" hidden="1" s="27">
      <c r="A520" s="47" t="inlineStr">
        <is>
          <t>티플러스</t>
        </is>
      </c>
      <c r="B520" s="47" t="inlineStr">
        <is>
          <t>완전마음껏 11GB＋＋(멜론 매월 6900P)</t>
        </is>
      </c>
      <c r="C520" s="47" t="inlineStr">
        <is>
          <t>무제한</t>
        </is>
      </c>
      <c r="D520" s="47" t="inlineStr">
        <is>
          <t>무제한</t>
        </is>
      </c>
      <c r="E520" s="47" t="inlineStr">
        <is>
          <t>월 11GB + 매일 2GB + 3Mbps</t>
        </is>
      </c>
      <c r="F520" s="47" t="inlineStr">
        <is>
          <t>KT</t>
        </is>
      </c>
      <c r="G520" s="47" t="inlineStr">
        <is>
          <t>LTE</t>
        </is>
      </c>
      <c r="H520" s="48" t="n">
        <v>13900</v>
      </c>
      <c r="I520" s="48" t="n">
        <v>7</v>
      </c>
      <c r="J520" s="48" t="n">
        <v>44800</v>
      </c>
      <c r="K520" s="47">
        <f t="array" ref="K520">_xlfn.XLOOKUP(1,(참조!$B$2:$B$15=E520)*(참조!$D$2:$D$15=C520)*(참조!$E$2:$E$15=D520),참조!$C$2:$C$15,"")</f>
        <v/>
      </c>
    </row>
    <row r="521" hidden="1" s="27">
      <c r="A521" s="47" t="inlineStr">
        <is>
          <t>티플러스</t>
        </is>
      </c>
      <c r="B521" s="47" t="inlineStr">
        <is>
          <t>티플 11G＋(웨이브)</t>
        </is>
      </c>
      <c r="C521" s="47" t="inlineStr">
        <is>
          <t>무제한</t>
        </is>
      </c>
      <c r="D521" s="47" t="inlineStr">
        <is>
          <t>무제한</t>
        </is>
      </c>
      <c r="E521" s="47" t="inlineStr">
        <is>
          <t>월 11GB + 매일 2GB + 3Mbps</t>
        </is>
      </c>
      <c r="F521" s="47" t="inlineStr">
        <is>
          <t>KT</t>
        </is>
      </c>
      <c r="G521" s="47" t="inlineStr">
        <is>
          <t>LTE</t>
        </is>
      </c>
      <c r="H521" s="48" t="n">
        <v>13900</v>
      </c>
      <c r="I521" s="48" t="n">
        <v>7</v>
      </c>
      <c r="J521" s="48" t="n">
        <v>50600</v>
      </c>
      <c r="K521" s="47">
        <f t="array" ref="K521">_xlfn.XLOOKUP(1,(참조!$B$2:$B$15=E521)*(참조!$D$2:$D$15=C521)*(참조!$E$2:$E$15=D521),참조!$C$2:$C$15,"")</f>
        <v/>
      </c>
    </row>
    <row r="522" hidden="1" s="27">
      <c r="A522" s="47" t="inlineStr">
        <is>
          <t>티플러스</t>
        </is>
      </c>
      <c r="B522" s="47" t="inlineStr">
        <is>
          <t>완전마음껏 11GB＋＋(배달의민족 매월 5000P)</t>
        </is>
      </c>
      <c r="C522" s="47" t="inlineStr">
        <is>
          <t>무제한</t>
        </is>
      </c>
      <c r="D522" s="47" t="inlineStr">
        <is>
          <t>무제한</t>
        </is>
      </c>
      <c r="E522" s="47" t="inlineStr">
        <is>
          <t>월 11GB + 매일 2GB + 3Mbps</t>
        </is>
      </c>
      <c r="F522" s="47" t="inlineStr">
        <is>
          <t>KT</t>
        </is>
      </c>
      <c r="G522" s="47" t="inlineStr">
        <is>
          <t>LTE</t>
        </is>
      </c>
      <c r="H522" s="48" t="n">
        <v>13900</v>
      </c>
      <c r="I522" s="48" t="n">
        <v>7</v>
      </c>
      <c r="J522" s="48" t="n">
        <v>40900</v>
      </c>
      <c r="K522" s="47">
        <f t="array" ref="K522">_xlfn.XLOOKUP(1,(참조!$B$2:$B$15=E522)*(참조!$D$2:$D$15=C522)*(참조!$E$2:$E$15=D522),참조!$C$2:$C$15,"")</f>
        <v/>
      </c>
    </row>
    <row r="523" hidden="1" s="27">
      <c r="A523" s="47" t="inlineStr">
        <is>
          <t>티플러스</t>
        </is>
      </c>
      <c r="B523" s="47" t="inlineStr">
        <is>
          <t>완전마음껏 11GB＋＋(왓챠 베이직 매월 무료)</t>
        </is>
      </c>
      <c r="C523" s="47" t="inlineStr">
        <is>
          <t>무제한</t>
        </is>
      </c>
      <c r="D523" s="47" t="inlineStr">
        <is>
          <t>무제한</t>
        </is>
      </c>
      <c r="E523" s="47" t="inlineStr">
        <is>
          <t>월 11GB + 매일 2GB + 3Mbps</t>
        </is>
      </c>
      <c r="F523" s="47" t="inlineStr">
        <is>
          <t>KT</t>
        </is>
      </c>
      <c r="G523" s="47" t="inlineStr">
        <is>
          <t>LTE</t>
        </is>
      </c>
      <c r="H523" s="48" t="n">
        <v>13900</v>
      </c>
      <c r="I523" s="48" t="n">
        <v>7</v>
      </c>
      <c r="J523" s="48" t="n">
        <v>44400</v>
      </c>
      <c r="K523" s="47">
        <f t="array" ref="K523">_xlfn.XLOOKUP(1,(참조!$B$2:$B$15=E523)*(참조!$D$2:$D$15=C523)*(참조!$E$2:$E$15=D523),참조!$C$2:$C$15,"")</f>
        <v/>
      </c>
    </row>
    <row r="524" hidden="1" s="27">
      <c r="A524" s="47" t="inlineStr">
        <is>
          <t>쉐이크모바일</t>
        </is>
      </c>
      <c r="B524" s="47" t="inlineStr">
        <is>
          <t>[모요only] 쉐이크 LTE 7GB+_네이버페이 매 월 5,000원</t>
        </is>
      </c>
      <c r="C524" s="47" t="inlineStr">
        <is>
          <t>무제한</t>
        </is>
      </c>
      <c r="D524" s="47" t="inlineStr">
        <is>
          <t>무제한</t>
        </is>
      </c>
      <c r="E524" s="47" t="inlineStr">
        <is>
          <t>월 7GB + 1Mbps</t>
        </is>
      </c>
      <c r="F524" s="47" t="inlineStr">
        <is>
          <t>KT</t>
        </is>
      </c>
      <c r="G524" s="47" t="inlineStr">
        <is>
          <t>LTE</t>
        </is>
      </c>
      <c r="H524" s="48" t="n">
        <v>5000</v>
      </c>
      <c r="I524" s="48" t="n">
        <v>7</v>
      </c>
      <c r="J524" s="48" t="n">
        <v>39600</v>
      </c>
      <c r="K524" s="47">
        <f t="array" ref="K524">_xlfn.XLOOKUP(1,(참조!$B$2:$B$15=E524)*(참조!$D$2:$D$15=C524)*(참조!$E$2:$E$15=D524),참조!$C$2:$C$15,"")</f>
        <v/>
      </c>
    </row>
    <row r="525" hidden="1" s="27">
      <c r="A525" s="47" t="inlineStr">
        <is>
          <t>더원모바일</t>
        </is>
      </c>
      <c r="B525" s="47" t="inlineStr">
        <is>
          <t>ONE 12GB 100분</t>
        </is>
      </c>
      <c r="C525" s="47" t="inlineStr">
        <is>
          <t>100분</t>
        </is>
      </c>
      <c r="D525" s="47" t="inlineStr">
        <is>
          <t>100건</t>
        </is>
      </c>
      <c r="E525" s="47" t="inlineStr">
        <is>
          <t>월 12GB</t>
        </is>
      </c>
      <c r="F525" s="47" t="inlineStr">
        <is>
          <t>KT</t>
        </is>
      </c>
      <c r="G525" s="47" t="inlineStr">
        <is>
          <t>LTE</t>
        </is>
      </c>
      <c r="H525" s="48" t="n">
        <v>110</v>
      </c>
      <c r="I525" s="48" t="n">
        <v>6</v>
      </c>
      <c r="J525" s="48" t="n">
        <v>18700</v>
      </c>
      <c r="K525" s="47">
        <f t="array" ref="K525">_xlfn.XLOOKUP(1,(참조!$B$2:$B$15=E525)*(참조!$D$2:$D$15=C525)*(참조!$E$2:$E$15=D525),참조!$C$2:$C$15,"")</f>
        <v/>
      </c>
    </row>
    <row r="526" hidden="1" s="27">
      <c r="A526" s="47" t="inlineStr">
        <is>
          <t>스마텔</t>
        </is>
      </c>
      <c r="B526" s="47" t="inlineStr">
        <is>
          <t>스마트 11GB+ (24개월)</t>
        </is>
      </c>
      <c r="C526" s="47" t="inlineStr">
        <is>
          <t>무제한</t>
        </is>
      </c>
      <c r="D526" s="47" t="inlineStr">
        <is>
          <t>무제한</t>
        </is>
      </c>
      <c r="E526" s="47" t="inlineStr">
        <is>
          <t>월 11GB + 매일 2GB + 3Mbps</t>
        </is>
      </c>
      <c r="F526" s="47" t="inlineStr">
        <is>
          <t>LG U+</t>
        </is>
      </c>
      <c r="G526" s="47" t="inlineStr">
        <is>
          <t>LTE</t>
        </is>
      </c>
      <c r="H526" s="48" t="n">
        <v>28000</v>
      </c>
      <c r="I526" s="48" t="n">
        <v>24</v>
      </c>
      <c r="J526" s="48" t="n">
        <v>40700</v>
      </c>
      <c r="K526" s="47">
        <f t="array" ref="K526">_xlfn.XLOOKUP(1,(참조!$B$2:$B$15=E526)*(참조!$D$2:$D$15=C526)*(참조!$E$2:$E$15=D526),참조!$C$2:$C$15,"")</f>
        <v/>
      </c>
    </row>
    <row r="527" hidden="1" s="27">
      <c r="A527" s="47" t="inlineStr">
        <is>
          <t>고고모바일</t>
        </is>
      </c>
      <c r="B527" s="47" t="inlineStr">
        <is>
          <t>고고100분/1GB-데이터소진후 자동차단</t>
        </is>
      </c>
      <c r="C527" s="47" t="inlineStr">
        <is>
          <t>100분</t>
        </is>
      </c>
      <c r="D527" s="47" t="inlineStr">
        <is>
          <t>100건</t>
        </is>
      </c>
      <c r="E527" s="47" t="inlineStr">
        <is>
          <t>월 1GB</t>
        </is>
      </c>
      <c r="F527" s="47" t="inlineStr">
        <is>
          <t>KT</t>
        </is>
      </c>
      <c r="G527" s="47" t="inlineStr">
        <is>
          <t>LTE</t>
        </is>
      </c>
      <c r="H527" s="48" t="n">
        <v>5500</v>
      </c>
      <c r="I527" s="48" t="n"/>
      <c r="J527" s="48" t="n"/>
      <c r="K527" s="47">
        <f t="array" ref="K527">_xlfn.XLOOKUP(1,(참조!$B$2:$B$15=E527)*(참조!$D$2:$D$15=C527)*(참조!$E$2:$E$15=D527),참조!$C$2:$C$15,"")</f>
        <v/>
      </c>
    </row>
    <row r="528" hidden="1" s="27">
      <c r="A528" s="47" t="inlineStr">
        <is>
          <t>스마텔</t>
        </is>
      </c>
      <c r="B528" s="47" t="inlineStr">
        <is>
          <t>USIM 스마트 (200분/5GB+)</t>
        </is>
      </c>
      <c r="C528" s="47" t="inlineStr">
        <is>
          <t>200분</t>
        </is>
      </c>
      <c r="D528" s="47" t="inlineStr">
        <is>
          <t>100건</t>
        </is>
      </c>
      <c r="E528" s="47" t="inlineStr">
        <is>
          <t>월 5GB + 1Mbps</t>
        </is>
      </c>
      <c r="F528" s="47" t="inlineStr">
        <is>
          <t>LG U+</t>
        </is>
      </c>
      <c r="G528" s="47" t="inlineStr">
        <is>
          <t>LTE</t>
        </is>
      </c>
      <c r="H528" s="48" t="n">
        <v>3000</v>
      </c>
      <c r="I528" s="48" t="n">
        <v>12</v>
      </c>
      <c r="J528" s="48" t="n">
        <v>15400</v>
      </c>
      <c r="K528" s="47">
        <f t="array" ref="K528">_xlfn.XLOOKUP(1,(참조!$B$2:$B$15=E528)*(참조!$D$2:$D$15=C528)*(참조!$E$2:$E$15=D528),참조!$C$2:$C$15,"")</f>
        <v/>
      </c>
    </row>
    <row r="529" hidden="1" s="27">
      <c r="A529" s="47" t="inlineStr">
        <is>
          <t>더원모바일</t>
        </is>
      </c>
      <c r="B529" s="47" t="inlineStr">
        <is>
          <t>TOP 15GB 300분 (다이소)</t>
        </is>
      </c>
      <c r="C529" s="47" t="inlineStr">
        <is>
          <t>300분</t>
        </is>
      </c>
      <c r="D529" s="47" t="inlineStr">
        <is>
          <t>300건</t>
        </is>
      </c>
      <c r="E529" s="47" t="inlineStr">
        <is>
          <t>월 15GB + 3Mbps</t>
        </is>
      </c>
      <c r="F529" s="47" t="inlineStr">
        <is>
          <t>KT</t>
        </is>
      </c>
      <c r="G529" s="47" t="inlineStr">
        <is>
          <t>LTE</t>
        </is>
      </c>
      <c r="H529" s="48" t="n">
        <v>8250</v>
      </c>
      <c r="I529" s="48" t="n">
        <v>7</v>
      </c>
      <c r="J529" s="48" t="n">
        <v>38500</v>
      </c>
      <c r="K529" s="47">
        <f t="array" ref="K529">_xlfn.XLOOKUP(1,(참조!$B$2:$B$15=E529)*(참조!$D$2:$D$15=C529)*(참조!$E$2:$E$15=D529),참조!$C$2:$C$15,"")</f>
        <v/>
      </c>
    </row>
    <row r="530" hidden="1" s="27">
      <c r="A530" s="47" t="inlineStr">
        <is>
          <t>KG모바일</t>
        </is>
      </c>
      <c r="B530" s="47" t="inlineStr">
        <is>
          <t>[일반] 실속 (7GB/100분)</t>
        </is>
      </c>
      <c r="C530" s="47" t="inlineStr">
        <is>
          <t>100분</t>
        </is>
      </c>
      <c r="D530" s="47" t="inlineStr">
        <is>
          <t>100건</t>
        </is>
      </c>
      <c r="E530" s="47" t="inlineStr">
        <is>
          <t>월 7GB</t>
        </is>
      </c>
      <c r="F530" s="47" t="inlineStr">
        <is>
          <t>LG U+</t>
        </is>
      </c>
      <c r="G530" s="47" t="inlineStr">
        <is>
          <t>LTE</t>
        </is>
      </c>
      <c r="H530" s="48" t="n">
        <v>2000</v>
      </c>
      <c r="I530" s="48" t="n">
        <v>6</v>
      </c>
      <c r="J530" s="48" t="n">
        <v>13200</v>
      </c>
      <c r="K530" s="47">
        <f t="array" ref="K530">_xlfn.XLOOKUP(1,(참조!$B$2:$B$15=E530)*(참조!$D$2:$D$15=C530)*(참조!$E$2:$E$15=D530),참조!$C$2:$C$15,"")</f>
        <v/>
      </c>
    </row>
    <row r="531" hidden="1" s="27">
      <c r="A531" s="47" t="inlineStr">
        <is>
          <t>KG모바일</t>
        </is>
      </c>
      <c r="B531" s="47" t="inlineStr">
        <is>
          <t>[평생할인] 통화, 데이터 마음대로 7GB+</t>
        </is>
      </c>
      <c r="C531" s="47" t="inlineStr">
        <is>
          <t>무제한</t>
        </is>
      </c>
      <c r="D531" s="47" t="inlineStr">
        <is>
          <t>무제한</t>
        </is>
      </c>
      <c r="E531" s="47" t="inlineStr">
        <is>
          <t>월 7GB + 1Mbps</t>
        </is>
      </c>
      <c r="F531" s="47" t="inlineStr">
        <is>
          <t>LG U+</t>
        </is>
      </c>
      <c r="G531" s="47" t="inlineStr">
        <is>
          <t>LTE</t>
        </is>
      </c>
      <c r="H531" s="48" t="n">
        <v>14900</v>
      </c>
      <c r="I531" s="48" t="n"/>
      <c r="J531" s="48" t="n"/>
      <c r="K531" s="47">
        <f t="array" ref="K531">_xlfn.XLOOKUP(1,(참조!$B$2:$B$15=E531)*(참조!$D$2:$D$15=C531)*(참조!$E$2:$E$15=D531),참조!$C$2:$C$15,"")</f>
        <v/>
      </c>
    </row>
    <row r="532" hidden="1" s="27">
      <c r="A532" s="47" t="inlineStr">
        <is>
          <t>더원모바일</t>
        </is>
      </c>
      <c r="B532" s="47" t="inlineStr">
        <is>
          <t>TOP 100GB 기본 (올리브영)</t>
        </is>
      </c>
      <c r="C532" s="47" t="inlineStr">
        <is>
          <t>무제한</t>
        </is>
      </c>
      <c r="D532" s="47" t="inlineStr">
        <is>
          <t>무제한</t>
        </is>
      </c>
      <c r="E532" s="47" t="inlineStr">
        <is>
          <t>월 100GB + 5Mbps</t>
        </is>
      </c>
      <c r="F532" s="47" t="inlineStr">
        <is>
          <t>KT</t>
        </is>
      </c>
      <c r="G532" s="47" t="inlineStr">
        <is>
          <t>LTE</t>
        </is>
      </c>
      <c r="H532" s="48" t="n">
        <v>15070</v>
      </c>
      <c r="I532" s="48" t="n">
        <v>7</v>
      </c>
      <c r="J532" s="48" t="n">
        <v>46200</v>
      </c>
      <c r="K532" s="47">
        <f t="array" ref="K532">_xlfn.XLOOKUP(1,(참조!$B$2:$B$15=E532)*(참조!$D$2:$D$15=C532)*(참조!$E$2:$E$15=D532),참조!$C$2:$C$15,"")</f>
        <v/>
      </c>
    </row>
    <row r="533" hidden="1" s="27">
      <c r="A533" s="47" t="inlineStr">
        <is>
          <t>KG모바일</t>
        </is>
      </c>
      <c r="B533" s="47" t="inlineStr">
        <is>
          <t>[모요 전용] 통화, 데이터 마음대로 11GB+</t>
        </is>
      </c>
      <c r="C533" s="47" t="inlineStr">
        <is>
          <t>무제한</t>
        </is>
      </c>
      <c r="D533" s="47" t="inlineStr">
        <is>
          <t>무제한</t>
        </is>
      </c>
      <c r="E533" s="47" t="inlineStr">
        <is>
          <t>월 11GB + 매일 2GB + 3Mbps</t>
        </is>
      </c>
      <c r="F533" s="47" t="inlineStr">
        <is>
          <t>LG U+</t>
        </is>
      </c>
      <c r="G533" s="47" t="inlineStr">
        <is>
          <t>LTE</t>
        </is>
      </c>
      <c r="H533" s="48" t="n">
        <v>15000</v>
      </c>
      <c r="I533" s="48" t="n">
        <v>7</v>
      </c>
      <c r="J533" s="48" t="n">
        <v>34960</v>
      </c>
      <c r="K533" s="47">
        <f t="array" ref="K533">_xlfn.XLOOKUP(1,(참조!$B$2:$B$15=E533)*(참조!$D$2:$D$15=C533)*(참조!$E$2:$E$15=D533),참조!$C$2:$C$15,"")</f>
        <v/>
      </c>
    </row>
    <row r="534" hidden="1" s="27">
      <c r="A534" s="47" t="inlineStr">
        <is>
          <t>찬스모바일</t>
        </is>
      </c>
      <c r="B534" s="47" t="inlineStr">
        <is>
          <t>음성기본 매일 5GB+_24개월</t>
        </is>
      </c>
      <c r="C534" s="47" t="inlineStr">
        <is>
          <t>무제한</t>
        </is>
      </c>
      <c r="D534" s="47" t="inlineStr">
        <is>
          <t>무제한</t>
        </is>
      </c>
      <c r="E534" s="47" t="inlineStr">
        <is>
          <t>매일 5GB + 5Mbps</t>
        </is>
      </c>
      <c r="F534" s="47" t="inlineStr">
        <is>
          <t>LG U+</t>
        </is>
      </c>
      <c r="G534" s="47" t="inlineStr">
        <is>
          <t>LTE</t>
        </is>
      </c>
      <c r="H534" s="48" t="n">
        <v>29000</v>
      </c>
      <c r="I534" s="48" t="n">
        <v>24</v>
      </c>
      <c r="J534" s="48" t="n">
        <v>48400</v>
      </c>
      <c r="K534" s="47">
        <f t="array" ref="K534">_xlfn.XLOOKUP(1,(참조!$B$2:$B$15=E534)*(참조!$D$2:$D$15=C534)*(참조!$E$2:$E$15=D534),참조!$C$2:$C$15,"")</f>
        <v/>
      </c>
    </row>
    <row r="535" hidden="1" s="27">
      <c r="A535" s="47" t="inlineStr">
        <is>
          <t>고고모바일</t>
        </is>
      </c>
      <c r="B535" s="47" t="inlineStr">
        <is>
          <t>고고 LTE 100분+15GB+3M_모요</t>
        </is>
      </c>
      <c r="C535" s="47" t="inlineStr">
        <is>
          <t>100분</t>
        </is>
      </c>
      <c r="D535" s="47" t="inlineStr">
        <is>
          <t>100건</t>
        </is>
      </c>
      <c r="E535" s="47" t="inlineStr">
        <is>
          <t>월 15GB + 3Mbps</t>
        </is>
      </c>
      <c r="F535" s="47" t="inlineStr">
        <is>
          <t>SKT</t>
        </is>
      </c>
      <c r="G535" s="47" t="inlineStr">
        <is>
          <t>LTE</t>
        </is>
      </c>
      <c r="H535" s="48" t="n">
        <v>7000</v>
      </c>
      <c r="I535" s="48" t="n">
        <v>7</v>
      </c>
      <c r="J535" s="48" t="n">
        <v>30800</v>
      </c>
      <c r="K535" s="47">
        <f t="array" ref="K535">_xlfn.XLOOKUP(1,(참조!$B$2:$B$15=E535)*(참조!$D$2:$D$15=C535)*(참조!$E$2:$E$15=D535),참조!$C$2:$C$15,"")</f>
        <v/>
      </c>
    </row>
    <row r="536" hidden="1" s="27">
      <c r="A536" s="47" t="inlineStr">
        <is>
          <t>티플러스</t>
        </is>
      </c>
      <c r="B536" s="47" t="inlineStr">
        <is>
          <t>티플 100GB+(이디야커피)</t>
        </is>
      </c>
      <c r="C536" s="47" t="inlineStr">
        <is>
          <t>무제한</t>
        </is>
      </c>
      <c r="D536" s="47" t="inlineStr">
        <is>
          <t>무제한</t>
        </is>
      </c>
      <c r="E536" s="47" t="inlineStr">
        <is>
          <t>월 100GB + 5Mbps</t>
        </is>
      </c>
      <c r="F536" s="47" t="inlineStr">
        <is>
          <t>SKT</t>
        </is>
      </c>
      <c r="G536" s="47" t="inlineStr">
        <is>
          <t>LTE</t>
        </is>
      </c>
      <c r="H536" s="48" t="n">
        <v>15900</v>
      </c>
      <c r="I536" s="48" t="n">
        <v>7</v>
      </c>
      <c r="J536" s="48" t="n">
        <v>55000</v>
      </c>
      <c r="K536" s="47">
        <f t="array" ref="K536">_xlfn.XLOOKUP(1,(참조!$B$2:$B$15=E536)*(참조!$D$2:$D$15=C536)*(참조!$E$2:$E$15=D536),참조!$C$2:$C$15,"")</f>
        <v/>
      </c>
    </row>
    <row r="537" hidden="1" s="27">
      <c r="A537" s="47" t="inlineStr">
        <is>
          <t>스마텔</t>
        </is>
      </c>
      <c r="B537" s="47" t="inlineStr">
        <is>
          <t>USIM 스위트 심플(100분+5GB)</t>
        </is>
      </c>
      <c r="C537" s="47" t="inlineStr">
        <is>
          <t>100분</t>
        </is>
      </c>
      <c r="D537" s="47" t="inlineStr">
        <is>
          <t>100건</t>
        </is>
      </c>
      <c r="E537" s="47" t="inlineStr">
        <is>
          <t>월 5GB</t>
        </is>
      </c>
      <c r="F537" s="47" t="inlineStr">
        <is>
          <t>KT</t>
        </is>
      </c>
      <c r="G537" s="47" t="inlineStr">
        <is>
          <t>LTE</t>
        </is>
      </c>
      <c r="H537" s="48" t="n">
        <v>90</v>
      </c>
      <c r="I537" s="48" t="n">
        <v>7</v>
      </c>
      <c r="J537" s="48" t="n">
        <v>9900</v>
      </c>
      <c r="K537" s="47">
        <f t="array" ref="K537">_xlfn.XLOOKUP(1,(참조!$B$2:$B$15=E537)*(참조!$D$2:$D$15=C537)*(참조!$E$2:$E$15=D537),참조!$C$2:$C$15,"")</f>
        <v/>
      </c>
    </row>
    <row r="538" hidden="1" s="27">
      <c r="A538" s="47" t="inlineStr">
        <is>
          <t>인스모바일</t>
        </is>
      </c>
      <c r="B538" s="47" t="inlineStr">
        <is>
          <t>[24개월] 인스 유심 스트롱 매일 5GB+</t>
        </is>
      </c>
      <c r="C538" s="47" t="inlineStr">
        <is>
          <t>무제한</t>
        </is>
      </c>
      <c r="D538" s="47" t="inlineStr">
        <is>
          <t>무제한</t>
        </is>
      </c>
      <c r="E538" s="47" t="inlineStr">
        <is>
          <t>매일 5GB + 5Mbps</t>
        </is>
      </c>
      <c r="F538" s="47" t="inlineStr">
        <is>
          <t>LG U+</t>
        </is>
      </c>
      <c r="G538" s="47" t="inlineStr">
        <is>
          <t>LTE</t>
        </is>
      </c>
      <c r="H538" s="48" t="n">
        <v>28520</v>
      </c>
      <c r="I538" s="48" t="n">
        <v>24</v>
      </c>
      <c r="J538" s="48" t="n">
        <v>47000</v>
      </c>
      <c r="K538" s="47">
        <f t="array" ref="K538">_xlfn.XLOOKUP(1,(참조!$B$2:$B$15=E538)*(참조!$D$2:$D$15=C538)*(참조!$E$2:$E$15=D538),참조!$C$2:$C$15,"")</f>
        <v/>
      </c>
    </row>
    <row r="539" hidden="1" s="27">
      <c r="A539" s="47" t="inlineStr">
        <is>
          <t>U+유모바일</t>
        </is>
      </c>
      <c r="B539" s="47" t="inlineStr">
        <is>
          <t>[평생할인] 4GB/통화기본</t>
        </is>
      </c>
      <c r="C539" s="47" t="inlineStr">
        <is>
          <t>무제한</t>
        </is>
      </c>
      <c r="D539" s="47" t="inlineStr">
        <is>
          <t>무제한</t>
        </is>
      </c>
      <c r="E539" s="47" t="inlineStr">
        <is>
          <t>월 4GB</t>
        </is>
      </c>
      <c r="F539" s="47" t="inlineStr">
        <is>
          <t>LG U+</t>
        </is>
      </c>
      <c r="G539" s="47" t="inlineStr">
        <is>
          <t>LTE</t>
        </is>
      </c>
      <c r="H539" s="48" t="n">
        <v>7500</v>
      </c>
      <c r="I539" s="48" t="n"/>
      <c r="J539" s="48" t="n"/>
      <c r="K539" s="47">
        <f t="array" ref="K539">_xlfn.XLOOKUP(1,(참조!$B$2:$B$15=E539)*(참조!$D$2:$D$15=C539)*(참조!$E$2:$E$15=D539),참조!$C$2:$C$15,"")</f>
        <v/>
      </c>
    </row>
    <row r="540" hidden="1" s="27">
      <c r="A540" s="47" t="inlineStr">
        <is>
          <t>LG헬로모바일</t>
        </is>
      </c>
      <c r="B540" s="47" t="inlineStr">
        <is>
          <t>DATA 걱정없는 유심 15GB</t>
        </is>
      </c>
      <c r="C540" s="47" t="inlineStr">
        <is>
          <t>무제한</t>
        </is>
      </c>
      <c r="D540" s="47" t="inlineStr">
        <is>
          <t>무제한</t>
        </is>
      </c>
      <c r="E540" s="47" t="inlineStr">
        <is>
          <t>월 15GB + 1Mbps</t>
        </is>
      </c>
      <c r="F540" s="47" t="inlineStr">
        <is>
          <t>LG U+</t>
        </is>
      </c>
      <c r="G540" s="47" t="inlineStr">
        <is>
          <t>LTE</t>
        </is>
      </c>
      <c r="H540" s="48" t="n">
        <v>20950</v>
      </c>
      <c r="I540" s="48" t="n"/>
      <c r="J540" s="48" t="n"/>
      <c r="K540" s="47">
        <f t="array" ref="K540">_xlfn.XLOOKUP(1,(참조!$B$2:$B$15=E540)*(참조!$D$2:$D$15=C540)*(참조!$E$2:$E$15=D540),참조!$C$2:$C$15,"")</f>
        <v/>
      </c>
    </row>
    <row r="541" hidden="1" s="27">
      <c r="A541" s="47" t="inlineStr">
        <is>
          <t>이야기모바일</t>
        </is>
      </c>
      <c r="B541" s="47" t="inlineStr">
        <is>
          <t>5G 함께이야기해S (200분+20GB)</t>
        </is>
      </c>
      <c r="C541" s="47" t="inlineStr">
        <is>
          <t>200분</t>
        </is>
      </c>
      <c r="D541" s="47" t="inlineStr">
        <is>
          <t>100건</t>
        </is>
      </c>
      <c r="E541" s="47" t="inlineStr">
        <is>
          <t>월 20GB</t>
        </is>
      </c>
      <c r="F541" s="47" t="inlineStr">
        <is>
          <t>SKT</t>
        </is>
      </c>
      <c r="G541" s="47" t="inlineStr">
        <is>
          <t>5G</t>
        </is>
      </c>
      <c r="H541" s="48" t="n">
        <v>18700</v>
      </c>
      <c r="I541" s="48" t="n"/>
      <c r="J541" s="48" t="n"/>
      <c r="K541" s="47">
        <f t="array" ref="K541">_xlfn.XLOOKUP(1,(참조!$B$2:$B$15=E541)*(참조!$D$2:$D$15=C541)*(참조!$E$2:$E$15=D541),참조!$C$2:$C$15,"")</f>
        <v/>
      </c>
    </row>
    <row r="542" hidden="1" s="27">
      <c r="A542" s="47" t="inlineStr">
        <is>
          <t>이야기모바일</t>
        </is>
      </c>
      <c r="B542" s="47" t="inlineStr">
        <is>
          <t>이야기S 라이프케어 71GB+</t>
        </is>
      </c>
      <c r="C542" s="47" t="inlineStr">
        <is>
          <t>무제한</t>
        </is>
      </c>
      <c r="D542" s="47" t="inlineStr">
        <is>
          <t>무제한</t>
        </is>
      </c>
      <c r="E542" s="47" t="inlineStr">
        <is>
          <t>월 11GB + 매일 2GB + 3Mbps</t>
        </is>
      </c>
      <c r="F542" s="47" t="inlineStr">
        <is>
          <t>SKT</t>
        </is>
      </c>
      <c r="G542" s="47" t="inlineStr">
        <is>
          <t>LTE</t>
        </is>
      </c>
      <c r="H542" s="48" t="n">
        <v>14500</v>
      </c>
      <c r="I542" s="48" t="n">
        <v>7</v>
      </c>
      <c r="J542" s="48" t="n">
        <v>39600</v>
      </c>
      <c r="K542" s="47">
        <f t="array" ref="K542">_xlfn.XLOOKUP(1,(참조!$B$2:$B$15=E542)*(참조!$D$2:$D$15=C542)*(참조!$E$2:$E$15=D542),참조!$C$2:$C$15,"")</f>
        <v/>
      </c>
    </row>
    <row r="543" hidden="1" s="27">
      <c r="A543" s="47" t="inlineStr">
        <is>
          <t>티플러스</t>
        </is>
      </c>
      <c r="B543" s="47" t="inlineStr">
        <is>
          <t>The 완전마음껏11G＋(스타벅스 매월 5000P)</t>
        </is>
      </c>
      <c r="C543" s="47" t="inlineStr">
        <is>
          <t>무제한</t>
        </is>
      </c>
      <c r="D543" s="47" t="inlineStr">
        <is>
          <t>무제한</t>
        </is>
      </c>
      <c r="E543" s="47" t="inlineStr">
        <is>
          <t>월 11GB + 매일 2GB + 3Mbps</t>
        </is>
      </c>
      <c r="F543" s="47" t="inlineStr">
        <is>
          <t>LG U+</t>
        </is>
      </c>
      <c r="G543" s="47" t="inlineStr">
        <is>
          <t>LTE</t>
        </is>
      </c>
      <c r="H543" s="48" t="n">
        <v>27900</v>
      </c>
      <c r="I543" s="48" t="n">
        <v>24</v>
      </c>
      <c r="J543" s="48" t="n">
        <v>39600</v>
      </c>
      <c r="K543" s="47">
        <f t="array" ref="K543">_xlfn.XLOOKUP(1,(참조!$B$2:$B$15=E543)*(참조!$D$2:$D$15=C543)*(참조!$E$2:$E$15=D543),참조!$C$2:$C$15,"")</f>
        <v/>
      </c>
    </row>
    <row r="544" hidden="1" s="27">
      <c r="A544" s="47" t="inlineStr">
        <is>
          <t>이야기모바일</t>
        </is>
      </c>
      <c r="B544" s="47" t="inlineStr">
        <is>
          <t>이야기 라이트 15GB+(24개월)</t>
        </is>
      </c>
      <c r="C544" s="47" t="inlineStr">
        <is>
          <t>무제한</t>
        </is>
      </c>
      <c r="D544" s="47" t="inlineStr">
        <is>
          <t>무제한</t>
        </is>
      </c>
      <c r="E544" s="47" t="inlineStr">
        <is>
          <t>월 15GB + 1Mbps</t>
        </is>
      </c>
      <c r="F544" s="47" t="inlineStr">
        <is>
          <t>LG U+</t>
        </is>
      </c>
      <c r="G544" s="47" t="inlineStr">
        <is>
          <t>LTE</t>
        </is>
      </c>
      <c r="H544" s="48" t="n">
        <v>20000</v>
      </c>
      <c r="I544" s="48" t="n">
        <v>24</v>
      </c>
      <c r="J544" s="48" t="n">
        <v>29700</v>
      </c>
      <c r="K544" s="47">
        <f t="array" ref="K544">_xlfn.XLOOKUP(1,(참조!$B$2:$B$15=E544)*(참조!$D$2:$D$15=C544)*(참조!$E$2:$E$15=D544),참조!$C$2:$C$15,"")</f>
        <v/>
      </c>
    </row>
    <row r="545" hidden="1" s="27">
      <c r="A545" s="47" t="inlineStr">
        <is>
          <t>티플러스</t>
        </is>
      </c>
      <c r="B545" s="47" t="inlineStr">
        <is>
          <t>티플 10GB(10GB/200분)</t>
        </is>
      </c>
      <c r="C545" s="47" t="inlineStr">
        <is>
          <t>200분</t>
        </is>
      </c>
      <c r="D545" s="47" t="inlineStr">
        <is>
          <t>100건</t>
        </is>
      </c>
      <c r="E545" s="47" t="inlineStr">
        <is>
          <t>월 10GB</t>
        </is>
      </c>
      <c r="F545" s="47" t="inlineStr">
        <is>
          <t>KT</t>
        </is>
      </c>
      <c r="G545" s="47" t="inlineStr">
        <is>
          <t>LTE</t>
        </is>
      </c>
      <c r="H545" s="48" t="n">
        <v>8500</v>
      </c>
      <c r="I545" s="48" t="n"/>
      <c r="J545" s="48" t="n"/>
      <c r="K545" s="47">
        <f t="array" ref="K545">_xlfn.XLOOKUP(1,(참조!$B$2:$B$15=E545)*(참조!$D$2:$D$15=C545)*(참조!$E$2:$E$15=D545),참조!$C$2:$C$15,"")</f>
        <v/>
      </c>
    </row>
    <row r="546" hidden="1" s="27">
      <c r="A546" s="47" t="inlineStr">
        <is>
          <t>티플러스</t>
        </is>
      </c>
      <c r="B546" s="47" t="inlineStr">
        <is>
          <t>티플 10GB(10GB/200분)</t>
        </is>
      </c>
      <c r="C546" s="47" t="inlineStr">
        <is>
          <t>200분</t>
        </is>
      </c>
      <c r="D546" s="47" t="inlineStr">
        <is>
          <t>100건</t>
        </is>
      </c>
      <c r="E546" s="47" t="inlineStr">
        <is>
          <t>월 10GB</t>
        </is>
      </c>
      <c r="F546" s="47" t="inlineStr">
        <is>
          <t>LG U+</t>
        </is>
      </c>
      <c r="G546" s="47" t="inlineStr">
        <is>
          <t>LTE</t>
        </is>
      </c>
      <c r="H546" s="48" t="n">
        <v>8500</v>
      </c>
      <c r="I546" s="48" t="n"/>
      <c r="J546" s="48" t="n"/>
      <c r="K546" s="47">
        <f t="array" ref="K546">_xlfn.XLOOKUP(1,(참조!$B$2:$B$15=E546)*(참조!$D$2:$D$15=C546)*(참조!$E$2:$E$15=D546),참조!$C$2:$C$15,"")</f>
        <v/>
      </c>
    </row>
    <row r="547" hidden="1" s="27">
      <c r="A547" s="47" t="inlineStr">
        <is>
          <t>모나</t>
        </is>
      </c>
      <c r="B547" s="47" t="inlineStr">
        <is>
          <t>더중앙+모나_100G+5M</t>
        </is>
      </c>
      <c r="C547" s="47" t="inlineStr">
        <is>
          <t>무제한</t>
        </is>
      </c>
      <c r="D547" s="47" t="inlineStr">
        <is>
          <t>무제한</t>
        </is>
      </c>
      <c r="E547" s="47" t="inlineStr">
        <is>
          <t>월 100GB + 5Mbps</t>
        </is>
      </c>
      <c r="F547" s="47" t="inlineStr">
        <is>
          <t>LG U+</t>
        </is>
      </c>
      <c r="G547" s="47" t="inlineStr">
        <is>
          <t>LTE</t>
        </is>
      </c>
      <c r="H547" s="48" t="n">
        <v>16990</v>
      </c>
      <c r="I547" s="48" t="n">
        <v>7</v>
      </c>
      <c r="J547" s="48" t="n">
        <v>48400</v>
      </c>
      <c r="K547" s="47">
        <f t="array" ref="K547">_xlfn.XLOOKUP(1,(참조!$B$2:$B$15=E547)*(참조!$D$2:$D$15=C547)*(참조!$E$2:$E$15=D547),참조!$C$2:$C$15,"")</f>
        <v/>
      </c>
    </row>
    <row r="548" hidden="1" s="27">
      <c r="A548" s="47" t="inlineStr">
        <is>
          <t>핀다이렉트</t>
        </is>
      </c>
      <c r="B548" s="47" t="inlineStr">
        <is>
          <t>[모요only] [K] 핀다이렉트Z 100GB+(네이버페이) _PAY</t>
        </is>
      </c>
      <c r="C548" s="47" t="inlineStr">
        <is>
          <t>무제한</t>
        </is>
      </c>
      <c r="D548" s="47" t="inlineStr">
        <is>
          <t>무제한</t>
        </is>
      </c>
      <c r="E548" s="47" t="inlineStr">
        <is>
          <t>월 100GB + 5Mbps</t>
        </is>
      </c>
      <c r="F548" s="47" t="inlineStr">
        <is>
          <t>KT</t>
        </is>
      </c>
      <c r="G548" s="47" t="inlineStr">
        <is>
          <t>LTE</t>
        </is>
      </c>
      <c r="H548" s="48" t="n">
        <v>39000</v>
      </c>
      <c r="I548" s="48" t="n">
        <v>7</v>
      </c>
      <c r="J548" s="48" t="n">
        <v>48400</v>
      </c>
      <c r="K548" s="47">
        <f t="array" ref="K548">_xlfn.XLOOKUP(1,(참조!$B$2:$B$15=E548)*(참조!$D$2:$D$15=C548)*(참조!$E$2:$E$15=D548),참조!$C$2:$C$15,"")</f>
        <v/>
      </c>
    </row>
    <row r="549" hidden="1" s="27">
      <c r="A549" s="47" t="inlineStr">
        <is>
          <t>더원모바일</t>
        </is>
      </c>
      <c r="B549" s="47" t="inlineStr">
        <is>
          <t>ONE 5G 12GB 100분</t>
        </is>
      </c>
      <c r="C549" s="47" t="inlineStr">
        <is>
          <t>100분</t>
        </is>
      </c>
      <c r="D549" s="47" t="inlineStr">
        <is>
          <t>100건</t>
        </is>
      </c>
      <c r="E549" s="47" t="inlineStr">
        <is>
          <t>월 12GB</t>
        </is>
      </c>
      <c r="F549" s="47" t="inlineStr">
        <is>
          <t>KT</t>
        </is>
      </c>
      <c r="G549" s="47" t="inlineStr">
        <is>
          <t>5G</t>
        </is>
      </c>
      <c r="H549" s="48" t="n">
        <v>110</v>
      </c>
      <c r="I549" s="48" t="n">
        <v>6</v>
      </c>
      <c r="J549" s="48" t="n">
        <v>18700</v>
      </c>
      <c r="K549" s="47">
        <f t="array" ref="K549">_xlfn.XLOOKUP(1,(참조!$B$2:$B$15=E549)*(참조!$D$2:$D$15=C549)*(참조!$E$2:$E$15=D549),참조!$C$2:$C$15,"")</f>
        <v/>
      </c>
    </row>
    <row r="550" hidden="1" s="27">
      <c r="A550" s="47" t="inlineStr">
        <is>
          <t>KG모바일</t>
        </is>
      </c>
      <c r="B550" s="47" t="inlineStr">
        <is>
          <t>[일반] 통화, 데이터 마음대로 11GB+</t>
        </is>
      </c>
      <c r="C550" s="47" t="inlineStr">
        <is>
          <t>무제한</t>
        </is>
      </c>
      <c r="D550" s="47" t="inlineStr">
        <is>
          <t>무제한</t>
        </is>
      </c>
      <c r="E550" s="47" t="inlineStr">
        <is>
          <t>월 11GB + 매일 2GB + 3Mbps</t>
        </is>
      </c>
      <c r="F550" s="47" t="inlineStr">
        <is>
          <t>LG U+</t>
        </is>
      </c>
      <c r="G550" s="47" t="inlineStr">
        <is>
          <t>LTE</t>
        </is>
      </c>
      <c r="H550" s="48" t="n">
        <v>28600</v>
      </c>
      <c r="I550" s="48" t="n">
        <v>12</v>
      </c>
      <c r="J550" s="48" t="n">
        <v>41800</v>
      </c>
      <c r="K550" s="47">
        <f t="array" ref="K550">_xlfn.XLOOKUP(1,(참조!$B$2:$B$15=E550)*(참조!$D$2:$D$15=C550)*(참조!$E$2:$E$15=D550),참조!$C$2:$C$15,"")</f>
        <v/>
      </c>
    </row>
    <row r="551" hidden="1" s="27">
      <c r="A551" s="47" t="inlineStr">
        <is>
          <t>이지모바일</t>
        </is>
      </c>
      <c r="B551" s="47" t="inlineStr">
        <is>
          <t>이지 오래쓰는 무제한 4.5GB+1</t>
        </is>
      </c>
      <c r="C551" s="47" t="inlineStr">
        <is>
          <t>무제한</t>
        </is>
      </c>
      <c r="D551" s="47" t="inlineStr">
        <is>
          <t>무제한</t>
        </is>
      </c>
      <c r="E551" s="47" t="inlineStr">
        <is>
          <t>월 4.5GB + 1Mbps</t>
        </is>
      </c>
      <c r="F551" s="47" t="inlineStr">
        <is>
          <t>LG U+</t>
        </is>
      </c>
      <c r="G551" s="47" t="inlineStr">
        <is>
          <t>LTE</t>
        </is>
      </c>
      <c r="H551" s="48" t="n">
        <v>3850</v>
      </c>
      <c r="I551" s="48" t="n">
        <v>12</v>
      </c>
      <c r="J551" s="48" t="n">
        <v>16500</v>
      </c>
      <c r="K551" s="47">
        <f t="array" ref="K551">_xlfn.XLOOKUP(1,(참조!$B$2:$B$15=E551)*(참조!$D$2:$D$15=C551)*(참조!$E$2:$E$15=D551),참조!$C$2:$C$15,"")</f>
        <v/>
      </c>
    </row>
    <row r="552" hidden="1" s="27">
      <c r="A552" s="47" t="inlineStr">
        <is>
          <t>고고모바일</t>
        </is>
      </c>
      <c r="B552" s="47" t="inlineStr">
        <is>
          <t>LTE 300분/10GB_모요</t>
        </is>
      </c>
      <c r="C552" s="47" t="inlineStr">
        <is>
          <t>300분</t>
        </is>
      </c>
      <c r="D552" s="47" t="inlineStr">
        <is>
          <t>100건</t>
        </is>
      </c>
      <c r="E552" s="47" t="inlineStr">
        <is>
          <t>월 10GB</t>
        </is>
      </c>
      <c r="F552" s="47" t="inlineStr">
        <is>
          <t>SKT</t>
        </is>
      </c>
      <c r="G552" s="47" t="inlineStr">
        <is>
          <t>LTE</t>
        </is>
      </c>
      <c r="H552" s="48" t="n">
        <v>1100</v>
      </c>
      <c r="I552" s="48" t="n">
        <v>7</v>
      </c>
      <c r="J552" s="48" t="n">
        <v>16500</v>
      </c>
      <c r="K552" s="47">
        <f t="array" ref="K552">_xlfn.XLOOKUP(1,(참조!$B$2:$B$15=E552)*(참조!$D$2:$D$15=C552)*(참조!$E$2:$E$15=D552),참조!$C$2:$C$15,"")</f>
        <v/>
      </c>
    </row>
    <row r="553" hidden="1" s="27">
      <c r="A553" s="47" t="inlineStr">
        <is>
          <t>스마텔</t>
        </is>
      </c>
      <c r="B553" s="47" t="inlineStr">
        <is>
          <t>USIM 스위트 5G망(300분/10GB)</t>
        </is>
      </c>
      <c r="C553" s="47" t="inlineStr">
        <is>
          <t>300분</t>
        </is>
      </c>
      <c r="D553" s="47" t="inlineStr">
        <is>
          <t>100건</t>
        </is>
      </c>
      <c r="E553" s="47" t="inlineStr">
        <is>
          <t>월 10GB</t>
        </is>
      </c>
      <c r="F553" s="47" t="inlineStr">
        <is>
          <t>KT</t>
        </is>
      </c>
      <c r="G553" s="47" t="inlineStr">
        <is>
          <t>5G</t>
        </is>
      </c>
      <c r="H553" s="48" t="n">
        <v>500</v>
      </c>
      <c r="I553" s="48" t="n">
        <v>7</v>
      </c>
      <c r="J553" s="48" t="n">
        <v>18700</v>
      </c>
      <c r="K553" s="47">
        <f t="array" ref="K553">_xlfn.XLOOKUP(1,(참조!$B$2:$B$15=E553)*(참조!$D$2:$D$15=C553)*(참조!$E$2:$E$15=D553),참조!$C$2:$C$15,"")</f>
        <v/>
      </c>
    </row>
    <row r="554" hidden="1" s="27">
      <c r="A554" s="47" t="inlineStr">
        <is>
          <t>이야기모바일</t>
        </is>
      </c>
      <c r="B554" s="47" t="inlineStr">
        <is>
          <t>이야기피싱케어 100GB+</t>
        </is>
      </c>
      <c r="C554" s="47" t="inlineStr">
        <is>
          <t>무제한</t>
        </is>
      </c>
      <c r="D554" s="47" t="inlineStr">
        <is>
          <t>무제한</t>
        </is>
      </c>
      <c r="E554" s="47" t="inlineStr">
        <is>
          <t>월 100GB + 5Mbps</t>
        </is>
      </c>
      <c r="F554" s="47" t="inlineStr">
        <is>
          <t>LG U+</t>
        </is>
      </c>
      <c r="G554" s="47" t="inlineStr">
        <is>
          <t>LTE</t>
        </is>
      </c>
      <c r="H554" s="48" t="n">
        <v>30800</v>
      </c>
      <c r="I554" s="48" t="n">
        <v>24</v>
      </c>
      <c r="J554" s="48" t="n">
        <v>46200</v>
      </c>
      <c r="K554" s="47">
        <f t="array" ref="K554">_xlfn.XLOOKUP(1,(참조!$B$2:$B$15=E554)*(참조!$D$2:$D$15=C554)*(참조!$E$2:$E$15=D554),참조!$C$2:$C$15,"")</f>
        <v/>
      </c>
    </row>
    <row r="555" hidden="1" s="27">
      <c r="A555" s="47" t="inlineStr">
        <is>
          <t>더원모바일</t>
        </is>
      </c>
      <c r="B555" s="47" t="inlineStr">
        <is>
          <t>TOP 10GB 기본 (밀리의서재)</t>
        </is>
      </c>
      <c r="C555" s="47" t="inlineStr">
        <is>
          <t>무제한</t>
        </is>
      </c>
      <c r="D555" s="47" t="inlineStr">
        <is>
          <t>무제한</t>
        </is>
      </c>
      <c r="E555" s="47" t="inlineStr">
        <is>
          <t>월 10GB + 1Mbps</t>
        </is>
      </c>
      <c r="F555" s="47" t="inlineStr">
        <is>
          <t>KT</t>
        </is>
      </c>
      <c r="G555" s="47" t="inlineStr">
        <is>
          <t>LTE</t>
        </is>
      </c>
      <c r="H555" s="48" t="n">
        <v>3300</v>
      </c>
      <c r="I555" s="48" t="n">
        <v>7</v>
      </c>
      <c r="J555" s="48" t="n">
        <v>27500</v>
      </c>
      <c r="K555" s="47">
        <f t="array" ref="K555">_xlfn.XLOOKUP(1,(참조!$B$2:$B$15=E555)*(참조!$D$2:$D$15=C555)*(참조!$E$2:$E$15=D555),참조!$C$2:$C$15,"")</f>
        <v/>
      </c>
    </row>
    <row r="556" hidden="1" s="27">
      <c r="A556" s="47" t="inlineStr">
        <is>
          <t>티플러스</t>
        </is>
      </c>
      <c r="B556" s="47" t="inlineStr">
        <is>
          <t>티플북 11G+(도서문화상품권 매월 5000P)</t>
        </is>
      </c>
      <c r="C556" s="47" t="inlineStr">
        <is>
          <t>무제한</t>
        </is>
      </c>
      <c r="D556" s="47" t="inlineStr">
        <is>
          <t>무제한</t>
        </is>
      </c>
      <c r="E556" s="47" t="inlineStr">
        <is>
          <t>월 11GB + 매일 2GB + 3Mbps</t>
        </is>
      </c>
      <c r="F556" s="47" t="inlineStr">
        <is>
          <t>SKT</t>
        </is>
      </c>
      <c r="G556" s="47" t="inlineStr">
        <is>
          <t>LTE</t>
        </is>
      </c>
      <c r="H556" s="48" t="n">
        <v>12900</v>
      </c>
      <c r="I556" s="48" t="n">
        <v>7</v>
      </c>
      <c r="J556" s="48" t="n">
        <v>48400</v>
      </c>
      <c r="K556" s="47">
        <f t="array" ref="K556">_xlfn.XLOOKUP(1,(참조!$B$2:$B$15=E556)*(참조!$D$2:$D$15=C556)*(참조!$E$2:$E$15=D556),참조!$C$2:$C$15,"")</f>
        <v/>
      </c>
    </row>
    <row r="557" hidden="1" s="27">
      <c r="A557" s="47" t="inlineStr">
        <is>
          <t>이야기모바일</t>
        </is>
      </c>
      <c r="B557" s="47" t="inlineStr">
        <is>
          <t>이야기 헬스케어 100GB+</t>
        </is>
      </c>
      <c r="C557" s="47" t="inlineStr">
        <is>
          <t>무제한</t>
        </is>
      </c>
      <c r="D557" s="47" t="inlineStr">
        <is>
          <t>무제한</t>
        </is>
      </c>
      <c r="E557" s="47" t="inlineStr">
        <is>
          <t>월 100GB + 5Mbps</t>
        </is>
      </c>
      <c r="F557" s="47" t="inlineStr">
        <is>
          <t>LG U+</t>
        </is>
      </c>
      <c r="G557" s="47" t="inlineStr">
        <is>
          <t>LTE</t>
        </is>
      </c>
      <c r="H557" s="48" t="n">
        <v>30800</v>
      </c>
      <c r="I557" s="48" t="n">
        <v>24</v>
      </c>
      <c r="J557" s="48" t="n">
        <v>46200</v>
      </c>
      <c r="K557" s="47">
        <f t="array" ref="K557">_xlfn.XLOOKUP(1,(참조!$B$2:$B$15=E557)*(참조!$D$2:$D$15=C557)*(참조!$E$2:$E$15=D557),참조!$C$2:$C$15,"")</f>
        <v/>
      </c>
    </row>
    <row r="558" hidden="1" s="27">
      <c r="A558" s="47" t="inlineStr">
        <is>
          <t>위너스텔</t>
        </is>
      </c>
      <c r="B558" s="47" t="inlineStr">
        <is>
          <t>공유 120분</t>
        </is>
      </c>
      <c r="C558" s="47" t="inlineStr">
        <is>
          <t>120분</t>
        </is>
      </c>
      <c r="D558" s="47" t="inlineStr">
        <is>
          <t>120건</t>
        </is>
      </c>
      <c r="E558" s="47" t="inlineStr">
        <is>
          <t>데이터 제공안함</t>
        </is>
      </c>
      <c r="F558" s="47" t="inlineStr">
        <is>
          <t>KT</t>
        </is>
      </c>
      <c r="G558" s="47" t="inlineStr">
        <is>
          <t>LTE</t>
        </is>
      </c>
      <c r="H558" s="48" t="n">
        <v>3300</v>
      </c>
      <c r="I558" s="48" t="n"/>
      <c r="J558" s="48" t="n"/>
      <c r="K558" s="47">
        <f t="array" ref="K558">_xlfn.XLOOKUP(1,(참조!$B$2:$B$15=E558)*(참조!$D$2:$D$15=C558)*(참조!$E$2:$E$15=D558),참조!$C$2:$C$15,"")</f>
        <v/>
      </c>
    </row>
    <row r="559" hidden="1" s="27">
      <c r="A559" s="47" t="inlineStr">
        <is>
          <t>이야기모바일</t>
        </is>
      </c>
      <c r="B559" s="47" t="inlineStr">
        <is>
          <t>이야기 라이프케어 100GB+</t>
        </is>
      </c>
      <c r="C559" s="47" t="inlineStr">
        <is>
          <t>무제한</t>
        </is>
      </c>
      <c r="D559" s="47" t="inlineStr">
        <is>
          <t>무제한</t>
        </is>
      </c>
      <c r="E559" s="47" t="inlineStr">
        <is>
          <t>월 100GB + 5Mbps</t>
        </is>
      </c>
      <c r="F559" s="47" t="inlineStr">
        <is>
          <t>LG U+</t>
        </is>
      </c>
      <c r="G559" s="47" t="inlineStr">
        <is>
          <t>LTE</t>
        </is>
      </c>
      <c r="H559" s="48" t="n">
        <v>30800</v>
      </c>
      <c r="I559" s="48" t="n">
        <v>24</v>
      </c>
      <c r="J559" s="48" t="n">
        <v>48400</v>
      </c>
      <c r="K559" s="47">
        <f t="array" ref="K559">_xlfn.XLOOKUP(1,(참조!$B$2:$B$15=E559)*(참조!$D$2:$D$15=C559)*(참조!$E$2:$E$15=D559),참조!$C$2:$C$15,"")</f>
        <v/>
      </c>
    </row>
    <row r="560" hidden="1" s="27">
      <c r="A560" s="47" t="inlineStr">
        <is>
          <t>모나</t>
        </is>
      </c>
      <c r="B560" s="47" t="inlineStr">
        <is>
          <t>코나아이데이터매일5G</t>
        </is>
      </c>
      <c r="C560" s="47" t="inlineStr">
        <is>
          <t>무제한</t>
        </is>
      </c>
      <c r="D560" s="47" t="inlineStr">
        <is>
          <t>무제한</t>
        </is>
      </c>
      <c r="E560" s="47" t="inlineStr">
        <is>
          <t>매일 5GB + 5Mbps</t>
        </is>
      </c>
      <c r="F560" s="47" t="inlineStr">
        <is>
          <t>LG U+</t>
        </is>
      </c>
      <c r="G560" s="47" t="inlineStr">
        <is>
          <t>LTE</t>
        </is>
      </c>
      <c r="H560" s="48" t="n">
        <v>32900</v>
      </c>
      <c r="I560" s="48" t="n"/>
      <c r="J560" s="48" t="n"/>
      <c r="K560" s="47">
        <f t="array" ref="K560">_xlfn.XLOOKUP(1,(참조!$B$2:$B$15=E560)*(참조!$D$2:$D$15=C560)*(참조!$E$2:$E$15=D560),참조!$C$2:$C$15,"")</f>
        <v/>
      </c>
    </row>
    <row r="561" hidden="1" s="27">
      <c r="A561" s="47" t="inlineStr">
        <is>
          <t>이야기모바일</t>
        </is>
      </c>
      <c r="B561" s="47" t="inlineStr">
        <is>
          <t>이야기 쇼핑케어 100GB+</t>
        </is>
      </c>
      <c r="C561" s="47" t="inlineStr">
        <is>
          <t>무제한</t>
        </is>
      </c>
      <c r="D561" s="47" t="inlineStr">
        <is>
          <t>무제한</t>
        </is>
      </c>
      <c r="E561" s="47" t="inlineStr">
        <is>
          <t>월 100GB + 5Mbps</t>
        </is>
      </c>
      <c r="F561" s="47" t="inlineStr">
        <is>
          <t>LG U+</t>
        </is>
      </c>
      <c r="G561" s="47" t="inlineStr">
        <is>
          <t>LTE</t>
        </is>
      </c>
      <c r="H561" s="48" t="n">
        <v>30800</v>
      </c>
      <c r="I561" s="48" t="n">
        <v>24</v>
      </c>
      <c r="J561" s="48" t="n">
        <v>48400</v>
      </c>
      <c r="K561" s="47">
        <f t="array" ref="K561">_xlfn.XLOOKUP(1,(참조!$B$2:$B$15=E561)*(참조!$D$2:$D$15=C561)*(참조!$E$2:$E$15=D561),참조!$C$2:$C$15,"")</f>
        <v/>
      </c>
    </row>
    <row r="562" hidden="1" s="27">
      <c r="A562" s="47" t="inlineStr">
        <is>
          <t>이야기모바일</t>
        </is>
      </c>
      <c r="B562" s="47" t="inlineStr">
        <is>
          <t>이야기폰케어 100GB+</t>
        </is>
      </c>
      <c r="C562" s="47" t="inlineStr">
        <is>
          <t>무제한</t>
        </is>
      </c>
      <c r="D562" s="47" t="inlineStr">
        <is>
          <t>무제한</t>
        </is>
      </c>
      <c r="E562" s="47" t="inlineStr">
        <is>
          <t>월 100GB + 5Mbps</t>
        </is>
      </c>
      <c r="F562" s="47" t="inlineStr">
        <is>
          <t>LG U+</t>
        </is>
      </c>
      <c r="G562" s="47" t="inlineStr">
        <is>
          <t>LTE</t>
        </is>
      </c>
      <c r="H562" s="48" t="n">
        <v>30800</v>
      </c>
      <c r="I562" s="48" t="n">
        <v>24</v>
      </c>
      <c r="J562" s="48" t="n">
        <v>46200</v>
      </c>
      <c r="K562" s="47">
        <f t="array" ref="K562">_xlfn.XLOOKUP(1,(참조!$B$2:$B$15=E562)*(참조!$D$2:$D$15=C562)*(참조!$E$2:$E$15=D562),참조!$C$2:$C$15,"")</f>
        <v/>
      </c>
    </row>
    <row r="563" hidden="1" s="27">
      <c r="A563" s="47" t="inlineStr">
        <is>
          <t>티플러스</t>
        </is>
      </c>
      <c r="B563" s="47" t="inlineStr">
        <is>
          <t>티플 위드유 15GB＋(300분)(G car)</t>
        </is>
      </c>
      <c r="C563" s="47" t="inlineStr">
        <is>
          <t>300분</t>
        </is>
      </c>
      <c r="D563" s="47" t="inlineStr">
        <is>
          <t>300건</t>
        </is>
      </c>
      <c r="E563" s="47" t="inlineStr">
        <is>
          <t>월 15GB + 3Mbps</t>
        </is>
      </c>
      <c r="F563" s="47" t="inlineStr">
        <is>
          <t>SKT</t>
        </is>
      </c>
      <c r="G563" s="47" t="inlineStr">
        <is>
          <t>LTE</t>
        </is>
      </c>
      <c r="H563" s="48" t="n">
        <v>9900</v>
      </c>
      <c r="I563" s="48" t="n">
        <v>7</v>
      </c>
      <c r="J563" s="48" t="n">
        <v>37400</v>
      </c>
      <c r="K563" s="47">
        <f t="array" ref="K563">_xlfn.XLOOKUP(1,(참조!$B$2:$B$15=E563)*(참조!$D$2:$D$15=C563)*(참조!$E$2:$E$15=D563),참조!$C$2:$C$15,"")</f>
        <v/>
      </c>
    </row>
    <row r="564" hidden="1" s="27">
      <c r="A564" s="47" t="inlineStr">
        <is>
          <t>인스모바일</t>
        </is>
      </c>
      <c r="B564" s="47" t="inlineStr">
        <is>
          <t>[12개월]인스 유심 스트롱 매일 5GB+</t>
        </is>
      </c>
      <c r="C564" s="47" t="inlineStr">
        <is>
          <t>무제한</t>
        </is>
      </c>
      <c r="D564" s="47" t="inlineStr">
        <is>
          <t>무제한</t>
        </is>
      </c>
      <c r="E564" s="47" t="inlineStr">
        <is>
          <t>매일 5GB + 5Mbps</t>
        </is>
      </c>
      <c r="F564" s="47" t="inlineStr">
        <is>
          <t>LG U+</t>
        </is>
      </c>
      <c r="G564" s="47" t="inlineStr">
        <is>
          <t>LTE</t>
        </is>
      </c>
      <c r="H564" s="48" t="n">
        <v>29950</v>
      </c>
      <c r="I564" s="48" t="n">
        <v>12</v>
      </c>
      <c r="J564" s="48" t="n">
        <v>44800</v>
      </c>
      <c r="K564" s="47">
        <f t="array" ref="K564">_xlfn.XLOOKUP(1,(참조!$B$2:$B$15=E564)*(참조!$D$2:$D$15=C564)*(참조!$E$2:$E$15=D564),참조!$C$2:$C$15,"")</f>
        <v/>
      </c>
    </row>
    <row r="565" hidden="1" s="27">
      <c r="A565" s="47" t="inlineStr">
        <is>
          <t>KT스카이라이프</t>
        </is>
      </c>
      <c r="B565" s="47" t="inlineStr">
        <is>
          <t>모두 충분 11GB+(CU)</t>
        </is>
      </c>
      <c r="C565" s="47" t="inlineStr">
        <is>
          <t>무제한</t>
        </is>
      </c>
      <c r="D565" s="47" t="inlineStr">
        <is>
          <t>무제한</t>
        </is>
      </c>
      <c r="E565" s="47" t="inlineStr">
        <is>
          <t>월 11GB + 매일 2GB + 3Mbps</t>
        </is>
      </c>
      <c r="F565" s="47" t="inlineStr">
        <is>
          <t>KT</t>
        </is>
      </c>
      <c r="G565" s="47" t="inlineStr">
        <is>
          <t>LTE</t>
        </is>
      </c>
      <c r="H565" s="48" t="n">
        <v>34200</v>
      </c>
      <c r="I565" s="48" t="n"/>
      <c r="J565" s="48" t="n"/>
      <c r="K565" s="47">
        <f t="array" ref="K565">_xlfn.XLOOKUP(1,(참조!$B$2:$B$15=E565)*(참조!$D$2:$D$15=C565)*(참조!$E$2:$E$15=D565),참조!$C$2:$C$15,"")</f>
        <v/>
      </c>
    </row>
    <row r="566" hidden="1" s="27">
      <c r="A566" s="47" t="inlineStr">
        <is>
          <t>더원모바일</t>
        </is>
      </c>
      <c r="B566" s="47" t="inlineStr">
        <is>
          <t>TOP 10GB 기본 (올리브영)</t>
        </is>
      </c>
      <c r="C566" s="47" t="inlineStr">
        <is>
          <t>무제한</t>
        </is>
      </c>
      <c r="D566" s="47" t="inlineStr">
        <is>
          <t>무제한</t>
        </is>
      </c>
      <c r="E566" s="47" t="inlineStr">
        <is>
          <t>월 10GB + 1Mbps</t>
        </is>
      </c>
      <c r="F566" s="47" t="inlineStr">
        <is>
          <t>KT</t>
        </is>
      </c>
      <c r="G566" s="47" t="inlineStr">
        <is>
          <t>LTE</t>
        </is>
      </c>
      <c r="H566" s="48" t="n">
        <v>9900</v>
      </c>
      <c r="I566" s="48" t="n">
        <v>12</v>
      </c>
      <c r="J566" s="48" t="n">
        <v>28600</v>
      </c>
      <c r="K566" s="47">
        <f t="array" ref="K566">_xlfn.XLOOKUP(1,(참조!$B$2:$B$15=E566)*(참조!$D$2:$D$15=C566)*(참조!$E$2:$E$15=D566),참조!$C$2:$C$15,"")</f>
        <v/>
      </c>
    </row>
    <row r="567" hidden="1" s="27">
      <c r="A567" s="47" t="inlineStr">
        <is>
          <t>이지모바일</t>
        </is>
      </c>
      <c r="B567" s="47" t="inlineStr">
        <is>
          <t>이지 데이터 10GB+1/100분</t>
        </is>
      </c>
      <c r="C567" s="47" t="inlineStr">
        <is>
          <t>100분</t>
        </is>
      </c>
      <c r="D567" s="47" t="inlineStr">
        <is>
          <t>100건</t>
        </is>
      </c>
      <c r="E567" s="47" t="inlineStr">
        <is>
          <t>월 10GB + 1Mbps</t>
        </is>
      </c>
      <c r="F567" s="47" t="inlineStr">
        <is>
          <t>LG U+</t>
        </is>
      </c>
      <c r="G567" s="47" t="inlineStr">
        <is>
          <t>LTE</t>
        </is>
      </c>
      <c r="H567" s="48" t="n">
        <v>1600</v>
      </c>
      <c r="I567" s="48" t="n">
        <v>6</v>
      </c>
      <c r="J567" s="48" t="n">
        <v>19800</v>
      </c>
      <c r="K567" s="47">
        <f t="array" ref="K567">_xlfn.XLOOKUP(1,(참조!$B$2:$B$15=E567)*(참조!$D$2:$D$15=C567)*(참조!$E$2:$E$15=D567),참조!$C$2:$C$15,"")</f>
        <v/>
      </c>
    </row>
    <row r="568" hidden="1" s="27">
      <c r="A568" s="47" t="inlineStr">
        <is>
          <t>티플러스</t>
        </is>
      </c>
      <c r="B568" s="47" t="inlineStr">
        <is>
          <t>티플 올리브영 100GB+(매월 5000P)</t>
        </is>
      </c>
      <c r="C568" s="47" t="inlineStr">
        <is>
          <t>무제한</t>
        </is>
      </c>
      <c r="D568" s="47" t="inlineStr">
        <is>
          <t>무제한</t>
        </is>
      </c>
      <c r="E568" s="47" t="inlineStr">
        <is>
          <t>월 100GB + 5Mbps</t>
        </is>
      </c>
      <c r="F568" s="47" t="inlineStr">
        <is>
          <t>SKT</t>
        </is>
      </c>
      <c r="G568" s="47" t="inlineStr">
        <is>
          <t>LTE</t>
        </is>
      </c>
      <c r="H568" s="48" t="n">
        <v>15900</v>
      </c>
      <c r="I568" s="48" t="n">
        <v>7</v>
      </c>
      <c r="J568" s="48" t="n">
        <v>51700</v>
      </c>
      <c r="K568" s="47">
        <f t="array" ref="K568">_xlfn.XLOOKUP(1,(참조!$B$2:$B$15=E568)*(참조!$D$2:$D$15=C568)*(참조!$E$2:$E$15=D568),참조!$C$2:$C$15,"")</f>
        <v/>
      </c>
    </row>
    <row r="569" hidden="1" s="27">
      <c r="A569" s="47" t="inlineStr">
        <is>
          <t>KG모바일</t>
        </is>
      </c>
      <c r="B569" s="47" t="inlineStr">
        <is>
          <t>[일반] 데이터 마음대로 (15GB+/100분)</t>
        </is>
      </c>
      <c r="C569" s="47" t="inlineStr">
        <is>
          <t>100분</t>
        </is>
      </c>
      <c r="D569" s="47" t="inlineStr">
        <is>
          <t>100건</t>
        </is>
      </c>
      <c r="E569" s="47" t="inlineStr">
        <is>
          <t>월 15GB + 3Mbps</t>
        </is>
      </c>
      <c r="F569" s="47" t="inlineStr">
        <is>
          <t>LG U+</t>
        </is>
      </c>
      <c r="G569" s="47" t="inlineStr">
        <is>
          <t>LTE</t>
        </is>
      </c>
      <c r="H569" s="48" t="n">
        <v>20900</v>
      </c>
      <c r="I569" s="48" t="n">
        <v>12</v>
      </c>
      <c r="J569" s="48" t="n">
        <v>33000</v>
      </c>
      <c r="K569" s="47">
        <f t="array" ref="K569">_xlfn.XLOOKUP(1,(참조!$B$2:$B$15=E569)*(참조!$D$2:$D$15=C569)*(참조!$E$2:$E$15=D569),참조!$C$2:$C$15,"")</f>
        <v/>
      </c>
    </row>
    <row r="570" hidden="1" s="27">
      <c r="A570" s="47" t="inlineStr">
        <is>
          <t>스마텔</t>
        </is>
      </c>
      <c r="B570" s="47" t="inlineStr">
        <is>
          <t>스마트 5G망 150GB+</t>
        </is>
      </c>
      <c r="C570" s="47" t="inlineStr">
        <is>
          <t>무제한</t>
        </is>
      </c>
      <c r="D570" s="47" t="inlineStr">
        <is>
          <t>무제한</t>
        </is>
      </c>
      <c r="E570" s="47" t="inlineStr">
        <is>
          <t>월 150GB + 5Mbps</t>
        </is>
      </c>
      <c r="F570" s="47" t="inlineStr">
        <is>
          <t>LG U+</t>
        </is>
      </c>
      <c r="G570" s="47" t="inlineStr">
        <is>
          <t>5G</t>
        </is>
      </c>
      <c r="H570" s="48" t="n">
        <v>30800</v>
      </c>
      <c r="I570" s="48" t="n">
        <v>24</v>
      </c>
      <c r="J570" s="48" t="n">
        <v>55000</v>
      </c>
      <c r="K570" s="47">
        <f t="array" ref="K570">_xlfn.XLOOKUP(1,(참조!$B$2:$B$15=E570)*(참조!$D$2:$D$15=C570)*(참조!$E$2:$E$15=D570),참조!$C$2:$C$15,"")</f>
        <v/>
      </c>
    </row>
    <row r="571" hidden="1" s="27">
      <c r="A571" s="47" t="inlineStr">
        <is>
          <t>슈가모바일</t>
        </is>
      </c>
      <c r="B571" s="47" t="inlineStr">
        <is>
          <t>슈가안심차단200분100M</t>
        </is>
      </c>
      <c r="C571" s="47" t="inlineStr">
        <is>
          <t>200분</t>
        </is>
      </c>
      <c r="D571" s="47" t="inlineStr">
        <is>
          <t>50건</t>
        </is>
      </c>
      <c r="E571" s="47" t="inlineStr">
        <is>
          <t>월 100MB</t>
        </is>
      </c>
      <c r="F571" s="47" t="inlineStr">
        <is>
          <t>LG U+</t>
        </is>
      </c>
      <c r="G571" s="47" t="inlineStr">
        <is>
          <t>LTE</t>
        </is>
      </c>
      <c r="H571" s="48" t="n">
        <v>2800</v>
      </c>
      <c r="I571" s="48" t="n"/>
      <c r="J571" s="48" t="n"/>
      <c r="K571" s="47">
        <f t="array" ref="K571">_xlfn.XLOOKUP(1,(참조!$B$2:$B$15=E571)*(참조!$D$2:$D$15=C571)*(참조!$E$2:$E$15=D571),참조!$C$2:$C$15,"")</f>
        <v/>
      </c>
    </row>
    <row r="572" hidden="1" s="27">
      <c r="A572" s="47" t="inlineStr">
        <is>
          <t>U+유모바일</t>
        </is>
      </c>
      <c r="B572" s="47" t="inlineStr">
        <is>
          <t>[평생할인] 5G 3GB/통화기본</t>
        </is>
      </c>
      <c r="C572" s="47" t="inlineStr">
        <is>
          <t>무제한</t>
        </is>
      </c>
      <c r="D572" s="47" t="inlineStr">
        <is>
          <t>무제한</t>
        </is>
      </c>
      <c r="E572" s="47" t="inlineStr">
        <is>
          <t>월 3GB</t>
        </is>
      </c>
      <c r="F572" s="47" t="inlineStr">
        <is>
          <t>LG U+</t>
        </is>
      </c>
      <c r="G572" s="47" t="inlineStr">
        <is>
          <t>5G</t>
        </is>
      </c>
      <c r="H572" s="48" t="n">
        <v>6900</v>
      </c>
      <c r="I572" s="48" t="n"/>
      <c r="J572" s="48" t="n"/>
      <c r="K572" s="47">
        <f t="array" ref="K572">_xlfn.XLOOKUP(1,(참조!$B$2:$B$15=E572)*(참조!$D$2:$D$15=C572)*(참조!$E$2:$E$15=D572),참조!$C$2:$C$15,"")</f>
        <v/>
      </c>
    </row>
    <row r="573" hidden="1" s="27">
      <c r="A573" s="47" t="inlineStr">
        <is>
          <t>KG모바일</t>
        </is>
      </c>
      <c r="B573" s="47" t="inlineStr">
        <is>
          <t>[일반] 유심 5G 95GB+</t>
        </is>
      </c>
      <c r="C573" s="47" t="inlineStr">
        <is>
          <t>무제한</t>
        </is>
      </c>
      <c r="D573" s="47" t="inlineStr">
        <is>
          <t>무제한</t>
        </is>
      </c>
      <c r="E573" s="47" t="inlineStr">
        <is>
          <t>월 95GB + 3Mbps</t>
        </is>
      </c>
      <c r="F573" s="47" t="inlineStr">
        <is>
          <t>LG U+</t>
        </is>
      </c>
      <c r="G573" s="47" t="inlineStr">
        <is>
          <t>5G</t>
        </is>
      </c>
      <c r="H573" s="48" t="n">
        <v>29000</v>
      </c>
      <c r="I573" s="48" t="n">
        <v>12</v>
      </c>
      <c r="J573" s="48" t="n">
        <v>49500</v>
      </c>
      <c r="K573" s="47">
        <f t="array" ref="K573">_xlfn.XLOOKUP(1,(참조!$B$2:$B$15=E573)*(참조!$D$2:$D$15=C573)*(참조!$E$2:$E$15=D573),참조!$C$2:$C$15,"")</f>
        <v/>
      </c>
    </row>
    <row r="574" hidden="1" s="27">
      <c r="A574" s="47" t="inlineStr">
        <is>
          <t>더원모바일</t>
        </is>
      </c>
      <c r="B574" s="47" t="inlineStr">
        <is>
          <t>TOP 5G 110GB 기본 (올리브영)</t>
        </is>
      </c>
      <c r="C574" s="47" t="inlineStr">
        <is>
          <t>무제한</t>
        </is>
      </c>
      <c r="D574" s="47" t="inlineStr">
        <is>
          <t>무제한</t>
        </is>
      </c>
      <c r="E574" s="47" t="inlineStr">
        <is>
          <t>월 110GB + 5Mbps</t>
        </is>
      </c>
      <c r="F574" s="47" t="inlineStr">
        <is>
          <t>KT</t>
        </is>
      </c>
      <c r="G574" s="47" t="inlineStr">
        <is>
          <t>5G</t>
        </is>
      </c>
      <c r="H574" s="48" t="n">
        <v>18700</v>
      </c>
      <c r="I574" s="48" t="n">
        <v>7</v>
      </c>
      <c r="J574" s="48" t="n">
        <v>47300</v>
      </c>
      <c r="K574" s="47">
        <f t="array" ref="K574">_xlfn.XLOOKUP(1,(참조!$B$2:$B$15=E574)*(참조!$D$2:$D$15=C574)*(참조!$E$2:$E$15=D574),참조!$C$2:$C$15,"")</f>
        <v/>
      </c>
    </row>
    <row r="575" hidden="1" s="27">
      <c r="A575" s="47" t="inlineStr">
        <is>
          <t>KT엠모바일</t>
        </is>
      </c>
      <c r="B575" s="47" t="inlineStr">
        <is>
          <t>모두다 맘껏 안심 2.5GB+</t>
        </is>
      </c>
      <c r="C575" s="47" t="inlineStr">
        <is>
          <t>무제한</t>
        </is>
      </c>
      <c r="D575" s="47" t="inlineStr">
        <is>
          <t>무제한</t>
        </is>
      </c>
      <c r="E575" s="47" t="inlineStr">
        <is>
          <t>월 2.5GB + 400Kbps</t>
        </is>
      </c>
      <c r="F575" s="47" t="inlineStr">
        <is>
          <t>KT</t>
        </is>
      </c>
      <c r="G575" s="47" t="inlineStr">
        <is>
          <t>LTE</t>
        </is>
      </c>
      <c r="H575" s="48" t="n">
        <v>6400</v>
      </c>
      <c r="I575" s="48" t="n"/>
      <c r="J575" s="48" t="n"/>
      <c r="K575" s="47">
        <f t="array" ref="K575">_xlfn.XLOOKUP(1,(참조!$B$2:$B$15=E575)*(참조!$D$2:$D$15=C575)*(참조!$E$2:$E$15=D575),참조!$C$2:$C$15,"")</f>
        <v/>
      </c>
    </row>
    <row r="576" hidden="1" s="27">
      <c r="A576" s="47" t="inlineStr">
        <is>
          <t>KG모바일</t>
        </is>
      </c>
      <c r="B576" s="47" t="inlineStr">
        <is>
          <t>[평생할인] 통화, 데이터 마음대로 Pro</t>
        </is>
      </c>
      <c r="C576" s="47" t="inlineStr">
        <is>
          <t>무제한</t>
        </is>
      </c>
      <c r="D576" s="47" t="inlineStr">
        <is>
          <t>무제한</t>
        </is>
      </c>
      <c r="E576" s="47" t="inlineStr">
        <is>
          <t>매일 5GB + 5Mbps</t>
        </is>
      </c>
      <c r="F576" s="47" t="inlineStr">
        <is>
          <t>LG U+</t>
        </is>
      </c>
      <c r="G576" s="47" t="inlineStr">
        <is>
          <t>LTE</t>
        </is>
      </c>
      <c r="H576" s="48" t="n">
        <v>34000</v>
      </c>
      <c r="I576" s="48" t="n"/>
      <c r="J576" s="48" t="n"/>
      <c r="K576" s="47">
        <f t="array" ref="K576">_xlfn.XLOOKUP(1,(참조!$B$2:$B$15=E576)*(참조!$D$2:$D$15=C576)*(참조!$E$2:$E$15=D576),참조!$C$2:$C$15,"")</f>
        <v/>
      </c>
    </row>
    <row r="577" hidden="1" s="27">
      <c r="A577" s="47" t="inlineStr">
        <is>
          <t>고고모바일</t>
        </is>
      </c>
      <c r="B577" s="47" t="inlineStr">
        <is>
          <t>[모요only] 데이터 무제한 300분/15GB+3Mbps</t>
        </is>
      </c>
      <c r="C577" s="47" t="inlineStr">
        <is>
          <t>300분</t>
        </is>
      </c>
      <c r="D577" s="47" t="inlineStr">
        <is>
          <t>300건</t>
        </is>
      </c>
      <c r="E577" s="47" t="inlineStr">
        <is>
          <t>월 15GB + 3Mbps</t>
        </is>
      </c>
      <c r="F577" s="47" t="inlineStr">
        <is>
          <t>KT</t>
        </is>
      </c>
      <c r="G577" s="47" t="inlineStr">
        <is>
          <t>LTE</t>
        </is>
      </c>
      <c r="H577" s="48" t="n">
        <v>13000</v>
      </c>
      <c r="I577" s="48" t="n">
        <v>7</v>
      </c>
      <c r="J577" s="48" t="n">
        <v>33000</v>
      </c>
      <c r="K577" s="47">
        <f t="array" ref="K577">_xlfn.XLOOKUP(1,(참조!$B$2:$B$15=E577)*(참조!$D$2:$D$15=C577)*(참조!$E$2:$E$15=D577),참조!$C$2:$C$15,"")</f>
        <v/>
      </c>
    </row>
    <row r="578" hidden="1" s="27">
      <c r="A578" s="47" t="inlineStr">
        <is>
          <t>KT엠모바일</t>
        </is>
      </c>
      <c r="B578" s="47" t="inlineStr">
        <is>
          <t>데이터 충분 25GB/100분</t>
        </is>
      </c>
      <c r="C578" s="47" t="inlineStr">
        <is>
          <t>100분</t>
        </is>
      </c>
      <c r="D578" s="47" t="inlineStr">
        <is>
          <t>100건</t>
        </is>
      </c>
      <c r="E578" s="47" t="inlineStr">
        <is>
          <t>월 25GB</t>
        </is>
      </c>
      <c r="F578" s="47" t="inlineStr">
        <is>
          <t>KT</t>
        </is>
      </c>
      <c r="G578" s="47" t="inlineStr">
        <is>
          <t>LTE</t>
        </is>
      </c>
      <c r="H578" s="48" t="n">
        <v>15400</v>
      </c>
      <c r="I578" s="48" t="n"/>
      <c r="J578" s="48" t="n"/>
      <c r="K578" s="47">
        <f t="array" ref="K578">_xlfn.XLOOKUP(1,(참조!$B$2:$B$15=E578)*(참조!$D$2:$D$15=C578)*(참조!$E$2:$E$15=D578),참조!$C$2:$C$15,"")</f>
        <v/>
      </c>
    </row>
    <row r="579" hidden="1" s="27">
      <c r="A579" s="47" t="inlineStr">
        <is>
          <t>핀다이렉트</t>
        </is>
      </c>
      <c r="B579" s="47" t="inlineStr">
        <is>
          <t>[S] 핀다이렉트Z Light</t>
        </is>
      </c>
      <c r="C579" s="47" t="inlineStr">
        <is>
          <t>100분</t>
        </is>
      </c>
      <c r="D579" s="47" t="inlineStr">
        <is>
          <t>100건</t>
        </is>
      </c>
      <c r="E579" s="47" t="inlineStr">
        <is>
          <t>월 15GB + 3Mbps</t>
        </is>
      </c>
      <c r="F579" s="47" t="inlineStr">
        <is>
          <t>SKT</t>
        </is>
      </c>
      <c r="G579" s="47" t="inlineStr">
        <is>
          <t>LTE</t>
        </is>
      </c>
      <c r="H579" s="48" t="n">
        <v>12000</v>
      </c>
      <c r="I579" s="48" t="n">
        <v>7</v>
      </c>
      <c r="J579" s="48" t="n">
        <v>28600</v>
      </c>
      <c r="K579" s="47">
        <f t="array" ref="K579">_xlfn.XLOOKUP(1,(참조!$B$2:$B$15=E579)*(참조!$D$2:$D$15=C579)*(참조!$E$2:$E$15=D579),참조!$C$2:$C$15,"")</f>
        <v/>
      </c>
    </row>
    <row r="580" hidden="1" s="27">
      <c r="A580" s="47" t="inlineStr">
        <is>
          <t>이야기모바일</t>
        </is>
      </c>
      <c r="B580" s="47" t="inlineStr">
        <is>
          <t>이야기 스탠다드S 11GB+</t>
        </is>
      </c>
      <c r="C580" s="47" t="inlineStr">
        <is>
          <t>무제한</t>
        </is>
      </c>
      <c r="D580" s="47" t="inlineStr">
        <is>
          <t>무제한</t>
        </is>
      </c>
      <c r="E580" s="47" t="inlineStr">
        <is>
          <t>월 11GB + 매일 2GB + 3Mbps</t>
        </is>
      </c>
      <c r="F580" s="47" t="inlineStr">
        <is>
          <t>SKT</t>
        </is>
      </c>
      <c r="G580" s="47" t="inlineStr">
        <is>
          <t>LTE</t>
        </is>
      </c>
      <c r="H580" s="48" t="n">
        <v>14500</v>
      </c>
      <c r="I580" s="48" t="n">
        <v>7</v>
      </c>
      <c r="J580" s="48" t="n">
        <v>39600</v>
      </c>
      <c r="K580" s="47">
        <f t="array" ref="K580">_xlfn.XLOOKUP(1,(참조!$B$2:$B$15=E580)*(참조!$D$2:$D$15=C580)*(참조!$E$2:$E$15=D580),참조!$C$2:$C$15,"")</f>
        <v/>
      </c>
    </row>
    <row r="581" hidden="1" s="27">
      <c r="A581" s="47" t="inlineStr">
        <is>
          <t>이지모바일</t>
        </is>
      </c>
      <c r="B581" s="47" t="inlineStr">
        <is>
          <t>이지 더 오래쓰는 무제한 일5G+5</t>
        </is>
      </c>
      <c r="C581" s="47" t="inlineStr">
        <is>
          <t>무제한</t>
        </is>
      </c>
      <c r="D581" s="47" t="inlineStr">
        <is>
          <t>무제한</t>
        </is>
      </c>
      <c r="E581" s="47" t="inlineStr">
        <is>
          <t>매일 5GB + 5Mbps</t>
        </is>
      </c>
      <c r="F581" s="47" t="inlineStr">
        <is>
          <t>LG U+</t>
        </is>
      </c>
      <c r="G581" s="47" t="inlineStr">
        <is>
          <t>LTE</t>
        </is>
      </c>
      <c r="H581" s="48" t="n">
        <v>30250</v>
      </c>
      <c r="I581" s="48" t="n">
        <v>24</v>
      </c>
      <c r="J581" s="48" t="n">
        <v>46200</v>
      </c>
      <c r="K581" s="47">
        <f t="array" ref="K581">_xlfn.XLOOKUP(1,(참조!$B$2:$B$15=E581)*(참조!$D$2:$D$15=C581)*(참조!$E$2:$E$15=D581),참조!$C$2:$C$15,"")</f>
        <v/>
      </c>
    </row>
    <row r="582" hidden="1" s="27">
      <c r="A582" s="47" t="inlineStr">
        <is>
          <t>스마텔</t>
        </is>
      </c>
      <c r="B582" s="47" t="inlineStr">
        <is>
          <t>USIM 스위트 (500분/10GB)</t>
        </is>
      </c>
      <c r="C582" s="47" t="inlineStr">
        <is>
          <t>500분</t>
        </is>
      </c>
      <c r="D582" s="47" t="inlineStr">
        <is>
          <t>100건</t>
        </is>
      </c>
      <c r="E582" s="47" t="inlineStr">
        <is>
          <t>월 10GB</t>
        </is>
      </c>
      <c r="F582" s="47" t="inlineStr">
        <is>
          <t>KT</t>
        </is>
      </c>
      <c r="G582" s="47" t="inlineStr">
        <is>
          <t>LTE</t>
        </is>
      </c>
      <c r="H582" s="48" t="n">
        <v>900</v>
      </c>
      <c r="I582" s="48" t="n">
        <v>7</v>
      </c>
      <c r="J582" s="48" t="n">
        <v>20900</v>
      </c>
      <c r="K582" s="47">
        <f t="array" ref="K582">_xlfn.XLOOKUP(1,(참조!$B$2:$B$15=E582)*(참조!$D$2:$D$15=C582)*(참조!$E$2:$E$15=D582),참조!$C$2:$C$15,"")</f>
        <v/>
      </c>
    </row>
    <row r="583" hidden="1" s="27">
      <c r="A583" s="47" t="inlineStr">
        <is>
          <t>티플러스</t>
        </is>
      </c>
      <c r="B583" s="47" t="inlineStr">
        <is>
          <t>The 데이터마음껏15G+(300분)(다이소 매월 5000P)</t>
        </is>
      </c>
      <c r="C583" s="47" t="inlineStr">
        <is>
          <t>300분</t>
        </is>
      </c>
      <c r="D583" s="47" t="inlineStr">
        <is>
          <t>300건</t>
        </is>
      </c>
      <c r="E583" s="47" t="inlineStr">
        <is>
          <t>월 15GB + 3Mbps</t>
        </is>
      </c>
      <c r="F583" s="47" t="inlineStr">
        <is>
          <t>LG U+</t>
        </is>
      </c>
      <c r="G583" s="47" t="inlineStr">
        <is>
          <t>LTE</t>
        </is>
      </c>
      <c r="H583" s="48" t="n">
        <v>22500</v>
      </c>
      <c r="I583" s="48" t="n">
        <v>24</v>
      </c>
      <c r="J583" s="48" t="n">
        <v>33000</v>
      </c>
      <c r="K583" s="47">
        <f t="array" ref="K583">_xlfn.XLOOKUP(1,(참조!$B$2:$B$15=E583)*(참조!$D$2:$D$15=C583)*(참조!$E$2:$E$15=D583),참조!$C$2:$C$15,"")</f>
        <v/>
      </c>
    </row>
    <row r="584" hidden="1" s="27">
      <c r="A584" s="47" t="inlineStr">
        <is>
          <t>이지모바일</t>
        </is>
      </c>
      <c r="B584" s="47" t="inlineStr">
        <is>
          <t>[선착순 특가]EG 7무제한 10G+1(매월10GB+CU할인)</t>
        </is>
      </c>
      <c r="C584" s="47" t="inlineStr">
        <is>
          <t>무제한</t>
        </is>
      </c>
      <c r="D584" s="47" t="inlineStr">
        <is>
          <t>무제한</t>
        </is>
      </c>
      <c r="E584" s="47" t="inlineStr">
        <is>
          <t>월 10GB + 1Mbps</t>
        </is>
      </c>
      <c r="F584" s="47" t="inlineStr">
        <is>
          <t>KT</t>
        </is>
      </c>
      <c r="G584" s="47" t="inlineStr">
        <is>
          <t>LTE</t>
        </is>
      </c>
      <c r="H584" s="48" t="n">
        <v>2900</v>
      </c>
      <c r="I584" s="48" t="n">
        <v>7</v>
      </c>
      <c r="J584" s="48" t="n">
        <v>24860</v>
      </c>
      <c r="K584" s="47">
        <f t="array" ref="K584">_xlfn.XLOOKUP(1,(참조!$B$2:$B$15=E584)*(참조!$D$2:$D$15=C584)*(참조!$E$2:$E$15=D584),참조!$C$2:$C$15,"")</f>
        <v/>
      </c>
    </row>
    <row r="585" hidden="1" s="27">
      <c r="A585" s="47" t="inlineStr">
        <is>
          <t>이지모바일</t>
        </is>
      </c>
      <c r="B585" s="47" t="inlineStr">
        <is>
          <t>[5G]이지 평생 2.5GB</t>
        </is>
      </c>
      <c r="C585" s="47" t="inlineStr">
        <is>
          <t>200분</t>
        </is>
      </c>
      <c r="D585" s="47" t="inlineStr">
        <is>
          <t>100건</t>
        </is>
      </c>
      <c r="E585" s="47" t="inlineStr">
        <is>
          <t>월 2.5GB</t>
        </is>
      </c>
      <c r="F585" s="47" t="inlineStr">
        <is>
          <t>LG U+</t>
        </is>
      </c>
      <c r="G585" s="47" t="inlineStr">
        <is>
          <t>5G</t>
        </is>
      </c>
      <c r="H585" s="48" t="n">
        <v>2750</v>
      </c>
      <c r="I585" s="48" t="n"/>
      <c r="J585" s="48" t="n"/>
      <c r="K585" s="47">
        <f t="array" ref="K585">_xlfn.XLOOKUP(1,(참조!$B$2:$B$15=E585)*(참조!$D$2:$D$15=C585)*(참조!$E$2:$E$15=D585),참조!$C$2:$C$15,"")</f>
        <v/>
      </c>
    </row>
    <row r="586" hidden="1" s="27">
      <c r="A586" s="47" t="inlineStr">
        <is>
          <t>마블링</t>
        </is>
      </c>
      <c r="B586" s="47" t="inlineStr">
        <is>
          <t>마블링 스탠다드 1GB+1Mbps</t>
        </is>
      </c>
      <c r="C586" s="47" t="inlineStr">
        <is>
          <t>100분</t>
        </is>
      </c>
      <c r="D586" s="47" t="inlineStr">
        <is>
          <t>100건</t>
        </is>
      </c>
      <c r="E586" s="47" t="inlineStr">
        <is>
          <t>월 1GB + 1Mbps</t>
        </is>
      </c>
      <c r="F586" s="47" t="inlineStr">
        <is>
          <t>LG U+</t>
        </is>
      </c>
      <c r="G586" s="47" t="inlineStr">
        <is>
          <t>LTE</t>
        </is>
      </c>
      <c r="H586" s="48" t="n">
        <v>110</v>
      </c>
      <c r="I586" s="48" t="n">
        <v>6</v>
      </c>
      <c r="J586" s="48" t="n">
        <v>9900</v>
      </c>
      <c r="K586" s="47">
        <f t="array" ref="K586">_xlfn.XLOOKUP(1,(참조!$B$2:$B$15=E586)*(참조!$D$2:$D$15=C586)*(참조!$E$2:$E$15=D586),참조!$C$2:$C$15,"")</f>
        <v/>
      </c>
    </row>
    <row r="587" hidden="1" s="27">
      <c r="A587" s="47" t="inlineStr">
        <is>
          <t>이야기모바일</t>
        </is>
      </c>
      <c r="B587" s="47" t="inlineStr">
        <is>
          <t>이야기S 쇼핑케어 71GB+</t>
        </is>
      </c>
      <c r="C587" s="47" t="inlineStr">
        <is>
          <t>무제한</t>
        </is>
      </c>
      <c r="D587" s="47" t="inlineStr">
        <is>
          <t>무제한</t>
        </is>
      </c>
      <c r="E587" s="47" t="inlineStr">
        <is>
          <t>월 11GB + 매일 2GB + 3Mbps</t>
        </is>
      </c>
      <c r="F587" s="47" t="inlineStr">
        <is>
          <t>SKT</t>
        </is>
      </c>
      <c r="G587" s="47" t="inlineStr">
        <is>
          <t>LTE</t>
        </is>
      </c>
      <c r="H587" s="48" t="n">
        <v>14500</v>
      </c>
      <c r="I587" s="48" t="n">
        <v>7</v>
      </c>
      <c r="J587" s="48" t="n">
        <v>39600</v>
      </c>
      <c r="K587" s="47">
        <f t="array" ref="K587">_xlfn.XLOOKUP(1,(참조!$B$2:$B$15=E587)*(참조!$D$2:$D$15=C587)*(참조!$E$2:$E$15=D587),참조!$C$2:$C$15,"")</f>
        <v/>
      </c>
    </row>
    <row r="588" hidden="1" s="27">
      <c r="A588" s="47" t="inlineStr">
        <is>
          <t>이야기모바일</t>
        </is>
      </c>
      <c r="B588" s="47" t="inlineStr">
        <is>
          <t>이야기S 피싱케어 71GB+</t>
        </is>
      </c>
      <c r="C588" s="47" t="inlineStr">
        <is>
          <t>무제한</t>
        </is>
      </c>
      <c r="D588" s="47" t="inlineStr">
        <is>
          <t>무제한</t>
        </is>
      </c>
      <c r="E588" s="47" t="inlineStr">
        <is>
          <t>월 11GB + 매일 2GB + 3Mbps</t>
        </is>
      </c>
      <c r="F588" s="47" t="inlineStr">
        <is>
          <t>SKT</t>
        </is>
      </c>
      <c r="G588" s="47" t="inlineStr">
        <is>
          <t>LTE</t>
        </is>
      </c>
      <c r="H588" s="48" t="n">
        <v>14500</v>
      </c>
      <c r="I588" s="48" t="n">
        <v>7</v>
      </c>
      <c r="J588" s="48" t="n">
        <v>39600</v>
      </c>
      <c r="K588" s="47">
        <f t="array" ref="K588">_xlfn.XLOOKUP(1,(참조!$B$2:$B$15=E588)*(참조!$D$2:$D$15=C588)*(참조!$E$2:$E$15=D588),참조!$C$2:$C$15,"")</f>
        <v/>
      </c>
    </row>
    <row r="589" hidden="1" s="27">
      <c r="A589" s="47" t="inlineStr">
        <is>
          <t>슈가모바일</t>
        </is>
      </c>
      <c r="B589" s="47" t="inlineStr">
        <is>
          <t>슈가안심차단50분1.5G</t>
        </is>
      </c>
      <c r="C589" s="47" t="inlineStr">
        <is>
          <t>50분</t>
        </is>
      </c>
      <c r="D589" s="47" t="inlineStr">
        <is>
          <t>50건</t>
        </is>
      </c>
      <c r="E589" s="47" t="inlineStr">
        <is>
          <t>월 1.5GB</t>
        </is>
      </c>
      <c r="F589" s="47" t="inlineStr">
        <is>
          <t>LG U+</t>
        </is>
      </c>
      <c r="G589" s="47" t="inlineStr">
        <is>
          <t>LTE</t>
        </is>
      </c>
      <c r="H589" s="48" t="n">
        <v>2800</v>
      </c>
      <c r="I589" s="48" t="n"/>
      <c r="J589" s="48" t="n"/>
      <c r="K589" s="47">
        <f t="array" ref="K589">_xlfn.XLOOKUP(1,(참조!$B$2:$B$15=E589)*(참조!$D$2:$D$15=C589)*(참조!$E$2:$E$15=D589),참조!$C$2:$C$15,"")</f>
        <v/>
      </c>
    </row>
    <row r="590" hidden="1" s="27">
      <c r="A590" s="47" t="inlineStr">
        <is>
          <t>티플러스</t>
        </is>
      </c>
      <c r="B590" s="47" t="inlineStr">
        <is>
          <t>티플 10GB(10GB/100분)</t>
        </is>
      </c>
      <c r="C590" s="47" t="inlineStr">
        <is>
          <t>100분</t>
        </is>
      </c>
      <c r="D590" s="47" t="inlineStr">
        <is>
          <t>100건</t>
        </is>
      </c>
      <c r="E590" s="47" t="inlineStr">
        <is>
          <t>월 10GB</t>
        </is>
      </c>
      <c r="F590" s="47" t="inlineStr">
        <is>
          <t>SKT</t>
        </is>
      </c>
      <c r="G590" s="47" t="inlineStr">
        <is>
          <t>LTE</t>
        </is>
      </c>
      <c r="H590" s="48" t="n">
        <v>7990</v>
      </c>
      <c r="I590" s="48" t="n"/>
      <c r="J590" s="48" t="n"/>
      <c r="K590" s="47">
        <f t="array" ref="K590">_xlfn.XLOOKUP(1,(참조!$B$2:$B$15=E590)*(참조!$D$2:$D$15=C590)*(참조!$E$2:$E$15=D590),참조!$C$2:$C$15,"")</f>
        <v/>
      </c>
    </row>
    <row r="591" hidden="1" s="27">
      <c r="A591" s="47" t="inlineStr">
        <is>
          <t>더원모바일</t>
        </is>
      </c>
      <c r="B591" s="47" t="inlineStr">
        <is>
          <t>TOP 5G 200GB 기본 (네이버페이)</t>
        </is>
      </c>
      <c r="C591" s="47" t="inlineStr">
        <is>
          <t>무제한</t>
        </is>
      </c>
      <c r="D591" s="47" t="inlineStr">
        <is>
          <t>무제한</t>
        </is>
      </c>
      <c r="E591" s="47" t="inlineStr">
        <is>
          <t>월 200GB + 10Mbps</t>
        </is>
      </c>
      <c r="F591" s="47" t="inlineStr">
        <is>
          <t>KT</t>
        </is>
      </c>
      <c r="G591" s="47" t="inlineStr">
        <is>
          <t>5G</t>
        </is>
      </c>
      <c r="H591" s="48" t="n">
        <v>24200</v>
      </c>
      <c r="I591" s="48" t="n">
        <v>7</v>
      </c>
      <c r="J591" s="48" t="n">
        <v>55000</v>
      </c>
      <c r="K591" s="47">
        <f t="array" ref="K591">_xlfn.XLOOKUP(1,(참조!$B$2:$B$15=E591)*(참조!$D$2:$D$15=C591)*(참조!$E$2:$E$15=D591),참조!$C$2:$C$15,"")</f>
        <v/>
      </c>
    </row>
    <row r="592" hidden="1" s="27">
      <c r="A592" s="47" t="inlineStr">
        <is>
          <t>KT엠모바일</t>
        </is>
      </c>
      <c r="B592" s="47" t="inlineStr">
        <is>
          <t>모두다 맘껏 15GB+(밀리의 서재 FREE)</t>
        </is>
      </c>
      <c r="C592" s="47" t="inlineStr">
        <is>
          <t>무제한</t>
        </is>
      </c>
      <c r="D592" s="47" t="inlineStr">
        <is>
          <t>무제한</t>
        </is>
      </c>
      <c r="E592" s="47" t="inlineStr">
        <is>
          <t>월 15GB + 1Mbps</t>
        </is>
      </c>
      <c r="F592" s="47" t="inlineStr">
        <is>
          <t>KT</t>
        </is>
      </c>
      <c r="G592" s="47" t="inlineStr">
        <is>
          <t>LTE</t>
        </is>
      </c>
      <c r="H592" s="48" t="n">
        <v>21500</v>
      </c>
      <c r="I592" s="48" t="n"/>
      <c r="J592" s="48" t="n"/>
      <c r="K592" s="47">
        <f t="array" ref="K592">_xlfn.XLOOKUP(1,(참조!$B$2:$B$15=E592)*(참조!$D$2:$D$15=C592)*(참조!$E$2:$E$15=D592),참조!$C$2:$C$15,"")</f>
        <v/>
      </c>
    </row>
    <row r="593" hidden="1" s="27">
      <c r="A593" s="47" t="inlineStr">
        <is>
          <t>LG헬로모바일</t>
        </is>
      </c>
      <c r="B593" s="47" t="inlineStr">
        <is>
          <t>DATA 걱정없는 유심 7GB</t>
        </is>
      </c>
      <c r="C593" s="47" t="inlineStr">
        <is>
          <t>무제한</t>
        </is>
      </c>
      <c r="D593" s="47" t="inlineStr">
        <is>
          <t>무제한</t>
        </is>
      </c>
      <c r="E593" s="47" t="inlineStr">
        <is>
          <t>월 7GB + 1Mbps</t>
        </is>
      </c>
      <c r="F593" s="47" t="inlineStr">
        <is>
          <t>LG U+</t>
        </is>
      </c>
      <c r="G593" s="47" t="inlineStr">
        <is>
          <t>LTE</t>
        </is>
      </c>
      <c r="H593" s="48" t="n">
        <v>15900</v>
      </c>
      <c r="I593" s="48" t="n"/>
      <c r="J593" s="48" t="n"/>
      <c r="K593" s="47">
        <f t="array" ref="K593">_xlfn.XLOOKUP(1,(참조!$B$2:$B$15=E593)*(참조!$D$2:$D$15=C593)*(참조!$E$2:$E$15=D593),참조!$C$2:$C$15,"")</f>
        <v/>
      </c>
    </row>
    <row r="594" hidden="1" s="27">
      <c r="A594" s="47" t="inlineStr">
        <is>
          <t>스마텔</t>
        </is>
      </c>
      <c r="B594" s="47" t="inlineStr">
        <is>
          <t>5G 음성무제한 20GB</t>
        </is>
      </c>
      <c r="C594" s="47" t="inlineStr">
        <is>
          <t>무제한</t>
        </is>
      </c>
      <c r="D594" s="47" t="inlineStr">
        <is>
          <t>200건</t>
        </is>
      </c>
      <c r="E594" s="47" t="inlineStr">
        <is>
          <t>월 20GB</t>
        </is>
      </c>
      <c r="F594" s="47" t="inlineStr">
        <is>
          <t>SKT</t>
        </is>
      </c>
      <c r="G594" s="47" t="inlineStr">
        <is>
          <t>5G</t>
        </is>
      </c>
      <c r="H594" s="48" t="n">
        <v>19600</v>
      </c>
      <c r="I594" s="48" t="n"/>
      <c r="J594" s="48" t="n"/>
      <c r="K594" s="47">
        <f t="array" ref="K594">_xlfn.XLOOKUP(1,(참조!$B$2:$B$15=E594)*(참조!$D$2:$D$15=C594)*(참조!$E$2:$E$15=D594),참조!$C$2:$C$15,"")</f>
        <v/>
      </c>
    </row>
    <row r="595" hidden="1" s="27">
      <c r="A595" s="47" t="inlineStr">
        <is>
          <t>KT스카이라이프</t>
        </is>
      </c>
      <c r="B595" s="47" t="inlineStr">
        <is>
          <t>모두 충분 15GB+(밀리의서재)</t>
        </is>
      </c>
      <c r="C595" s="47" t="inlineStr">
        <is>
          <t>무제한</t>
        </is>
      </c>
      <c r="D595" s="47" t="inlineStr">
        <is>
          <t>무제한</t>
        </is>
      </c>
      <c r="E595" s="47" t="inlineStr">
        <is>
          <t>월 15GB + 1Mbps</t>
        </is>
      </c>
      <c r="F595" s="47" t="inlineStr">
        <is>
          <t>KT</t>
        </is>
      </c>
      <c r="G595" s="47" t="inlineStr">
        <is>
          <t>LTE</t>
        </is>
      </c>
      <c r="H595" s="48" t="n">
        <v>21500</v>
      </c>
      <c r="I595" s="48" t="n"/>
      <c r="J595" s="48" t="n"/>
      <c r="K595" s="47">
        <f t="array" ref="K595">_xlfn.XLOOKUP(1,(참조!$B$2:$B$15=E595)*(참조!$D$2:$D$15=C595)*(참조!$E$2:$E$15=D595),참조!$C$2:$C$15,"")</f>
        <v/>
      </c>
    </row>
    <row r="596" hidden="1" s="27">
      <c r="A596" s="47" t="inlineStr">
        <is>
          <t>티플러스</t>
        </is>
      </c>
      <c r="B596" s="47" t="inlineStr">
        <is>
          <t>5G 가성비플러스(25GB/350분)</t>
        </is>
      </c>
      <c r="C596" s="47" t="inlineStr">
        <is>
          <t>350분</t>
        </is>
      </c>
      <c r="D596" s="47" t="inlineStr">
        <is>
          <t>100건</t>
        </is>
      </c>
      <c r="E596" s="47" t="inlineStr">
        <is>
          <t>월 25GB</t>
        </is>
      </c>
      <c r="F596" s="47" t="inlineStr">
        <is>
          <t>KT</t>
        </is>
      </c>
      <c r="G596" s="47" t="inlineStr">
        <is>
          <t>5G</t>
        </is>
      </c>
      <c r="H596" s="48" t="n">
        <v>5900</v>
      </c>
      <c r="I596" s="48" t="n">
        <v>7</v>
      </c>
      <c r="J596" s="48" t="n">
        <v>34100</v>
      </c>
      <c r="K596" s="47">
        <f t="array" ref="K596">_xlfn.XLOOKUP(1,(참조!$B$2:$B$15=E596)*(참조!$D$2:$D$15=C596)*(참조!$E$2:$E$15=D596),참조!$C$2:$C$15,"")</f>
        <v/>
      </c>
    </row>
    <row r="597" hidden="1" s="27">
      <c r="A597" s="47" t="inlineStr">
        <is>
          <t>이야기모바일</t>
        </is>
      </c>
      <c r="B597" s="47" t="inlineStr">
        <is>
          <t>이야기S 폰케어 71GB+</t>
        </is>
      </c>
      <c r="C597" s="47" t="inlineStr">
        <is>
          <t>무제한</t>
        </is>
      </c>
      <c r="D597" s="47" t="inlineStr">
        <is>
          <t>무제한</t>
        </is>
      </c>
      <c r="E597" s="47" t="inlineStr">
        <is>
          <t>월 11GB + 매일 2GB + 3Mbps</t>
        </is>
      </c>
      <c r="F597" s="47" t="inlineStr">
        <is>
          <t>SKT</t>
        </is>
      </c>
      <c r="G597" s="47" t="inlineStr">
        <is>
          <t>LTE</t>
        </is>
      </c>
      <c r="H597" s="48" t="n">
        <v>14500</v>
      </c>
      <c r="I597" s="48" t="n">
        <v>7</v>
      </c>
      <c r="J597" s="48" t="n">
        <v>39600</v>
      </c>
      <c r="K597" s="47">
        <f t="array" ref="K597">_xlfn.XLOOKUP(1,(참조!$B$2:$B$15=E597)*(참조!$D$2:$D$15=C597)*(참조!$E$2:$E$15=D597),참조!$C$2:$C$15,"")</f>
        <v/>
      </c>
    </row>
    <row r="598" hidden="1" s="27">
      <c r="A598" s="47" t="inlineStr">
        <is>
          <t>모나</t>
        </is>
      </c>
      <c r="B598" s="47" t="inlineStr">
        <is>
          <t>5G_코나아이데이터125G안심5</t>
        </is>
      </c>
      <c r="C598" s="47" t="inlineStr">
        <is>
          <t>무제한</t>
        </is>
      </c>
      <c r="D598" s="47" t="inlineStr">
        <is>
          <t>무제한</t>
        </is>
      </c>
      <c r="E598" s="47" t="inlineStr">
        <is>
          <t>월 125GB + 5Mbps</t>
        </is>
      </c>
      <c r="F598" s="47" t="inlineStr">
        <is>
          <t>LG U+</t>
        </is>
      </c>
      <c r="G598" s="47" t="inlineStr">
        <is>
          <t>5G</t>
        </is>
      </c>
      <c r="H598" s="48" t="n">
        <v>34400</v>
      </c>
      <c r="I598" s="48" t="n">
        <v>7</v>
      </c>
      <c r="J598" s="48" t="n">
        <v>57200</v>
      </c>
      <c r="K598" s="47">
        <f t="array" ref="K598">_xlfn.XLOOKUP(1,(참조!$B$2:$B$15=E598)*(참조!$D$2:$D$15=C598)*(참조!$E$2:$E$15=D598),참조!$C$2:$C$15,"")</f>
        <v/>
      </c>
    </row>
    <row r="599" hidden="1" s="27">
      <c r="A599" s="47" t="inlineStr">
        <is>
          <t>스마텔</t>
        </is>
      </c>
      <c r="B599" s="47" t="inlineStr">
        <is>
          <t>USIM스마트 심플(100분+2.5GB)</t>
        </is>
      </c>
      <c r="C599" s="47" t="inlineStr">
        <is>
          <t>100분</t>
        </is>
      </c>
      <c r="D599" s="47" t="inlineStr">
        <is>
          <t>100건</t>
        </is>
      </c>
      <c r="E599" s="47" t="inlineStr">
        <is>
          <t>월 2.5GB</t>
        </is>
      </c>
      <c r="F599" s="47" t="inlineStr">
        <is>
          <t>LG U+</t>
        </is>
      </c>
      <c r="G599" s="47" t="inlineStr">
        <is>
          <t>LTE</t>
        </is>
      </c>
      <c r="H599" s="48" t="n">
        <v>2800</v>
      </c>
      <c r="I599" s="48" t="n">
        <v>12</v>
      </c>
      <c r="J599" s="48" t="n">
        <v>7500</v>
      </c>
      <c r="K599" s="47">
        <f t="array" ref="K599">_xlfn.XLOOKUP(1,(참조!$B$2:$B$15=E599)*(참조!$D$2:$D$15=C599)*(참조!$E$2:$E$15=D599),참조!$C$2:$C$15,"")</f>
        <v/>
      </c>
    </row>
    <row r="600" hidden="1" s="27">
      <c r="A600" s="47" t="inlineStr">
        <is>
          <t>이야기모바일</t>
        </is>
      </c>
      <c r="B600" s="47" t="inlineStr">
        <is>
          <t>이야기 스탠다드 100분15GB+(24개월)</t>
        </is>
      </c>
      <c r="C600" s="47" t="inlineStr">
        <is>
          <t>100분</t>
        </is>
      </c>
      <c r="D600" s="47" t="inlineStr">
        <is>
          <t>100건</t>
        </is>
      </c>
      <c r="E600" s="47" t="inlineStr">
        <is>
          <t>월 15GB + 3Mbps</t>
        </is>
      </c>
      <c r="F600" s="47" t="inlineStr">
        <is>
          <t>LG U+</t>
        </is>
      </c>
      <c r="G600" s="47" t="inlineStr">
        <is>
          <t>LTE</t>
        </is>
      </c>
      <c r="H600" s="48" t="n">
        <v>21000</v>
      </c>
      <c r="I600" s="48" t="n">
        <v>24</v>
      </c>
      <c r="J600" s="48" t="n">
        <v>31900</v>
      </c>
      <c r="K600" s="47">
        <f t="array" ref="K600">_xlfn.XLOOKUP(1,(참조!$B$2:$B$15=E600)*(참조!$D$2:$D$15=C600)*(참조!$E$2:$E$15=D600),참조!$C$2:$C$15,"")</f>
        <v/>
      </c>
    </row>
    <row r="601" hidden="1" s="27">
      <c r="A601" s="47" t="inlineStr">
        <is>
          <t>티플러스</t>
        </is>
      </c>
      <c r="B601" s="47" t="inlineStr">
        <is>
          <t>티플 15G＋(300분)_24개월 할인</t>
        </is>
      </c>
      <c r="C601" s="47" t="inlineStr">
        <is>
          <t>300분</t>
        </is>
      </c>
      <c r="D601" s="47" t="inlineStr">
        <is>
          <t>300건</t>
        </is>
      </c>
      <c r="E601" s="47" t="inlineStr">
        <is>
          <t>월 15GB + 3Mbps</t>
        </is>
      </c>
      <c r="F601" s="47" t="inlineStr">
        <is>
          <t>LG U+</t>
        </is>
      </c>
      <c r="G601" s="47" t="inlineStr">
        <is>
          <t>LTE</t>
        </is>
      </c>
      <c r="H601" s="48" t="n">
        <v>20900</v>
      </c>
      <c r="I601" s="48" t="n">
        <v>24</v>
      </c>
      <c r="J601" s="48" t="n">
        <v>33000</v>
      </c>
      <c r="K601" s="47">
        <f t="array" ref="K601">_xlfn.XLOOKUP(1,(참조!$B$2:$B$15=E601)*(참조!$D$2:$D$15=C601)*(참조!$E$2:$E$15=D601),참조!$C$2:$C$15,"")</f>
        <v/>
      </c>
    </row>
    <row r="602" hidden="1" s="27">
      <c r="A602" s="47" t="inlineStr">
        <is>
          <t>티플러스</t>
        </is>
      </c>
      <c r="B602" s="47" t="inlineStr">
        <is>
          <t>티플 10GB(10GB/300분)</t>
        </is>
      </c>
      <c r="C602" s="47" t="inlineStr">
        <is>
          <t>300분</t>
        </is>
      </c>
      <c r="D602" s="47" t="inlineStr">
        <is>
          <t>100건</t>
        </is>
      </c>
      <c r="E602" s="47" t="inlineStr">
        <is>
          <t>월 10GB</t>
        </is>
      </c>
      <c r="F602" s="47" t="inlineStr">
        <is>
          <t>LG U+</t>
        </is>
      </c>
      <c r="G602" s="47" t="inlineStr">
        <is>
          <t>LTE</t>
        </is>
      </c>
      <c r="H602" s="48" t="n">
        <v>8990</v>
      </c>
      <c r="I602" s="48" t="n"/>
      <c r="J602" s="48" t="n"/>
      <c r="K602" s="47">
        <f t="array" ref="K602">_xlfn.XLOOKUP(1,(참조!$B$2:$B$15=E602)*(참조!$D$2:$D$15=C602)*(참조!$E$2:$E$15=D602),참조!$C$2:$C$15,"")</f>
        <v/>
      </c>
    </row>
    <row r="603" hidden="1" s="27">
      <c r="A603" s="47" t="inlineStr">
        <is>
          <t>티플러스</t>
        </is>
      </c>
      <c r="B603" s="47" t="inlineStr">
        <is>
          <t>티플 위드유 7GB＋(G car)</t>
        </is>
      </c>
      <c r="C603" s="47" t="inlineStr">
        <is>
          <t>무제한</t>
        </is>
      </c>
      <c r="D603" s="47" t="inlineStr">
        <is>
          <t>무제한</t>
        </is>
      </c>
      <c r="E603" s="47" t="inlineStr">
        <is>
          <t>월 7GB + 1Mbps</t>
        </is>
      </c>
      <c r="F603" s="47" t="inlineStr">
        <is>
          <t>SKT</t>
        </is>
      </c>
      <c r="G603" s="47" t="inlineStr">
        <is>
          <t>LTE</t>
        </is>
      </c>
      <c r="H603" s="48" t="n">
        <v>3000</v>
      </c>
      <c r="I603" s="48" t="n">
        <v>7</v>
      </c>
      <c r="J603" s="48" t="n">
        <v>25300</v>
      </c>
      <c r="K603" s="47">
        <f t="array" ref="K603">_xlfn.XLOOKUP(1,(참조!$B$2:$B$15=E603)*(참조!$D$2:$D$15=C603)*(참조!$E$2:$E$15=D603),참조!$C$2:$C$15,"")</f>
        <v/>
      </c>
    </row>
    <row r="604" hidden="1" s="27">
      <c r="A604" s="47" t="inlineStr">
        <is>
          <t>U+유모바일</t>
        </is>
      </c>
      <c r="B604" s="47" t="inlineStr">
        <is>
          <t>[평생할인] 71GB+/통화기본</t>
        </is>
      </c>
      <c r="C604" s="47" t="inlineStr">
        <is>
          <t>무제한</t>
        </is>
      </c>
      <c r="D604" s="47" t="inlineStr">
        <is>
          <t>무제한</t>
        </is>
      </c>
      <c r="E604" s="47" t="inlineStr">
        <is>
          <t>월 11GB + 매일 2GB + 3Mbps</t>
        </is>
      </c>
      <c r="F604" s="47" t="inlineStr">
        <is>
          <t>LG U+</t>
        </is>
      </c>
      <c r="G604" s="47" t="inlineStr">
        <is>
          <t>LTE</t>
        </is>
      </c>
      <c r="H604" s="48" t="n">
        <v>32990</v>
      </c>
      <c r="I604" s="48" t="n"/>
      <c r="J604" s="48" t="n"/>
      <c r="K604" s="47">
        <f t="array" ref="K604">_xlfn.XLOOKUP(1,(참조!$B$2:$B$15=E604)*(참조!$D$2:$D$15=C604)*(참조!$E$2:$E$15=D604),참조!$C$2:$C$15,"")</f>
        <v/>
      </c>
    </row>
    <row r="605" hidden="1" s="27">
      <c r="A605" s="47" t="inlineStr">
        <is>
          <t>티플러스</t>
        </is>
      </c>
      <c r="B605" s="47" t="inlineStr">
        <is>
          <t>티플 10GB(10GB/100분)</t>
        </is>
      </c>
      <c r="C605" s="47" t="inlineStr">
        <is>
          <t>100분</t>
        </is>
      </c>
      <c r="D605" s="47" t="inlineStr">
        <is>
          <t>100건</t>
        </is>
      </c>
      <c r="E605" s="47" t="inlineStr">
        <is>
          <t>월 10GB</t>
        </is>
      </c>
      <c r="F605" s="47" t="inlineStr">
        <is>
          <t>LG U+</t>
        </is>
      </c>
      <c r="G605" s="47" t="inlineStr">
        <is>
          <t>LTE</t>
        </is>
      </c>
      <c r="H605" s="48" t="n">
        <v>7990</v>
      </c>
      <c r="I605" s="48" t="n"/>
      <c r="J605" s="48" t="n"/>
      <c r="K605" s="47">
        <f t="array" ref="K605">_xlfn.XLOOKUP(1,(참조!$B$2:$B$15=E605)*(참조!$D$2:$D$15=C605)*(참조!$E$2:$E$15=D605),참조!$C$2:$C$15,"")</f>
        <v/>
      </c>
    </row>
    <row r="606" hidden="1" s="27">
      <c r="A606" s="47" t="inlineStr">
        <is>
          <t>티플러스</t>
        </is>
      </c>
      <c r="B606" s="47" t="inlineStr">
        <is>
          <t>티플 100G＋(올리브영 매월 5000P)</t>
        </is>
      </c>
      <c r="C606" s="47" t="inlineStr">
        <is>
          <t>무제한</t>
        </is>
      </c>
      <c r="D606" s="47" t="inlineStr">
        <is>
          <t>무제한</t>
        </is>
      </c>
      <c r="E606" s="47" t="inlineStr">
        <is>
          <t>월 100GB + 5Mbps</t>
        </is>
      </c>
      <c r="F606" s="47" t="inlineStr">
        <is>
          <t>KT</t>
        </is>
      </c>
      <c r="G606" s="47" t="inlineStr">
        <is>
          <t>LTE</t>
        </is>
      </c>
      <c r="H606" s="48" t="n">
        <v>15900</v>
      </c>
      <c r="I606" s="48" t="n">
        <v>7</v>
      </c>
      <c r="J606" s="48" t="n">
        <v>55000</v>
      </c>
      <c r="K606" s="47">
        <f t="array" ref="K606">_xlfn.XLOOKUP(1,(참조!$B$2:$B$15=E606)*(참조!$D$2:$D$15=C606)*(참조!$E$2:$E$15=D606),참조!$C$2:$C$15,"")</f>
        <v/>
      </c>
    </row>
    <row r="607" hidden="1" s="27">
      <c r="A607" s="47" t="inlineStr">
        <is>
          <t>티플러스</t>
        </is>
      </c>
      <c r="B607" s="47" t="inlineStr">
        <is>
          <t>티플 100G＋(웨이브)</t>
        </is>
      </c>
      <c r="C607" s="47" t="inlineStr">
        <is>
          <t>무제한</t>
        </is>
      </c>
      <c r="D607" s="47" t="inlineStr">
        <is>
          <t>무제한</t>
        </is>
      </c>
      <c r="E607" s="47" t="inlineStr">
        <is>
          <t>월 100GB + 5Mbps</t>
        </is>
      </c>
      <c r="F607" s="47" t="inlineStr">
        <is>
          <t>KT</t>
        </is>
      </c>
      <c r="G607" s="47" t="inlineStr">
        <is>
          <t>LTE</t>
        </is>
      </c>
      <c r="H607" s="48" t="n">
        <v>15900</v>
      </c>
      <c r="I607" s="48" t="n">
        <v>7</v>
      </c>
      <c r="J607" s="48" t="n">
        <v>57200</v>
      </c>
      <c r="K607" s="47">
        <f t="array" ref="K607">_xlfn.XLOOKUP(1,(참조!$B$2:$B$15=E607)*(참조!$D$2:$D$15=C607)*(참조!$E$2:$E$15=D607),참조!$C$2:$C$15,"")</f>
        <v/>
      </c>
    </row>
    <row r="608" hidden="1" s="27">
      <c r="A608" s="47" t="inlineStr">
        <is>
          <t>스마텔</t>
        </is>
      </c>
      <c r="B608" s="47" t="inlineStr">
        <is>
          <t>5G스마트플러스(100분 + 3GB)</t>
        </is>
      </c>
      <c r="C608" s="47" t="inlineStr">
        <is>
          <t>100분</t>
        </is>
      </c>
      <c r="D608" s="47" t="inlineStr">
        <is>
          <t>100건</t>
        </is>
      </c>
      <c r="E608" s="47" t="inlineStr">
        <is>
          <t>월 3GB</t>
        </is>
      </c>
      <c r="F608" s="47" t="inlineStr">
        <is>
          <t>LG U+</t>
        </is>
      </c>
      <c r="G608" s="47" t="inlineStr">
        <is>
          <t>5G</t>
        </is>
      </c>
      <c r="H608" s="48" t="n">
        <v>3000</v>
      </c>
      <c r="I608" s="48" t="n">
        <v>12</v>
      </c>
      <c r="J608" s="48" t="n">
        <v>9000</v>
      </c>
      <c r="K608" s="47">
        <f t="array" ref="K608">_xlfn.XLOOKUP(1,(참조!$B$2:$B$15=E608)*(참조!$D$2:$D$15=C608)*(참조!$E$2:$E$15=D608),참조!$C$2:$C$15,"")</f>
        <v/>
      </c>
    </row>
    <row r="609" hidden="1" s="27">
      <c r="A609" s="47" t="inlineStr">
        <is>
          <t>LG헬로모바일</t>
        </is>
      </c>
      <c r="B609" s="47" t="inlineStr">
        <is>
          <t>DATA 걱정없는 유심 100GB</t>
        </is>
      </c>
      <c r="C609" s="47" t="inlineStr">
        <is>
          <t>무제한</t>
        </is>
      </c>
      <c r="D609" s="47" t="inlineStr">
        <is>
          <t>무제한</t>
        </is>
      </c>
      <c r="E609" s="47" t="inlineStr">
        <is>
          <t>월 100GB + 5Mbps</t>
        </is>
      </c>
      <c r="F609" s="47" t="inlineStr">
        <is>
          <t>LG U+</t>
        </is>
      </c>
      <c r="G609" s="47" t="inlineStr">
        <is>
          <t>LTE</t>
        </is>
      </c>
      <c r="H609" s="48" t="n">
        <v>38200</v>
      </c>
      <c r="I609" s="48" t="n"/>
      <c r="J609" s="48" t="n"/>
      <c r="K609" s="47">
        <f t="array" ref="K609">_xlfn.XLOOKUP(1,(참조!$B$2:$B$15=E609)*(참조!$D$2:$D$15=C609)*(참조!$E$2:$E$15=D609),참조!$C$2:$C$15,"")</f>
        <v/>
      </c>
    </row>
    <row r="610" hidden="1" s="27">
      <c r="A610" s="47" t="inlineStr">
        <is>
          <t>KG모바일</t>
        </is>
      </c>
      <c r="B610" s="47" t="inlineStr">
        <is>
          <t>[일반] 유심 5G 125GB+</t>
        </is>
      </c>
      <c r="C610" s="47" t="inlineStr">
        <is>
          <t>무제한</t>
        </is>
      </c>
      <c r="D610" s="47" t="inlineStr">
        <is>
          <t>무제한</t>
        </is>
      </c>
      <c r="E610" s="47" t="inlineStr">
        <is>
          <t>월 125GB + 5Mbps</t>
        </is>
      </c>
      <c r="F610" s="47" t="inlineStr">
        <is>
          <t>LG U+</t>
        </is>
      </c>
      <c r="G610" s="47" t="inlineStr">
        <is>
          <t>5G</t>
        </is>
      </c>
      <c r="H610" s="48" t="n">
        <v>30000</v>
      </c>
      <c r="I610" s="48" t="n">
        <v>12</v>
      </c>
      <c r="J610" s="48" t="n">
        <v>51150</v>
      </c>
      <c r="K610" s="47">
        <f t="array" ref="K610">_xlfn.XLOOKUP(1,(참조!$B$2:$B$15=E610)*(참조!$D$2:$D$15=C610)*(참조!$E$2:$E$15=D610),참조!$C$2:$C$15,"")</f>
        <v/>
      </c>
    </row>
    <row r="611" hidden="1" s="27">
      <c r="A611" s="47" t="inlineStr">
        <is>
          <t>에이모바일</t>
        </is>
      </c>
      <c r="B611" s="47" t="inlineStr">
        <is>
          <t>A 스페셜 100GB+</t>
        </is>
      </c>
      <c r="C611" s="47" t="inlineStr">
        <is>
          <t>무제한</t>
        </is>
      </c>
      <c r="D611" s="47" t="inlineStr">
        <is>
          <t>무제한</t>
        </is>
      </c>
      <c r="E611" s="47" t="inlineStr">
        <is>
          <t>월 100GB + 5Mbps</t>
        </is>
      </c>
      <c r="F611" s="47" t="inlineStr">
        <is>
          <t>LG U+</t>
        </is>
      </c>
      <c r="G611" s="47" t="inlineStr">
        <is>
          <t>LTE</t>
        </is>
      </c>
      <c r="H611" s="48" t="n">
        <v>6600</v>
      </c>
      <c r="I611" s="48" t="n">
        <v>7</v>
      </c>
      <c r="J611" s="48" t="n">
        <v>46200</v>
      </c>
      <c r="K611" s="47">
        <f t="array" ref="K611">_xlfn.XLOOKUP(1,(참조!$B$2:$B$15=E611)*(참조!$D$2:$D$15=C611)*(참조!$E$2:$E$15=D611),참조!$C$2:$C$15,"")</f>
        <v/>
      </c>
    </row>
    <row r="612" hidden="1" s="27">
      <c r="A612" s="47" t="inlineStr">
        <is>
          <t>스마텔</t>
        </is>
      </c>
      <c r="B612" s="47" t="inlineStr">
        <is>
          <t>스마트 100분/15GB+ (24개월)</t>
        </is>
      </c>
      <c r="C612" s="47" t="inlineStr">
        <is>
          <t>100분</t>
        </is>
      </c>
      <c r="D612" s="47" t="inlineStr">
        <is>
          <t>100건</t>
        </is>
      </c>
      <c r="E612" s="47" t="inlineStr">
        <is>
          <t>월 15GB + 3Mbps</t>
        </is>
      </c>
      <c r="F612" s="47" t="inlineStr">
        <is>
          <t>LG U+</t>
        </is>
      </c>
      <c r="G612" s="47" t="inlineStr">
        <is>
          <t>LTE</t>
        </is>
      </c>
      <c r="H612" s="48" t="n">
        <v>21000</v>
      </c>
      <c r="I612" s="48" t="n">
        <v>24</v>
      </c>
      <c r="J612" s="48" t="n">
        <v>39860</v>
      </c>
      <c r="K612" s="47">
        <f t="array" ref="K612">_xlfn.XLOOKUP(1,(참조!$B$2:$B$15=E612)*(참조!$D$2:$D$15=C612)*(참조!$E$2:$E$15=D612),참조!$C$2:$C$15,"")</f>
        <v/>
      </c>
    </row>
    <row r="613" hidden="1" s="27">
      <c r="A613" s="47" t="inlineStr">
        <is>
          <t>모나</t>
        </is>
      </c>
      <c r="B613" s="47" t="inlineStr">
        <is>
          <t>편의점_데이터11G+일2G</t>
        </is>
      </c>
      <c r="C613" s="47" t="inlineStr">
        <is>
          <t>무제한</t>
        </is>
      </c>
      <c r="D613" s="47" t="inlineStr">
        <is>
          <t>무제한</t>
        </is>
      </c>
      <c r="E613" s="47" t="inlineStr">
        <is>
          <t>월 11GB + 매일 2GB + 3Mbps</t>
        </is>
      </c>
      <c r="F613" s="47" t="inlineStr">
        <is>
          <t>LG U+</t>
        </is>
      </c>
      <c r="G613" s="47" t="inlineStr">
        <is>
          <t>LTE</t>
        </is>
      </c>
      <c r="H613" s="48" t="n">
        <v>29500</v>
      </c>
      <c r="I613" s="48" t="n">
        <v>24</v>
      </c>
      <c r="J613" s="48" t="n">
        <v>44000</v>
      </c>
      <c r="K613" s="47">
        <f t="array" ref="K613">_xlfn.XLOOKUP(1,(참조!$B$2:$B$15=E613)*(참조!$D$2:$D$15=C613)*(참조!$E$2:$E$15=D613),참조!$C$2:$C$15,"")</f>
        <v/>
      </c>
    </row>
    <row r="614" hidden="1" s="27">
      <c r="A614" s="47" t="inlineStr">
        <is>
          <t>이야기모바일</t>
        </is>
      </c>
      <c r="B614" s="47" t="inlineStr">
        <is>
          <t>[모요only] 내맘대로 (100분+1GB)</t>
        </is>
      </c>
      <c r="C614" s="47" t="inlineStr">
        <is>
          <t>100분</t>
        </is>
      </c>
      <c r="D614" s="47" t="inlineStr">
        <is>
          <t>50건</t>
        </is>
      </c>
      <c r="E614" s="47" t="inlineStr">
        <is>
          <t>월 1GB</t>
        </is>
      </c>
      <c r="F614" s="47" t="inlineStr">
        <is>
          <t>LG U+</t>
        </is>
      </c>
      <c r="G614" s="47" t="inlineStr">
        <is>
          <t>LTE</t>
        </is>
      </c>
      <c r="H614" s="48" t="n">
        <v>5390</v>
      </c>
      <c r="I614" s="48" t="n"/>
      <c r="J614" s="48" t="n"/>
      <c r="K614" s="47">
        <f t="array" ref="K614">_xlfn.XLOOKUP(1,(참조!$B$2:$B$15=E614)*(참조!$D$2:$D$15=C614)*(참조!$E$2:$E$15=D614),참조!$C$2:$C$15,"")</f>
        <v/>
      </c>
    </row>
    <row r="615" hidden="1" s="27">
      <c r="A615" s="47" t="inlineStr">
        <is>
          <t>티플러스</t>
        </is>
      </c>
      <c r="B615" s="47" t="inlineStr">
        <is>
          <t>The 마음껏 매일5G＋(올리브영 매월 5000P)</t>
        </is>
      </c>
      <c r="C615" s="47" t="inlineStr">
        <is>
          <t>무제한</t>
        </is>
      </c>
      <c r="D615" s="47" t="inlineStr">
        <is>
          <t>무제한</t>
        </is>
      </c>
      <c r="E615" s="47" t="inlineStr">
        <is>
          <t>매일 5GB + 5Mbps</t>
        </is>
      </c>
      <c r="F615" s="47" t="inlineStr">
        <is>
          <t>LG U+</t>
        </is>
      </c>
      <c r="G615" s="47" t="inlineStr">
        <is>
          <t>LTE</t>
        </is>
      </c>
      <c r="H615" s="48" t="n">
        <v>30900</v>
      </c>
      <c r="I615" s="48" t="n">
        <v>24</v>
      </c>
      <c r="J615" s="48" t="n">
        <v>46200</v>
      </c>
      <c r="K615" s="47">
        <f t="array" ref="K615">_xlfn.XLOOKUP(1,(참조!$B$2:$B$15=E615)*(참조!$D$2:$D$15=C615)*(참조!$E$2:$E$15=D615),참조!$C$2:$C$15,"")</f>
        <v/>
      </c>
    </row>
    <row r="616" hidden="1" s="27">
      <c r="A616" s="47" t="inlineStr">
        <is>
          <t>이야기모바일</t>
        </is>
      </c>
      <c r="B616" s="47" t="inlineStr">
        <is>
          <t>내맘대로 차단형 (50분+500MB)</t>
        </is>
      </c>
      <c r="C616" s="47" t="inlineStr">
        <is>
          <t>50분</t>
        </is>
      </c>
      <c r="D616" s="47" t="inlineStr">
        <is>
          <t>50건</t>
        </is>
      </c>
      <c r="E616" s="47" t="inlineStr">
        <is>
          <t>월 500MB</t>
        </is>
      </c>
      <c r="F616" s="47" t="inlineStr">
        <is>
          <t>LG U+</t>
        </is>
      </c>
      <c r="G616" s="47" t="inlineStr">
        <is>
          <t>LTE</t>
        </is>
      </c>
      <c r="H616" s="48" t="n">
        <v>4950</v>
      </c>
      <c r="I616" s="48" t="n"/>
      <c r="J616" s="48" t="n"/>
      <c r="K616" s="47">
        <f t="array" ref="K616">_xlfn.XLOOKUP(1,(참조!$B$2:$B$15=E616)*(참조!$D$2:$D$15=C616)*(참조!$E$2:$E$15=D616),참조!$C$2:$C$15,"")</f>
        <v/>
      </c>
    </row>
    <row r="617" hidden="1" s="27">
      <c r="A617" s="47" t="inlineStr">
        <is>
          <t>찬스모바일</t>
        </is>
      </c>
      <c r="B617" s="47" t="inlineStr">
        <is>
          <t>[모요only] 알찬 음성기본7GB+</t>
        </is>
      </c>
      <c r="C617" s="47" t="inlineStr">
        <is>
          <t>무제한</t>
        </is>
      </c>
      <c r="D617" s="47" t="inlineStr">
        <is>
          <t>무제한</t>
        </is>
      </c>
      <c r="E617" s="47" t="inlineStr">
        <is>
          <t>월 7GB + 1Mbps</t>
        </is>
      </c>
      <c r="F617" s="47" t="inlineStr">
        <is>
          <t>LG U+</t>
        </is>
      </c>
      <c r="G617" s="47" t="inlineStr">
        <is>
          <t>LTE</t>
        </is>
      </c>
      <c r="H617" s="48" t="n">
        <v>4620</v>
      </c>
      <c r="I617" s="48" t="n">
        <v>7</v>
      </c>
      <c r="J617" s="48" t="n">
        <v>19800</v>
      </c>
      <c r="K617" s="47">
        <f t="array" ref="K617">_xlfn.XLOOKUP(1,(참조!$B$2:$B$15=E617)*(참조!$D$2:$D$15=C617)*(참조!$E$2:$E$15=D617),참조!$C$2:$C$15,"")</f>
        <v/>
      </c>
    </row>
    <row r="618" hidden="1" s="27">
      <c r="A618" s="47" t="inlineStr">
        <is>
          <t>KT엠모바일</t>
        </is>
      </c>
      <c r="B618" s="47" t="inlineStr">
        <is>
          <t>모두다 맘껏 11GB+(밀리의 서재 FREE)</t>
        </is>
      </c>
      <c r="C618" s="47" t="inlineStr">
        <is>
          <t>무제한</t>
        </is>
      </c>
      <c r="D618" s="47" t="inlineStr">
        <is>
          <t>무제한</t>
        </is>
      </c>
      <c r="E618" s="47" t="inlineStr">
        <is>
          <t>월 11GB + 매일 2GB + 3Mbps</t>
        </is>
      </c>
      <c r="F618" s="47" t="inlineStr">
        <is>
          <t>KT</t>
        </is>
      </c>
      <c r="G618" s="47" t="inlineStr">
        <is>
          <t>LTE</t>
        </is>
      </c>
      <c r="H618" s="48" t="n">
        <v>33100</v>
      </c>
      <c r="I618" s="48" t="n"/>
      <c r="J618" s="48" t="n"/>
      <c r="K618" s="47">
        <f t="array" ref="K618">_xlfn.XLOOKUP(1,(참조!$B$2:$B$15=E618)*(참조!$D$2:$D$15=C618)*(참조!$E$2:$E$15=D618),참조!$C$2:$C$15,"")</f>
        <v/>
      </c>
    </row>
    <row r="619" hidden="1" s="27">
      <c r="A619" s="47" t="inlineStr">
        <is>
          <t>에이모바일</t>
        </is>
      </c>
      <c r="B619" s="47" t="inlineStr">
        <is>
          <t>A 스페셜 11GB+</t>
        </is>
      </c>
      <c r="C619" s="47" t="inlineStr">
        <is>
          <t>무제한</t>
        </is>
      </c>
      <c r="D619" s="47" t="inlineStr">
        <is>
          <t>무제한</t>
        </is>
      </c>
      <c r="E619" s="47" t="inlineStr">
        <is>
          <t>월 11GB + 매일 2GB + 3Mbps</t>
        </is>
      </c>
      <c r="F619" s="47" t="inlineStr">
        <is>
          <t>LG U+</t>
        </is>
      </c>
      <c r="G619" s="47" t="inlineStr">
        <is>
          <t>LTE</t>
        </is>
      </c>
      <c r="H619" s="48" t="n">
        <v>4500</v>
      </c>
      <c r="I619" s="48" t="n">
        <v>7</v>
      </c>
      <c r="J619" s="48" t="n">
        <v>36300</v>
      </c>
      <c r="K619" s="47">
        <f t="array" ref="K619">_xlfn.XLOOKUP(1,(참조!$B$2:$B$15=E619)*(참조!$D$2:$D$15=C619)*(참조!$E$2:$E$15=D619),참조!$C$2:$C$15,"")</f>
        <v/>
      </c>
    </row>
    <row r="620" hidden="1" s="27">
      <c r="A620" s="47" t="inlineStr">
        <is>
          <t>슈가모바일</t>
        </is>
      </c>
      <c r="B620" s="47" t="inlineStr">
        <is>
          <t>Sugar 9GB+1Mbps(R)</t>
        </is>
      </c>
      <c r="C620" s="47" t="inlineStr">
        <is>
          <t>1,000분</t>
        </is>
      </c>
      <c r="D620" s="47" t="inlineStr">
        <is>
          <t>200건</t>
        </is>
      </c>
      <c r="E620" s="47" t="inlineStr">
        <is>
          <t>월 9GB + 1Mbps</t>
        </is>
      </c>
      <c r="F620" s="47" t="inlineStr">
        <is>
          <t>LG U+</t>
        </is>
      </c>
      <c r="G620" s="47" t="inlineStr">
        <is>
          <t>LTE</t>
        </is>
      </c>
      <c r="H620" s="48" t="n">
        <v>1100</v>
      </c>
      <c r="I620" s="48" t="n">
        <v>6</v>
      </c>
      <c r="J620" s="48" t="n">
        <v>26400</v>
      </c>
      <c r="K620" s="47">
        <f t="array" ref="K620">_xlfn.XLOOKUP(1,(참조!$B$2:$B$15=E620)*(참조!$D$2:$D$15=C620)*(참조!$E$2:$E$15=D620),참조!$C$2:$C$15,"")</f>
        <v/>
      </c>
    </row>
    <row r="621" hidden="1" s="27">
      <c r="A621" s="47" t="inlineStr">
        <is>
          <t>이야기모바일</t>
        </is>
      </c>
      <c r="B621" s="47" t="inlineStr">
        <is>
          <t>5G 함께이야기해S 무한 10GB</t>
        </is>
      </c>
      <c r="C621" s="47" t="inlineStr">
        <is>
          <t>무제한</t>
        </is>
      </c>
      <c r="D621" s="47" t="inlineStr">
        <is>
          <t>무제한</t>
        </is>
      </c>
      <c r="E621" s="47" t="inlineStr">
        <is>
          <t>월 10GB</t>
        </is>
      </c>
      <c r="F621" s="47" t="inlineStr">
        <is>
          <t>SKT</t>
        </is>
      </c>
      <c r="G621" s="47" t="inlineStr">
        <is>
          <t>5G</t>
        </is>
      </c>
      <c r="H621" s="48" t="n">
        <v>14300</v>
      </c>
      <c r="I621" s="48" t="n"/>
      <c r="J621" s="48" t="n"/>
      <c r="K621" s="47">
        <f t="array" ref="K621">_xlfn.XLOOKUP(1,(참조!$B$2:$B$15=E621)*(참조!$D$2:$D$15=C621)*(참조!$E$2:$E$15=D621),참조!$C$2:$C$15,"")</f>
        <v/>
      </c>
    </row>
    <row r="622" hidden="1" s="27">
      <c r="A622" s="47" t="inlineStr">
        <is>
          <t>KT스카이라이프</t>
        </is>
      </c>
      <c r="B622" s="47" t="inlineStr">
        <is>
          <t>모두 충분 7GB+(후후안심)</t>
        </is>
      </c>
      <c r="C622" s="47" t="inlineStr">
        <is>
          <t>무제한</t>
        </is>
      </c>
      <c r="D622" s="47" t="inlineStr">
        <is>
          <t>무제한</t>
        </is>
      </c>
      <c r="E622" s="47" t="inlineStr">
        <is>
          <t>월 7GB + 1Mbps</t>
        </is>
      </c>
      <c r="F622" s="47" t="inlineStr">
        <is>
          <t>KT</t>
        </is>
      </c>
      <c r="G622" s="47" t="inlineStr">
        <is>
          <t>LTE</t>
        </is>
      </c>
      <c r="H622" s="48" t="n">
        <v>16700</v>
      </c>
      <c r="I622" s="48" t="n"/>
      <c r="J622" s="48" t="n"/>
      <c r="K622" s="47">
        <f t="array" ref="K622">_xlfn.XLOOKUP(1,(참조!$B$2:$B$15=E622)*(참조!$D$2:$D$15=C622)*(참조!$E$2:$E$15=D622),참조!$C$2:$C$15,"")</f>
        <v/>
      </c>
    </row>
    <row r="623" hidden="1" s="27">
      <c r="A623" s="47" t="inlineStr">
        <is>
          <t>KG모바일</t>
        </is>
      </c>
      <c r="B623" s="47" t="inlineStr">
        <is>
          <t>[평생할인] 데이터 마음대로 (15GB+/300분)</t>
        </is>
      </c>
      <c r="C623" s="47" t="inlineStr">
        <is>
          <t>300분</t>
        </is>
      </c>
      <c r="D623" s="47" t="inlineStr">
        <is>
          <t>300건</t>
        </is>
      </c>
      <c r="E623" s="47" t="inlineStr">
        <is>
          <t>월 15GB + 3Mbps</t>
        </is>
      </c>
      <c r="F623" s="47" t="inlineStr">
        <is>
          <t>LG U+</t>
        </is>
      </c>
      <c r="G623" s="47" t="inlineStr">
        <is>
          <t>LTE</t>
        </is>
      </c>
      <c r="H623" s="48" t="n">
        <v>24100</v>
      </c>
      <c r="I623" s="48" t="n"/>
      <c r="J623" s="48" t="n"/>
      <c r="K623" s="47">
        <f t="array" ref="K623">_xlfn.XLOOKUP(1,(참조!$B$2:$B$15=E623)*(참조!$D$2:$D$15=C623)*(참조!$E$2:$E$15=D623),참조!$C$2:$C$15,"")</f>
        <v/>
      </c>
    </row>
    <row r="624" hidden="1" s="27">
      <c r="A624" s="47" t="inlineStr">
        <is>
          <t>티플러스</t>
        </is>
      </c>
      <c r="B624" s="47" t="inlineStr">
        <is>
          <t>The 마음껏 매일5G+(카톡 이모티콘+예스24e북)</t>
        </is>
      </c>
      <c r="C624" s="47" t="inlineStr">
        <is>
          <t>무제한</t>
        </is>
      </c>
      <c r="D624" s="47" t="inlineStr">
        <is>
          <t>무제한</t>
        </is>
      </c>
      <c r="E624" s="47" t="inlineStr">
        <is>
          <t>매일 5GB + 5Mbps</t>
        </is>
      </c>
      <c r="F624" s="47" t="inlineStr">
        <is>
          <t>LG U+</t>
        </is>
      </c>
      <c r="G624" s="47" t="inlineStr">
        <is>
          <t>LTE</t>
        </is>
      </c>
      <c r="H624" s="48" t="n">
        <v>30900</v>
      </c>
      <c r="I624" s="48" t="n">
        <v>24</v>
      </c>
      <c r="J624" s="48" t="n">
        <v>46200</v>
      </c>
      <c r="K624" s="47">
        <f t="array" ref="K624">_xlfn.XLOOKUP(1,(참조!$B$2:$B$15=E624)*(참조!$D$2:$D$15=C624)*(참조!$E$2:$E$15=D624),참조!$C$2:$C$15,"")</f>
        <v/>
      </c>
    </row>
    <row r="625" hidden="1" s="27">
      <c r="A625" s="47" t="inlineStr">
        <is>
          <t>티플러스</t>
        </is>
      </c>
      <c r="B625" s="47" t="inlineStr">
        <is>
          <t>The 마음껏 매일5G+(컬쳐랜드 문화상품권 매월 5000P)</t>
        </is>
      </c>
      <c r="C625" s="47" t="inlineStr">
        <is>
          <t>무제한</t>
        </is>
      </c>
      <c r="D625" s="47" t="inlineStr">
        <is>
          <t>무제한</t>
        </is>
      </c>
      <c r="E625" s="47" t="inlineStr">
        <is>
          <t>매일 5GB + 5Mbps</t>
        </is>
      </c>
      <c r="F625" s="47" t="inlineStr">
        <is>
          <t>LG U+</t>
        </is>
      </c>
      <c r="G625" s="47" t="inlineStr">
        <is>
          <t>LTE</t>
        </is>
      </c>
      <c r="H625" s="48" t="n">
        <v>30900</v>
      </c>
      <c r="I625" s="48" t="n">
        <v>24</v>
      </c>
      <c r="J625" s="48" t="n">
        <v>46200</v>
      </c>
      <c r="K625" s="47">
        <f t="array" ref="K625">_xlfn.XLOOKUP(1,(참조!$B$2:$B$15=E625)*(참조!$D$2:$D$15=C625)*(참조!$E$2:$E$15=D625),참조!$C$2:$C$15,"")</f>
        <v/>
      </c>
    </row>
    <row r="626" hidden="1" s="27">
      <c r="A626" s="47" t="inlineStr">
        <is>
          <t>티플러스</t>
        </is>
      </c>
      <c r="B626" s="47" t="inlineStr">
        <is>
          <t>The 마음껏 매일5G＋(스타벅스 매월 5000P)</t>
        </is>
      </c>
      <c r="C626" s="47" t="inlineStr">
        <is>
          <t>무제한</t>
        </is>
      </c>
      <c r="D626" s="47" t="inlineStr">
        <is>
          <t>무제한</t>
        </is>
      </c>
      <c r="E626" s="47" t="inlineStr">
        <is>
          <t>매일 5GB + 5Mbps</t>
        </is>
      </c>
      <c r="F626" s="47" t="inlineStr">
        <is>
          <t>LG U+</t>
        </is>
      </c>
      <c r="G626" s="47" t="inlineStr">
        <is>
          <t>LTE</t>
        </is>
      </c>
      <c r="H626" s="48" t="n">
        <v>30900</v>
      </c>
      <c r="I626" s="48" t="n">
        <v>24</v>
      </c>
      <c r="J626" s="48" t="n">
        <v>46200</v>
      </c>
      <c r="K626" s="47">
        <f t="array" ref="K626">_xlfn.XLOOKUP(1,(참조!$B$2:$B$15=E626)*(참조!$D$2:$D$15=C626)*(참조!$E$2:$E$15=D626),참조!$C$2:$C$15,"")</f>
        <v/>
      </c>
    </row>
    <row r="627" hidden="1" s="27">
      <c r="A627" s="47" t="inlineStr">
        <is>
          <t>이지모바일</t>
        </is>
      </c>
      <c r="B627" s="47" t="inlineStr">
        <is>
          <t>이지 더 오래쓰는 무제한 100G+5</t>
        </is>
      </c>
      <c r="C627" s="47" t="inlineStr">
        <is>
          <t>무제한</t>
        </is>
      </c>
      <c r="D627" s="47" t="inlineStr">
        <is>
          <t>무제한</t>
        </is>
      </c>
      <c r="E627" s="47" t="inlineStr">
        <is>
          <t>월 100GB + 5Mbps</t>
        </is>
      </c>
      <c r="F627" s="47" t="inlineStr">
        <is>
          <t>LG U+</t>
        </is>
      </c>
      <c r="G627" s="47" t="inlineStr">
        <is>
          <t>LTE</t>
        </is>
      </c>
      <c r="H627" s="48" t="n">
        <v>30250</v>
      </c>
      <c r="I627" s="48" t="n">
        <v>24</v>
      </c>
      <c r="J627" s="48" t="n">
        <v>46200</v>
      </c>
      <c r="K627" s="47">
        <f t="array" ref="K627">_xlfn.XLOOKUP(1,(참조!$B$2:$B$15=E627)*(참조!$D$2:$D$15=C627)*(참조!$E$2:$E$15=D627),참조!$C$2:$C$15,"")</f>
        <v/>
      </c>
    </row>
    <row r="628" hidden="1" s="27">
      <c r="A628" s="47" t="inlineStr">
        <is>
          <t>티플러스</t>
        </is>
      </c>
      <c r="B628" s="47" t="inlineStr">
        <is>
          <t>The 완전마음껏 100G+(컬쳐랜드 문화상품권 매월 5000P)</t>
        </is>
      </c>
      <c r="C628" s="47" t="inlineStr">
        <is>
          <t>무제한</t>
        </is>
      </c>
      <c r="D628" s="47" t="inlineStr">
        <is>
          <t>무제한</t>
        </is>
      </c>
      <c r="E628" s="47" t="inlineStr">
        <is>
          <t>월 100GB + 5Mbps</t>
        </is>
      </c>
      <c r="F628" s="47" t="inlineStr">
        <is>
          <t>LG U+</t>
        </is>
      </c>
      <c r="G628" s="47" t="inlineStr">
        <is>
          <t>LTE</t>
        </is>
      </c>
      <c r="H628" s="48" t="n">
        <v>30900</v>
      </c>
      <c r="I628" s="48" t="n">
        <v>24</v>
      </c>
      <c r="J628" s="48" t="n">
        <v>52800</v>
      </c>
      <c r="K628" s="47">
        <f t="array" ref="K628">_xlfn.XLOOKUP(1,(참조!$B$2:$B$15=E628)*(참조!$D$2:$D$15=C628)*(참조!$E$2:$E$15=D628),참조!$C$2:$C$15,"")</f>
        <v/>
      </c>
    </row>
    <row r="629" hidden="1" s="27">
      <c r="A629" s="47" t="inlineStr">
        <is>
          <t>U+유모바일</t>
        </is>
      </c>
      <c r="B629" s="47" t="inlineStr">
        <is>
          <t>[평생할인] 2.5GB/통화기본</t>
        </is>
      </c>
      <c r="C629" s="47" t="inlineStr">
        <is>
          <t>무제한</t>
        </is>
      </c>
      <c r="D629" s="47" t="inlineStr">
        <is>
          <t>무제한</t>
        </is>
      </c>
      <c r="E629" s="47" t="inlineStr">
        <is>
          <t>월 2.5GB</t>
        </is>
      </c>
      <c r="F629" s="47" t="inlineStr">
        <is>
          <t>LG U+</t>
        </is>
      </c>
      <c r="G629" s="47" t="inlineStr">
        <is>
          <t>LTE</t>
        </is>
      </c>
      <c r="H629" s="48" t="n">
        <v>6900</v>
      </c>
      <c r="I629" s="48" t="n"/>
      <c r="J629" s="48" t="n"/>
      <c r="K629" s="47">
        <f t="array" ref="K629">_xlfn.XLOOKUP(1,(참조!$B$2:$B$15=E629)*(참조!$D$2:$D$15=C629)*(참조!$E$2:$E$15=D629),참조!$C$2:$C$15,"")</f>
        <v/>
      </c>
    </row>
    <row r="630" hidden="1" s="27">
      <c r="A630" s="47" t="inlineStr">
        <is>
          <t>에이모바일</t>
        </is>
      </c>
      <c r="B630" s="47" t="inlineStr">
        <is>
          <t>A 넥스트 71GB+</t>
        </is>
      </c>
      <c r="C630" s="47" t="inlineStr">
        <is>
          <t>무제한</t>
        </is>
      </c>
      <c r="D630" s="47" t="inlineStr">
        <is>
          <t>무제한</t>
        </is>
      </c>
      <c r="E630" s="47" t="inlineStr">
        <is>
          <t>월 11GB + 매일 2GB + 3Mbps</t>
        </is>
      </c>
      <c r="F630" s="47" t="inlineStr">
        <is>
          <t>SKT</t>
        </is>
      </c>
      <c r="G630" s="47" t="inlineStr">
        <is>
          <t>LTE</t>
        </is>
      </c>
      <c r="H630" s="48" t="n">
        <v>5000</v>
      </c>
      <c r="I630" s="48" t="n">
        <v>7</v>
      </c>
      <c r="J630" s="48" t="n">
        <v>36300</v>
      </c>
      <c r="K630" s="47">
        <f t="array" ref="K630">_xlfn.XLOOKUP(1,(참조!$B$2:$B$15=E630)*(참조!$D$2:$D$15=C630)*(참조!$E$2:$E$15=D630),참조!$C$2:$C$15,"")</f>
        <v/>
      </c>
    </row>
    <row r="631" hidden="1" s="27">
      <c r="A631" s="47" t="inlineStr">
        <is>
          <t>찬스모바일</t>
        </is>
      </c>
      <c r="B631" s="47" t="inlineStr">
        <is>
          <t>실속데이터 100분 10GB</t>
        </is>
      </c>
      <c r="C631" s="47" t="inlineStr">
        <is>
          <t>100분</t>
        </is>
      </c>
      <c r="D631" s="47" t="inlineStr">
        <is>
          <t>100건</t>
        </is>
      </c>
      <c r="E631" s="47" t="inlineStr">
        <is>
          <t>월 10GB</t>
        </is>
      </c>
      <c r="F631" s="47" t="inlineStr">
        <is>
          <t>LG U+</t>
        </is>
      </c>
      <c r="G631" s="47" t="inlineStr">
        <is>
          <t>LTE</t>
        </is>
      </c>
      <c r="H631" s="48" t="n">
        <v>1890</v>
      </c>
      <c r="I631" s="48" t="n">
        <v>6</v>
      </c>
      <c r="J631" s="48" t="n">
        <v>13200</v>
      </c>
      <c r="K631" s="47">
        <f t="array" ref="K631">_xlfn.XLOOKUP(1,(참조!$B$2:$B$15=E631)*(참조!$D$2:$D$15=C631)*(참조!$E$2:$E$15=D631),참조!$C$2:$C$15,"")</f>
        <v/>
      </c>
    </row>
    <row r="632" hidden="1" s="27">
      <c r="A632" s="47" t="inlineStr">
        <is>
          <t>슈가모바일</t>
        </is>
      </c>
      <c r="B632" s="47" t="inlineStr">
        <is>
          <t>슈가X윌라 7GB+</t>
        </is>
      </c>
      <c r="C632" s="47" t="inlineStr">
        <is>
          <t>무제한</t>
        </is>
      </c>
      <c r="D632" s="47" t="inlineStr">
        <is>
          <t>무제한</t>
        </is>
      </c>
      <c r="E632" s="47" t="inlineStr">
        <is>
          <t>월 7GB + 1Mbps</t>
        </is>
      </c>
      <c r="F632" s="47" t="inlineStr">
        <is>
          <t>LG U+</t>
        </is>
      </c>
      <c r="G632" s="47" t="inlineStr">
        <is>
          <t>LTE</t>
        </is>
      </c>
      <c r="H632" s="48" t="n">
        <v>12500</v>
      </c>
      <c r="I632" s="48" t="n">
        <v>24</v>
      </c>
      <c r="J632" s="48" t="n">
        <v>27000</v>
      </c>
      <c r="K632" s="47">
        <f t="array" ref="K632">_xlfn.XLOOKUP(1,(참조!$B$2:$B$15=E632)*(참조!$D$2:$D$15=C632)*(참조!$E$2:$E$15=D632),참조!$C$2:$C$15,"")</f>
        <v/>
      </c>
    </row>
    <row r="633" hidden="1" s="27">
      <c r="A633" s="47" t="inlineStr">
        <is>
          <t>쉐이크모바일</t>
        </is>
      </c>
      <c r="B633" s="47" t="inlineStr">
        <is>
          <t>[모요only] 쉐이크 LTE 7GB+_밀리의서재</t>
        </is>
      </c>
      <c r="C633" s="47" t="inlineStr">
        <is>
          <t>무제한</t>
        </is>
      </c>
      <c r="D633" s="47" t="inlineStr">
        <is>
          <t>무제한</t>
        </is>
      </c>
      <c r="E633" s="47" t="inlineStr">
        <is>
          <t>월 7GB + 1Mbps</t>
        </is>
      </c>
      <c r="F633" s="47" t="inlineStr">
        <is>
          <t>KT</t>
        </is>
      </c>
      <c r="G633" s="47" t="inlineStr">
        <is>
          <t>LTE</t>
        </is>
      </c>
      <c r="H633" s="48" t="n">
        <v>13000</v>
      </c>
      <c r="I633" s="48" t="n">
        <v>12</v>
      </c>
      <c r="J633" s="48" t="n">
        <v>23100</v>
      </c>
      <c r="K633" s="47">
        <f t="array" ref="K633">_xlfn.XLOOKUP(1,(참조!$B$2:$B$15=E633)*(참조!$D$2:$D$15=C633)*(참조!$E$2:$E$15=D633),참조!$C$2:$C$15,"")</f>
        <v/>
      </c>
    </row>
    <row r="634" hidden="1" s="27">
      <c r="A634" s="47" t="inlineStr">
        <is>
          <t>U+유모바일</t>
        </is>
      </c>
      <c r="B634" s="47" t="inlineStr">
        <is>
          <t>빽다방 100잔 5G 10GB</t>
        </is>
      </c>
      <c r="C634" s="47" t="inlineStr">
        <is>
          <t>무제한</t>
        </is>
      </c>
      <c r="D634" s="47" t="inlineStr">
        <is>
          <t>무제한</t>
        </is>
      </c>
      <c r="E634" s="47" t="inlineStr">
        <is>
          <t>월 10GB</t>
        </is>
      </c>
      <c r="F634" s="47" t="inlineStr">
        <is>
          <t>LG U+</t>
        </is>
      </c>
      <c r="G634" s="47" t="inlineStr">
        <is>
          <t>5G</t>
        </is>
      </c>
      <c r="H634" s="48" t="n">
        <v>14000</v>
      </c>
      <c r="I634" s="48" t="n"/>
      <c r="J634" s="48" t="n"/>
      <c r="K634" s="47">
        <f t="array" ref="K634">_xlfn.XLOOKUP(1,(참조!$B$2:$B$15=E634)*(참조!$D$2:$D$15=C634)*(참조!$E$2:$E$15=D634),참조!$C$2:$C$15,"")</f>
        <v/>
      </c>
    </row>
    <row r="635" hidden="1" s="27">
      <c r="A635" s="47" t="inlineStr">
        <is>
          <t>슈가모바일</t>
        </is>
      </c>
      <c r="B635" s="47" t="inlineStr">
        <is>
          <t>5G 슈가X윌라 95G+</t>
        </is>
      </c>
      <c r="C635" s="47" t="inlineStr">
        <is>
          <t>무제한</t>
        </is>
      </c>
      <c r="D635" s="47" t="inlineStr">
        <is>
          <t>무제한</t>
        </is>
      </c>
      <c r="E635" s="47" t="inlineStr">
        <is>
          <t>월 95GB + 3Mbps</t>
        </is>
      </c>
      <c r="F635" s="47" t="inlineStr">
        <is>
          <t>LG U+</t>
        </is>
      </c>
      <c r="G635" s="47" t="inlineStr">
        <is>
          <t>5G</t>
        </is>
      </c>
      <c r="H635" s="48" t="n">
        <v>29500</v>
      </c>
      <c r="I635" s="48" t="n">
        <v>24</v>
      </c>
      <c r="J635" s="48" t="n">
        <v>52000</v>
      </c>
      <c r="K635" s="47">
        <f t="array" ref="K635">_xlfn.XLOOKUP(1,(참조!$B$2:$B$15=E635)*(참조!$D$2:$D$15=C635)*(참조!$E$2:$E$15=D635),참조!$C$2:$C$15,"")</f>
        <v/>
      </c>
    </row>
    <row r="636" hidden="1" s="27">
      <c r="A636" s="47" t="inlineStr">
        <is>
          <t>스마텔</t>
        </is>
      </c>
      <c r="B636" s="47" t="inlineStr">
        <is>
          <t>LTE 음성무제한 20GB</t>
        </is>
      </c>
      <c r="C636" s="47" t="inlineStr">
        <is>
          <t>무제한</t>
        </is>
      </c>
      <c r="D636" s="47" t="inlineStr">
        <is>
          <t>200건</t>
        </is>
      </c>
      <c r="E636" s="47" t="inlineStr">
        <is>
          <t>월 20GB</t>
        </is>
      </c>
      <c r="F636" s="47" t="inlineStr">
        <is>
          <t>SKT</t>
        </is>
      </c>
      <c r="G636" s="47" t="inlineStr">
        <is>
          <t>LTE</t>
        </is>
      </c>
      <c r="H636" s="48" t="n">
        <v>7800</v>
      </c>
      <c r="I636" s="48" t="n">
        <v>7</v>
      </c>
      <c r="J636" s="48" t="n">
        <v>25300</v>
      </c>
      <c r="K636" s="47">
        <f t="array" ref="K636">_xlfn.XLOOKUP(1,(참조!$B$2:$B$15=E636)*(참조!$D$2:$D$15=C636)*(참조!$E$2:$E$15=D636),참조!$C$2:$C$15,"")</f>
        <v/>
      </c>
    </row>
    <row r="637" hidden="1" s="27">
      <c r="A637" s="47" t="inlineStr">
        <is>
          <t>고고모바일</t>
        </is>
      </c>
      <c r="B637" s="47" t="inlineStr">
        <is>
          <t>[모요only] 무제한 15GB+1M(밀리의서재 Free)</t>
        </is>
      </c>
      <c r="C637" s="47" t="inlineStr">
        <is>
          <t>무제한</t>
        </is>
      </c>
      <c r="D637" s="47" t="inlineStr">
        <is>
          <t>무제한</t>
        </is>
      </c>
      <c r="E637" s="47" t="inlineStr">
        <is>
          <t>월 15GB + 1Mbps</t>
        </is>
      </c>
      <c r="F637" s="47" t="inlineStr">
        <is>
          <t>KT</t>
        </is>
      </c>
      <c r="G637" s="47" t="inlineStr">
        <is>
          <t>LTE</t>
        </is>
      </c>
      <c r="H637" s="48" t="n">
        <v>9000</v>
      </c>
      <c r="I637" s="48" t="n">
        <v>7</v>
      </c>
      <c r="J637" s="48" t="n">
        <v>26400</v>
      </c>
      <c r="K637" s="47">
        <f t="array" ref="K637">_xlfn.XLOOKUP(1,(참조!$B$2:$B$15=E637)*(참조!$D$2:$D$15=C637)*(참조!$E$2:$E$15=D637),참조!$C$2:$C$15,"")</f>
        <v/>
      </c>
    </row>
    <row r="638" hidden="1" s="27">
      <c r="A638" s="47" t="inlineStr">
        <is>
          <t>U+유모바일</t>
        </is>
      </c>
      <c r="B638" s="47" t="inlineStr">
        <is>
          <t>[GS25 12만] 5G 10GB/200분</t>
        </is>
      </c>
      <c r="C638" s="47" t="inlineStr">
        <is>
          <t>200분</t>
        </is>
      </c>
      <c r="D638" s="47" t="inlineStr">
        <is>
          <t>100건</t>
        </is>
      </c>
      <c r="E638" s="47" t="inlineStr">
        <is>
          <t>월 10GB</t>
        </is>
      </c>
      <c r="F638" s="47" t="inlineStr">
        <is>
          <t>LG U+</t>
        </is>
      </c>
      <c r="G638" s="47" t="inlineStr">
        <is>
          <t>5G</t>
        </is>
      </c>
      <c r="H638" s="48" t="n">
        <v>14000</v>
      </c>
      <c r="I638" s="48" t="n"/>
      <c r="J638" s="48" t="n"/>
      <c r="K638" s="47">
        <f t="array" ref="K638">_xlfn.XLOOKUP(1,(참조!$B$2:$B$15=E638)*(참조!$D$2:$D$15=C638)*(참조!$E$2:$E$15=D638),참조!$C$2:$C$15,"")</f>
        <v/>
      </c>
    </row>
    <row r="639" hidden="1" s="27">
      <c r="A639" s="47" t="inlineStr">
        <is>
          <t>슈가모바일</t>
        </is>
      </c>
      <c r="B639" s="47" t="inlineStr">
        <is>
          <t>슈가안심차단150분500M</t>
        </is>
      </c>
      <c r="C639" s="47" t="inlineStr">
        <is>
          <t>150분</t>
        </is>
      </c>
      <c r="D639" s="47" t="inlineStr">
        <is>
          <t>50건</t>
        </is>
      </c>
      <c r="E639" s="47" t="inlineStr">
        <is>
          <t>월 500MB</t>
        </is>
      </c>
      <c r="F639" s="47" t="inlineStr">
        <is>
          <t>LG U+</t>
        </is>
      </c>
      <c r="G639" s="47" t="inlineStr">
        <is>
          <t>LTE</t>
        </is>
      </c>
      <c r="H639" s="48" t="n">
        <v>2800</v>
      </c>
      <c r="I639" s="48" t="n"/>
      <c r="J639" s="48" t="n"/>
      <c r="K639" s="47">
        <f t="array" ref="K639">_xlfn.XLOOKUP(1,(참조!$B$2:$B$15=E639)*(참조!$D$2:$D$15=C639)*(참조!$E$2:$E$15=D639),참조!$C$2:$C$15,"")</f>
        <v/>
      </c>
    </row>
    <row r="640" hidden="1" s="27">
      <c r="A640" s="47" t="inlineStr">
        <is>
          <t>티플러스</t>
        </is>
      </c>
      <c r="B640" s="47" t="inlineStr">
        <is>
          <t>티플북 15G+(100분)(도서문화상품권 매월 5000P)</t>
        </is>
      </c>
      <c r="C640" s="47" t="inlineStr">
        <is>
          <t>100분</t>
        </is>
      </c>
      <c r="D640" s="47" t="inlineStr">
        <is>
          <t>100건</t>
        </is>
      </c>
      <c r="E640" s="47" t="inlineStr">
        <is>
          <t>월 15GB + 3Mbps</t>
        </is>
      </c>
      <c r="F640" s="47" t="inlineStr">
        <is>
          <t>SKT</t>
        </is>
      </c>
      <c r="G640" s="47" t="inlineStr">
        <is>
          <t>LTE</t>
        </is>
      </c>
      <c r="H640" s="48" t="n">
        <v>8900</v>
      </c>
      <c r="I640" s="48" t="n">
        <v>7</v>
      </c>
      <c r="J640" s="48" t="n">
        <v>39600</v>
      </c>
      <c r="K640" s="47">
        <f t="array" ref="K640">_xlfn.XLOOKUP(1,(참조!$B$2:$B$15=E640)*(참조!$D$2:$D$15=C640)*(참조!$E$2:$E$15=D640),참조!$C$2:$C$15,"")</f>
        <v/>
      </c>
    </row>
    <row r="641" hidden="1" s="27">
      <c r="A641" s="47" t="inlineStr">
        <is>
          <t>시월모바일</t>
        </is>
      </c>
      <c r="B641" s="47" t="inlineStr">
        <is>
          <t>시월 무제한 15GB+1Mbps</t>
        </is>
      </c>
      <c r="C641" s="47" t="inlineStr">
        <is>
          <t>무제한</t>
        </is>
      </c>
      <c r="D641" s="47" t="inlineStr">
        <is>
          <t>무제한</t>
        </is>
      </c>
      <c r="E641" s="47" t="inlineStr">
        <is>
          <t>월 15GB + 1Mbps</t>
        </is>
      </c>
      <c r="F641" s="47" t="inlineStr">
        <is>
          <t>LG U+</t>
        </is>
      </c>
      <c r="G641" s="47" t="inlineStr">
        <is>
          <t>LTE</t>
        </is>
      </c>
      <c r="H641" s="48" t="n">
        <v>9940</v>
      </c>
      <c r="I641" s="48" t="n">
        <v>7</v>
      </c>
      <c r="J641" s="48" t="n">
        <v>30840</v>
      </c>
      <c r="K641" s="47">
        <f t="array" ref="K641">_xlfn.XLOOKUP(1,(참조!$B$2:$B$15=E641)*(참조!$D$2:$D$15=C641)*(참조!$E$2:$E$15=D641),참조!$C$2:$C$15,"")</f>
        <v/>
      </c>
    </row>
    <row r="642" hidden="1" s="27">
      <c r="A642" s="47" t="inlineStr">
        <is>
          <t>KT스카이라이프</t>
        </is>
      </c>
      <c r="B642" s="47" t="inlineStr">
        <is>
          <t>통화 충분 6.5GB</t>
        </is>
      </c>
      <c r="C642" s="47" t="inlineStr">
        <is>
          <t>무제한</t>
        </is>
      </c>
      <c r="D642" s="47" t="inlineStr">
        <is>
          <t>무제한</t>
        </is>
      </c>
      <c r="E642" s="47" t="inlineStr">
        <is>
          <t>월 6.5GB</t>
        </is>
      </c>
      <c r="F642" s="47" t="inlineStr">
        <is>
          <t>KT</t>
        </is>
      </c>
      <c r="G642" s="47" t="inlineStr">
        <is>
          <t>LTE</t>
        </is>
      </c>
      <c r="H642" s="48" t="n">
        <v>10900</v>
      </c>
      <c r="I642" s="48" t="n"/>
      <c r="J642" s="48" t="n"/>
      <c r="K642" s="47">
        <f t="array" ref="K642">_xlfn.XLOOKUP(1,(참조!$B$2:$B$15=E642)*(참조!$D$2:$D$15=C642)*(참조!$E$2:$E$15=D642),참조!$C$2:$C$15,"")</f>
        <v/>
      </c>
    </row>
    <row r="643" hidden="1" s="27">
      <c r="A643" s="47" t="inlineStr">
        <is>
          <t>인스모바일</t>
        </is>
      </c>
      <c r="B643" s="47" t="inlineStr">
        <is>
          <t>[12개월]인스 유심 올프리 7GB+</t>
        </is>
      </c>
      <c r="C643" s="47" t="inlineStr">
        <is>
          <t>무제한</t>
        </is>
      </c>
      <c r="D643" s="47" t="inlineStr">
        <is>
          <t>무제한</t>
        </is>
      </c>
      <c r="E643" s="47" t="inlineStr">
        <is>
          <t>월 7GB + 1Mbps</t>
        </is>
      </c>
      <c r="F643" s="47" t="inlineStr">
        <is>
          <t>LG U+</t>
        </is>
      </c>
      <c r="G643" s="47" t="inlineStr">
        <is>
          <t>LTE</t>
        </is>
      </c>
      <c r="H643" s="48" t="n">
        <v>12650</v>
      </c>
      <c r="I643" s="48" t="n">
        <v>12</v>
      </c>
      <c r="J643" s="48" t="n">
        <v>25850</v>
      </c>
      <c r="K643" s="47">
        <f t="array" ref="K643">_xlfn.XLOOKUP(1,(참조!$B$2:$B$15=E643)*(참조!$D$2:$D$15=C643)*(참조!$E$2:$E$15=D643),참조!$C$2:$C$15,"")</f>
        <v/>
      </c>
    </row>
    <row r="644" hidden="1" s="27">
      <c r="A644" s="47" t="inlineStr">
        <is>
          <t>스마텔</t>
        </is>
      </c>
      <c r="B644" s="47" t="inlineStr">
        <is>
          <t>5G 음성무제한 11GB</t>
        </is>
      </c>
      <c r="C644" s="47" t="inlineStr">
        <is>
          <t>무제한</t>
        </is>
      </c>
      <c r="D644" s="47" t="inlineStr">
        <is>
          <t>200건</t>
        </is>
      </c>
      <c r="E644" s="47" t="inlineStr">
        <is>
          <t>월 11GB</t>
        </is>
      </c>
      <c r="F644" s="47" t="inlineStr">
        <is>
          <t>SKT</t>
        </is>
      </c>
      <c r="G644" s="47" t="inlineStr">
        <is>
          <t>5G</t>
        </is>
      </c>
      <c r="H644" s="48" t="n">
        <v>10800</v>
      </c>
      <c r="I644" s="48" t="n"/>
      <c r="J644" s="48" t="n"/>
      <c r="K644" s="47">
        <f t="array" ref="K644">_xlfn.XLOOKUP(1,(참조!$B$2:$B$15=E644)*(참조!$D$2:$D$15=C644)*(참조!$E$2:$E$15=D644),참조!$C$2:$C$15,"")</f>
        <v/>
      </c>
    </row>
    <row r="645" hidden="1" s="27">
      <c r="A645" s="47" t="inlineStr">
        <is>
          <t>모나</t>
        </is>
      </c>
      <c r="B645" s="47" t="inlineStr">
        <is>
          <t>캐시_데이터11G+일2G</t>
        </is>
      </c>
      <c r="C645" s="47" t="inlineStr">
        <is>
          <t>무제한</t>
        </is>
      </c>
      <c r="D645" s="47" t="inlineStr">
        <is>
          <t>무제한</t>
        </is>
      </c>
      <c r="E645" s="47" t="inlineStr">
        <is>
          <t>월 11GB + 매일 2GB + 3Mbps</t>
        </is>
      </c>
      <c r="F645" s="47" t="inlineStr">
        <is>
          <t>LG U+</t>
        </is>
      </c>
      <c r="G645" s="47" t="inlineStr">
        <is>
          <t>LTE</t>
        </is>
      </c>
      <c r="H645" s="48" t="n">
        <v>29500</v>
      </c>
      <c r="I645" s="48" t="n">
        <v>24</v>
      </c>
      <c r="J645" s="48" t="n">
        <v>44000</v>
      </c>
      <c r="K645" s="47">
        <f t="array" ref="K645">_xlfn.XLOOKUP(1,(참조!$B$2:$B$15=E645)*(참조!$D$2:$D$15=C645)*(참조!$E$2:$E$15=D645),참조!$C$2:$C$15,"")</f>
        <v/>
      </c>
    </row>
    <row r="646" hidden="1" s="27">
      <c r="A646" s="47" t="inlineStr">
        <is>
          <t>이야기모바일</t>
        </is>
      </c>
      <c r="B646" s="47" t="inlineStr">
        <is>
          <t>5G 이야기 스탠다드 95GB+</t>
        </is>
      </c>
      <c r="C646" s="47" t="inlineStr">
        <is>
          <t>무제한</t>
        </is>
      </c>
      <c r="D646" s="47" t="inlineStr">
        <is>
          <t>무제한</t>
        </is>
      </c>
      <c r="E646" s="47" t="inlineStr">
        <is>
          <t>월 95GB + 3Mbps</t>
        </is>
      </c>
      <c r="F646" s="47" t="inlineStr">
        <is>
          <t>LG U+</t>
        </is>
      </c>
      <c r="G646" s="47" t="inlineStr">
        <is>
          <t>5G</t>
        </is>
      </c>
      <c r="H646" s="48" t="n">
        <v>30500</v>
      </c>
      <c r="I646" s="48" t="n">
        <v>24</v>
      </c>
      <c r="J646" s="48" t="n">
        <v>44000</v>
      </c>
      <c r="K646" s="47">
        <f t="array" ref="K646">_xlfn.XLOOKUP(1,(참조!$B$2:$B$15=E646)*(참조!$D$2:$D$15=C646)*(참조!$E$2:$E$15=D646),참조!$C$2:$C$15,"")</f>
        <v/>
      </c>
    </row>
    <row r="647" hidden="1" s="27">
      <c r="A647" s="47" t="inlineStr">
        <is>
          <t>에이모바일</t>
        </is>
      </c>
      <c r="B647" s="47" t="inlineStr">
        <is>
          <t>A 스탠다드 10GB/200분</t>
        </is>
      </c>
      <c r="C647" s="47" t="inlineStr">
        <is>
          <t>200분</t>
        </is>
      </c>
      <c r="D647" s="47" t="inlineStr">
        <is>
          <t>100건</t>
        </is>
      </c>
      <c r="E647" s="47" t="inlineStr">
        <is>
          <t>월 10GB</t>
        </is>
      </c>
      <c r="F647" s="47" t="inlineStr">
        <is>
          <t>KT</t>
        </is>
      </c>
      <c r="G647" s="47" t="inlineStr">
        <is>
          <t>LTE</t>
        </is>
      </c>
      <c r="H647" s="48" t="n">
        <v>10</v>
      </c>
      <c r="I647" s="48" t="n">
        <v>12</v>
      </c>
      <c r="J647" s="48" t="n">
        <v>17600</v>
      </c>
      <c r="K647" s="47">
        <f t="array" ref="K647">_xlfn.XLOOKUP(1,(참조!$B$2:$B$15=E647)*(참조!$D$2:$D$15=C647)*(참조!$E$2:$E$15=D647),참조!$C$2:$C$15,"")</f>
        <v/>
      </c>
    </row>
    <row r="648" hidden="1" s="27">
      <c r="A648" s="47" t="inlineStr">
        <is>
          <t>티플러스</t>
        </is>
      </c>
      <c r="B648" s="47" t="inlineStr">
        <is>
          <t>티플북 100G+(도서문화상품권 매월 5000P)</t>
        </is>
      </c>
      <c r="C648" s="47" t="inlineStr">
        <is>
          <t>무제한</t>
        </is>
      </c>
      <c r="D648" s="47" t="inlineStr">
        <is>
          <t>무제한</t>
        </is>
      </c>
      <c r="E648" s="47" t="inlineStr">
        <is>
          <t>월 100GB + 5Mbps</t>
        </is>
      </c>
      <c r="F648" s="47" t="inlineStr">
        <is>
          <t>SKT</t>
        </is>
      </c>
      <c r="G648" s="47" t="inlineStr">
        <is>
          <t>LTE</t>
        </is>
      </c>
      <c r="H648" s="48" t="n">
        <v>16900</v>
      </c>
      <c r="I648" s="48" t="n">
        <v>7</v>
      </c>
      <c r="J648" s="48" t="n">
        <v>55000</v>
      </c>
      <c r="K648" s="47">
        <f t="array" ref="K648">_xlfn.XLOOKUP(1,(참조!$B$2:$B$15=E648)*(참조!$D$2:$D$15=C648)*(참조!$E$2:$E$15=D648),참조!$C$2:$C$15,"")</f>
        <v/>
      </c>
    </row>
    <row r="649" hidden="1" s="27">
      <c r="A649" s="47" t="inlineStr">
        <is>
          <t>모빙</t>
        </is>
      </c>
      <c r="B649" s="47" t="inlineStr">
        <is>
          <t>실속 300분7GB</t>
        </is>
      </c>
      <c r="C649" s="47" t="inlineStr">
        <is>
          <t>300분</t>
        </is>
      </c>
      <c r="D649" s="47" t="inlineStr">
        <is>
          <t>300건</t>
        </is>
      </c>
      <c r="E649" s="47" t="inlineStr">
        <is>
          <t>월 7GB</t>
        </is>
      </c>
      <c r="F649" s="47" t="inlineStr">
        <is>
          <t>LG U+</t>
        </is>
      </c>
      <c r="G649" s="47" t="inlineStr">
        <is>
          <t>LTE</t>
        </is>
      </c>
      <c r="H649" s="48" t="n">
        <v>4400</v>
      </c>
      <c r="I649" s="48" t="n"/>
      <c r="J649" s="48" t="n"/>
      <c r="K649" s="47">
        <f t="array" ref="K649">_xlfn.XLOOKUP(1,(참조!$B$2:$B$15=E649)*(참조!$D$2:$D$15=C649)*(참조!$E$2:$E$15=D649),참조!$C$2:$C$15,"")</f>
        <v/>
      </c>
    </row>
    <row r="650" hidden="1" s="27">
      <c r="A650" s="47" t="inlineStr">
        <is>
          <t>KT스카이라이프</t>
        </is>
      </c>
      <c r="B650" s="47" t="inlineStr">
        <is>
          <t>모두 충분 15GB+(CU)</t>
        </is>
      </c>
      <c r="C650" s="47" t="inlineStr">
        <is>
          <t>무제한</t>
        </is>
      </c>
      <c r="D650" s="47" t="inlineStr">
        <is>
          <t>무제한</t>
        </is>
      </c>
      <c r="E650" s="47" t="inlineStr">
        <is>
          <t>월 15GB + 1Mbps</t>
        </is>
      </c>
      <c r="F650" s="47" t="inlineStr">
        <is>
          <t>KT</t>
        </is>
      </c>
      <c r="G650" s="47" t="inlineStr">
        <is>
          <t>LTE</t>
        </is>
      </c>
      <c r="H650" s="48" t="n">
        <v>21900</v>
      </c>
      <c r="I650" s="48" t="n"/>
      <c r="J650" s="48" t="n"/>
      <c r="K650" s="47">
        <f t="array" ref="K650">_xlfn.XLOOKUP(1,(참조!$B$2:$B$15=E650)*(참조!$D$2:$D$15=C650)*(참조!$E$2:$E$15=D650),참조!$C$2:$C$15,"")</f>
        <v/>
      </c>
    </row>
    <row r="651" hidden="1" s="27">
      <c r="A651" s="47" t="inlineStr">
        <is>
          <t>고고모바일</t>
        </is>
      </c>
      <c r="B651" s="47" t="inlineStr">
        <is>
          <t>5G200분/10GB</t>
        </is>
      </c>
      <c r="C651" s="47" t="inlineStr">
        <is>
          <t>200분</t>
        </is>
      </c>
      <c r="D651" s="47" t="inlineStr">
        <is>
          <t>100건</t>
        </is>
      </c>
      <c r="E651" s="47" t="inlineStr">
        <is>
          <t>월 10GB</t>
        </is>
      </c>
      <c r="F651" s="47" t="inlineStr">
        <is>
          <t>KT</t>
        </is>
      </c>
      <c r="G651" s="47" t="inlineStr">
        <is>
          <t>5G</t>
        </is>
      </c>
      <c r="H651" s="48" t="n">
        <v>16170</v>
      </c>
      <c r="I651" s="48" t="n"/>
      <c r="J651" s="48" t="n"/>
      <c r="K651" s="47">
        <f t="array" ref="K651">_xlfn.XLOOKUP(1,(참조!$B$2:$B$15=E651)*(참조!$D$2:$D$15=C651)*(참조!$E$2:$E$15=D651),참조!$C$2:$C$15,"")</f>
        <v/>
      </c>
    </row>
    <row r="652" hidden="1" s="27">
      <c r="A652" s="47" t="inlineStr">
        <is>
          <t>티플러스</t>
        </is>
      </c>
      <c r="B652" s="47" t="inlineStr">
        <is>
          <t>The 완전마음껏 100G+(올리브영 매월 5000P)</t>
        </is>
      </c>
      <c r="C652" s="47" t="inlineStr">
        <is>
          <t>무제한</t>
        </is>
      </c>
      <c r="D652" s="47" t="inlineStr">
        <is>
          <t>무제한</t>
        </is>
      </c>
      <c r="E652" s="47" t="inlineStr">
        <is>
          <t>월 100GB + 5Mbps</t>
        </is>
      </c>
      <c r="F652" s="47" t="inlineStr">
        <is>
          <t>LG U+</t>
        </is>
      </c>
      <c r="G652" s="47" t="inlineStr">
        <is>
          <t>LTE</t>
        </is>
      </c>
      <c r="H652" s="48" t="n">
        <v>30900</v>
      </c>
      <c r="I652" s="48" t="n">
        <v>24</v>
      </c>
      <c r="J652" s="48" t="n">
        <v>52800</v>
      </c>
      <c r="K652" s="47">
        <f t="array" ref="K652">_xlfn.XLOOKUP(1,(참조!$B$2:$B$15=E652)*(참조!$D$2:$D$15=C652)*(참조!$E$2:$E$15=D652),참조!$C$2:$C$15,"")</f>
        <v/>
      </c>
    </row>
    <row r="653" hidden="1" s="27">
      <c r="A653" s="47" t="inlineStr">
        <is>
          <t>KG모바일</t>
        </is>
      </c>
      <c r="B653" s="47" t="inlineStr">
        <is>
          <t>[일반] 통화, 데이터 마음대로 7GB+</t>
        </is>
      </c>
      <c r="C653" s="47" t="inlineStr">
        <is>
          <t>무제한</t>
        </is>
      </c>
      <c r="D653" s="47" t="inlineStr">
        <is>
          <t>무제한</t>
        </is>
      </c>
      <c r="E653" s="47" t="inlineStr">
        <is>
          <t>월 7GB + 1Mbps</t>
        </is>
      </c>
      <c r="F653" s="47" t="inlineStr">
        <is>
          <t>LG U+</t>
        </is>
      </c>
      <c r="G653" s="47" t="inlineStr">
        <is>
          <t>LTE</t>
        </is>
      </c>
      <c r="H653" s="48" t="n">
        <v>13200</v>
      </c>
      <c r="I653" s="48" t="n">
        <v>12</v>
      </c>
      <c r="J653" s="48" t="n">
        <v>24200</v>
      </c>
      <c r="K653" s="47">
        <f t="array" ref="K653">_xlfn.XLOOKUP(1,(참조!$B$2:$B$15=E653)*(참조!$D$2:$D$15=C653)*(참조!$E$2:$E$15=D653),참조!$C$2:$C$15,"")</f>
        <v/>
      </c>
    </row>
    <row r="654" hidden="1" s="27">
      <c r="A654" s="47" t="inlineStr">
        <is>
          <t>U+유모바일</t>
        </is>
      </c>
      <c r="B654" s="47" t="inlineStr">
        <is>
          <t>[평생할인] 9GB/3000분</t>
        </is>
      </c>
      <c r="C654" s="47" t="inlineStr">
        <is>
          <t>3,000분</t>
        </is>
      </c>
      <c r="D654" s="47" t="inlineStr">
        <is>
          <t>1,000건</t>
        </is>
      </c>
      <c r="E654" s="47" t="inlineStr">
        <is>
          <t>월 9GB</t>
        </is>
      </c>
      <c r="F654" s="47" t="inlineStr">
        <is>
          <t>LG U+</t>
        </is>
      </c>
      <c r="G654" s="47" t="inlineStr">
        <is>
          <t>LTE</t>
        </is>
      </c>
      <c r="H654" s="48" t="n">
        <v>12500</v>
      </c>
      <c r="I654" s="48" t="n"/>
      <c r="J654" s="48" t="n"/>
      <c r="K654" s="47">
        <f t="array" ref="K654">_xlfn.XLOOKUP(1,(참조!$B$2:$B$15=E654)*(참조!$D$2:$D$15=C654)*(참조!$E$2:$E$15=D654),참조!$C$2:$C$15,"")</f>
        <v/>
      </c>
    </row>
    <row r="655" hidden="1" s="27">
      <c r="A655" s="47" t="inlineStr">
        <is>
          <t>고고모바일</t>
        </is>
      </c>
      <c r="B655" s="47" t="inlineStr">
        <is>
          <t>[모요only] 무제한 7GB+1M(올리브영 5000원)</t>
        </is>
      </c>
      <c r="C655" s="47" t="inlineStr">
        <is>
          <t>무제한</t>
        </is>
      </c>
      <c r="D655" s="47" t="inlineStr">
        <is>
          <t>무제한</t>
        </is>
      </c>
      <c r="E655" s="47" t="inlineStr">
        <is>
          <t>월 7GB + 1Mbps</t>
        </is>
      </c>
      <c r="F655" s="47" t="inlineStr">
        <is>
          <t>KT</t>
        </is>
      </c>
      <c r="G655" s="47" t="inlineStr">
        <is>
          <t>LTE</t>
        </is>
      </c>
      <c r="H655" s="48" t="n">
        <v>5700</v>
      </c>
      <c r="I655" s="48" t="n">
        <v>7</v>
      </c>
      <c r="J655" s="48" t="n">
        <v>24200</v>
      </c>
      <c r="K655" s="47">
        <f t="array" ref="K655">_xlfn.XLOOKUP(1,(참조!$B$2:$B$15=E655)*(참조!$D$2:$D$15=C655)*(참조!$E$2:$E$15=D655),참조!$C$2:$C$15,"")</f>
        <v/>
      </c>
    </row>
    <row r="656" hidden="1" s="27">
      <c r="A656" s="47" t="inlineStr">
        <is>
          <t>티플러스</t>
        </is>
      </c>
      <c r="B656" s="47" t="inlineStr">
        <is>
          <t>The 완전마음껏15G+(100분)(카톡 이모티콘+예스24e북)</t>
        </is>
      </c>
      <c r="C656" s="47" t="inlineStr">
        <is>
          <t>100분</t>
        </is>
      </c>
      <c r="D656" s="47" t="inlineStr">
        <is>
          <t>100건</t>
        </is>
      </c>
      <c r="E656" s="47" t="inlineStr">
        <is>
          <t>월 15GB + 3Mbps</t>
        </is>
      </c>
      <c r="F656" s="47" t="inlineStr">
        <is>
          <t>LG U+</t>
        </is>
      </c>
      <c r="G656" s="47" t="inlineStr">
        <is>
          <t>LTE</t>
        </is>
      </c>
      <c r="H656" s="48" t="n">
        <v>21500</v>
      </c>
      <c r="I656" s="48" t="n">
        <v>24</v>
      </c>
      <c r="J656" s="48" t="n">
        <v>35090</v>
      </c>
      <c r="K656" s="47">
        <f t="array" ref="K656">_xlfn.XLOOKUP(1,(참조!$B$2:$B$15=E656)*(참조!$D$2:$D$15=C656)*(참조!$E$2:$E$15=D656),참조!$C$2:$C$15,"")</f>
        <v/>
      </c>
    </row>
    <row r="657" hidden="1" s="27">
      <c r="A657" s="47" t="inlineStr">
        <is>
          <t>시월모바일</t>
        </is>
      </c>
      <c r="B657" s="47" t="inlineStr">
        <is>
          <t>두해 300분15GB+</t>
        </is>
      </c>
      <c r="C657" s="47" t="inlineStr">
        <is>
          <t>300분</t>
        </is>
      </c>
      <c r="D657" s="47" t="inlineStr">
        <is>
          <t>300건</t>
        </is>
      </c>
      <c r="E657" s="47" t="inlineStr">
        <is>
          <t>월 15GB + 3Mbps</t>
        </is>
      </c>
      <c r="F657" s="47" t="inlineStr">
        <is>
          <t>LG U+</t>
        </is>
      </c>
      <c r="G657" s="47" t="inlineStr">
        <is>
          <t>LTE</t>
        </is>
      </c>
      <c r="H657" s="48" t="n">
        <v>21550</v>
      </c>
      <c r="I657" s="48" t="n">
        <v>24</v>
      </c>
      <c r="J657" s="48" t="n">
        <v>34200</v>
      </c>
      <c r="K657" s="47">
        <f t="array" ref="K657">_xlfn.XLOOKUP(1,(참조!$B$2:$B$15=E657)*(참조!$D$2:$D$15=C657)*(참조!$E$2:$E$15=D657),참조!$C$2:$C$15,"")</f>
        <v/>
      </c>
    </row>
    <row r="658" hidden="1" s="27">
      <c r="A658" s="47" t="inlineStr">
        <is>
          <t>이야기모바일</t>
        </is>
      </c>
      <c r="B658" s="47" t="inlineStr">
        <is>
          <t>5G 함께이야기해S (200분+10GB)</t>
        </is>
      </c>
      <c r="C658" s="47" t="inlineStr">
        <is>
          <t>200분</t>
        </is>
      </c>
      <c r="D658" s="47" t="inlineStr">
        <is>
          <t>100건</t>
        </is>
      </c>
      <c r="E658" s="47" t="inlineStr">
        <is>
          <t>월 10GB</t>
        </is>
      </c>
      <c r="F658" s="47" t="inlineStr">
        <is>
          <t>SKT</t>
        </is>
      </c>
      <c r="G658" s="47" t="inlineStr">
        <is>
          <t>5G</t>
        </is>
      </c>
      <c r="H658" s="48" t="n">
        <v>11000</v>
      </c>
      <c r="I658" s="48" t="n"/>
      <c r="J658" s="48" t="n"/>
      <c r="K658" s="47">
        <f t="array" ref="K658">_xlfn.XLOOKUP(1,(참조!$B$2:$B$15=E658)*(참조!$D$2:$D$15=C658)*(참조!$E$2:$E$15=D658),참조!$C$2:$C$15,"")</f>
        <v/>
      </c>
    </row>
    <row r="659" hidden="1" s="27">
      <c r="A659" s="47" t="inlineStr">
        <is>
          <t>KT엠모바일</t>
        </is>
      </c>
      <c r="B659" s="47" t="inlineStr">
        <is>
          <t>5G 통화 맘껏 3GB</t>
        </is>
      </c>
      <c r="C659" s="47" t="inlineStr">
        <is>
          <t>무제한</t>
        </is>
      </c>
      <c r="D659" s="47" t="inlineStr">
        <is>
          <t>무제한</t>
        </is>
      </c>
      <c r="E659" s="47" t="inlineStr">
        <is>
          <t>월 3GB</t>
        </is>
      </c>
      <c r="F659" s="47" t="inlineStr">
        <is>
          <t>KT</t>
        </is>
      </c>
      <c r="G659" s="47" t="inlineStr">
        <is>
          <t>5G</t>
        </is>
      </c>
      <c r="H659" s="48" t="n">
        <v>6400</v>
      </c>
      <c r="I659" s="48" t="n"/>
      <c r="J659" s="48" t="n"/>
      <c r="K659" s="47">
        <f t="array" ref="K659">_xlfn.XLOOKUP(1,(참조!$B$2:$B$15=E659)*(참조!$D$2:$D$15=C659)*(참조!$E$2:$E$15=D659),참조!$C$2:$C$15,"")</f>
        <v/>
      </c>
    </row>
    <row r="660" hidden="1" s="27">
      <c r="A660" s="47" t="inlineStr">
        <is>
          <t>더원모바일</t>
        </is>
      </c>
      <c r="B660" s="47" t="inlineStr">
        <is>
          <t>TOP 5G 200GB 기본 (지니뮤직)</t>
        </is>
      </c>
      <c r="C660" s="47" t="inlineStr">
        <is>
          <t>무제한</t>
        </is>
      </c>
      <c r="D660" s="47" t="inlineStr">
        <is>
          <t>무제한</t>
        </is>
      </c>
      <c r="E660" s="47" t="inlineStr">
        <is>
          <t>월 200GB + 10Mbps</t>
        </is>
      </c>
      <c r="F660" s="47" t="inlineStr">
        <is>
          <t>KT</t>
        </is>
      </c>
      <c r="G660" s="47" t="inlineStr">
        <is>
          <t>5G</t>
        </is>
      </c>
      <c r="H660" s="48" t="n">
        <v>33000</v>
      </c>
      <c r="I660" s="48" t="n">
        <v>12</v>
      </c>
      <c r="J660" s="48" t="n">
        <v>55000</v>
      </c>
      <c r="K660" s="47">
        <f t="array" ref="K660">_xlfn.XLOOKUP(1,(참조!$B$2:$B$15=E660)*(참조!$D$2:$D$15=C660)*(참조!$E$2:$E$15=D660),참조!$C$2:$C$15,"")</f>
        <v/>
      </c>
    </row>
    <row r="661" hidden="1" s="27">
      <c r="A661" s="47" t="inlineStr">
        <is>
          <t>핀다이렉트</t>
        </is>
      </c>
      <c r="B661" s="47" t="inlineStr">
        <is>
          <t>[L] 핀다이렉트Z 일5GB+</t>
        </is>
      </c>
      <c r="C661" s="47" t="inlineStr">
        <is>
          <t>무제한</t>
        </is>
      </c>
      <c r="D661" s="47" t="inlineStr">
        <is>
          <t>무제한</t>
        </is>
      </c>
      <c r="E661" s="47" t="inlineStr">
        <is>
          <t>매일 5GB + 5Mbps</t>
        </is>
      </c>
      <c r="F661" s="47" t="inlineStr">
        <is>
          <t>LG U+</t>
        </is>
      </c>
      <c r="G661" s="47" t="inlineStr">
        <is>
          <t>LTE</t>
        </is>
      </c>
      <c r="H661" s="48" t="n">
        <v>17000</v>
      </c>
      <c r="I661" s="48" t="n">
        <v>7</v>
      </c>
      <c r="J661" s="48" t="n">
        <v>44000</v>
      </c>
      <c r="K661" s="47">
        <f t="array" ref="K661">_xlfn.XLOOKUP(1,(참조!$B$2:$B$15=E661)*(참조!$D$2:$D$15=C661)*(참조!$E$2:$E$15=D661),참조!$C$2:$C$15,"")</f>
        <v/>
      </c>
    </row>
    <row r="662" hidden="1" s="27">
      <c r="A662" s="47" t="inlineStr">
        <is>
          <t>핀다이렉트</t>
        </is>
      </c>
      <c r="B662" s="47" t="inlineStr">
        <is>
          <t>[L] 핀다이렉트Z Speed 125GB+</t>
        </is>
      </c>
      <c r="C662" s="47" t="inlineStr">
        <is>
          <t>무제한</t>
        </is>
      </c>
      <c r="D662" s="47" t="inlineStr">
        <is>
          <t>무제한</t>
        </is>
      </c>
      <c r="E662" s="47" t="inlineStr">
        <is>
          <t>월 125GB + 5Mbps</t>
        </is>
      </c>
      <c r="F662" s="47" t="inlineStr">
        <is>
          <t>LG U+</t>
        </is>
      </c>
      <c r="G662" s="47" t="inlineStr">
        <is>
          <t>5G</t>
        </is>
      </c>
      <c r="H662" s="48" t="n">
        <v>17000</v>
      </c>
      <c r="I662" s="48" t="n">
        <v>7</v>
      </c>
      <c r="J662" s="48" t="n">
        <v>46200</v>
      </c>
      <c r="K662" s="47">
        <f t="array" ref="K662">_xlfn.XLOOKUP(1,(참조!$B$2:$B$15=E662)*(참조!$D$2:$D$15=C662)*(참조!$E$2:$E$15=D662),참조!$C$2:$C$15,"")</f>
        <v/>
      </c>
    </row>
    <row r="663" hidden="1" s="27">
      <c r="A663" s="47" t="inlineStr">
        <is>
          <t>인스모바일</t>
        </is>
      </c>
      <c r="B663" s="47" t="inlineStr">
        <is>
          <t>[평생할인]실속 300분+3GB(USIM)</t>
        </is>
      </c>
      <c r="C663" s="47" t="inlineStr">
        <is>
          <t>300분</t>
        </is>
      </c>
      <c r="D663" s="47" t="inlineStr">
        <is>
          <t>100건</t>
        </is>
      </c>
      <c r="E663" s="47" t="inlineStr">
        <is>
          <t>월 3GB</t>
        </is>
      </c>
      <c r="F663" s="47" t="inlineStr">
        <is>
          <t>LG U+</t>
        </is>
      </c>
      <c r="G663" s="47" t="inlineStr">
        <is>
          <t>LTE</t>
        </is>
      </c>
      <c r="H663" s="48" t="n">
        <v>2640</v>
      </c>
      <c r="I663" s="48" t="n"/>
      <c r="J663" s="48" t="n"/>
      <c r="K663" s="47">
        <f t="array" ref="K663">_xlfn.XLOOKUP(1,(참조!$B$2:$B$15=E663)*(참조!$D$2:$D$15=C663)*(참조!$E$2:$E$15=D663),참조!$C$2:$C$15,"")</f>
        <v/>
      </c>
    </row>
    <row r="664" hidden="1" s="27">
      <c r="A664" s="47" t="inlineStr">
        <is>
          <t>KG모바일</t>
        </is>
      </c>
      <c r="B664" s="47" t="inlineStr">
        <is>
          <t>[평생할인] 유심 5G 125GB+</t>
        </is>
      </c>
      <c r="C664" s="47" t="inlineStr">
        <is>
          <t>무제한</t>
        </is>
      </c>
      <c r="D664" s="47" t="inlineStr">
        <is>
          <t>무제한</t>
        </is>
      </c>
      <c r="E664" s="47" t="inlineStr">
        <is>
          <t>월 125GB + 5Mbps</t>
        </is>
      </c>
      <c r="F664" s="47" t="inlineStr">
        <is>
          <t>LG U+</t>
        </is>
      </c>
      <c r="G664" s="47" t="inlineStr">
        <is>
          <t>5G</t>
        </is>
      </c>
      <c r="H664" s="48" t="n">
        <v>34000</v>
      </c>
      <c r="I664" s="48" t="n"/>
      <c r="J664" s="48" t="n"/>
      <c r="K664" s="47">
        <f t="array" ref="K664">_xlfn.XLOOKUP(1,(참조!$B$2:$B$15=E664)*(참조!$D$2:$D$15=C664)*(참조!$E$2:$E$15=D664),참조!$C$2:$C$15,"")</f>
        <v/>
      </c>
    </row>
    <row r="665" hidden="1" s="27">
      <c r="A665" s="47" t="inlineStr">
        <is>
          <t>시월모바일</t>
        </is>
      </c>
      <c r="B665" s="47" t="inlineStr">
        <is>
          <t>두해 통화기본10GB+</t>
        </is>
      </c>
      <c r="C665" s="47" t="inlineStr">
        <is>
          <t>무제한</t>
        </is>
      </c>
      <c r="D665" s="47" t="inlineStr">
        <is>
          <t>무제한</t>
        </is>
      </c>
      <c r="E665" s="47" t="inlineStr">
        <is>
          <t>월 10GB + 1Mbps</t>
        </is>
      </c>
      <c r="F665" s="47" t="inlineStr">
        <is>
          <t>LG U+</t>
        </is>
      </c>
      <c r="G665" s="47" t="inlineStr">
        <is>
          <t>LTE</t>
        </is>
      </c>
      <c r="H665" s="48" t="n">
        <v>12170</v>
      </c>
      <c r="I665" s="48" t="n">
        <v>24</v>
      </c>
      <c r="J665" s="48" t="n">
        <v>25370</v>
      </c>
      <c r="K665" s="47">
        <f t="array" ref="K665">_xlfn.XLOOKUP(1,(참조!$B$2:$B$15=E665)*(참조!$D$2:$D$15=C665)*(참조!$E$2:$E$15=D665),참조!$C$2:$C$15,"")</f>
        <v/>
      </c>
    </row>
    <row r="666" hidden="1" s="27">
      <c r="A666" s="47" t="inlineStr">
        <is>
          <t>티플러스</t>
        </is>
      </c>
      <c r="B666" s="47" t="inlineStr">
        <is>
          <t>The 데이터마음껏15G＋(100분)(올리브영 매월 5000P)</t>
        </is>
      </c>
      <c r="C666" s="47" t="inlineStr">
        <is>
          <t>100분</t>
        </is>
      </c>
      <c r="D666" s="47" t="inlineStr">
        <is>
          <t>100건</t>
        </is>
      </c>
      <c r="E666" s="47" t="inlineStr">
        <is>
          <t>월 15GB + 3Mbps</t>
        </is>
      </c>
      <c r="F666" s="47" t="inlineStr">
        <is>
          <t>LG U+</t>
        </is>
      </c>
      <c r="G666" s="47" t="inlineStr">
        <is>
          <t>LTE</t>
        </is>
      </c>
      <c r="H666" s="48" t="n">
        <v>21500</v>
      </c>
      <c r="I666" s="48" t="n">
        <v>24</v>
      </c>
      <c r="J666" s="48" t="n">
        <v>35090</v>
      </c>
      <c r="K666" s="47">
        <f t="array" ref="K666">_xlfn.XLOOKUP(1,(참조!$B$2:$B$15=E666)*(참조!$D$2:$D$15=C666)*(참조!$E$2:$E$15=D666),참조!$C$2:$C$15,"")</f>
        <v/>
      </c>
    </row>
    <row r="667" hidden="1" s="27">
      <c r="A667" s="47" t="inlineStr">
        <is>
          <t>에이모바일</t>
        </is>
      </c>
      <c r="B667" s="47" t="inlineStr">
        <is>
          <t>A 스페셜 4.5GB+</t>
        </is>
      </c>
      <c r="C667" s="47" t="inlineStr">
        <is>
          <t>무제한</t>
        </is>
      </c>
      <c r="D667" s="47" t="inlineStr">
        <is>
          <t>무제한</t>
        </is>
      </c>
      <c r="E667" s="47" t="inlineStr">
        <is>
          <t>월 4.5GB + 1Mbps</t>
        </is>
      </c>
      <c r="F667" s="47" t="inlineStr">
        <is>
          <t>LG U+</t>
        </is>
      </c>
      <c r="G667" s="47" t="inlineStr">
        <is>
          <t>LTE</t>
        </is>
      </c>
      <c r="H667" s="48" t="n">
        <v>10</v>
      </c>
      <c r="I667" s="48" t="n">
        <v>7</v>
      </c>
      <c r="J667" s="48" t="n">
        <v>11000</v>
      </c>
      <c r="K667" s="47">
        <f t="array" ref="K667">_xlfn.XLOOKUP(1,(참조!$B$2:$B$15=E667)*(참조!$D$2:$D$15=C667)*(참조!$E$2:$E$15=D667),참조!$C$2:$C$15,"")</f>
        <v/>
      </c>
    </row>
    <row r="668" hidden="1" s="27">
      <c r="A668" s="47" t="inlineStr">
        <is>
          <t>에이모바일</t>
        </is>
      </c>
      <c r="B668" s="47" t="inlineStr">
        <is>
          <t>A 5G 스페셜 에센셜</t>
        </is>
      </c>
      <c r="C668" s="47" t="inlineStr">
        <is>
          <t>무제한</t>
        </is>
      </c>
      <c r="D668" s="47" t="inlineStr">
        <is>
          <t>무제한</t>
        </is>
      </c>
      <c r="E668" s="47" t="inlineStr">
        <is>
          <t>월 125GB + 5Mbps</t>
        </is>
      </c>
      <c r="F668" s="47" t="inlineStr">
        <is>
          <t>LG U+</t>
        </is>
      </c>
      <c r="G668" s="47" t="inlineStr">
        <is>
          <t>5G</t>
        </is>
      </c>
      <c r="H668" s="48" t="n">
        <v>6899</v>
      </c>
      <c r="I668" s="48" t="n">
        <v>7</v>
      </c>
      <c r="J668" s="48" t="n">
        <v>50200</v>
      </c>
      <c r="K668" s="47">
        <f t="array" ref="K668">_xlfn.XLOOKUP(1,(참조!$B$2:$B$15=E668)*(참조!$D$2:$D$15=C668)*(참조!$E$2:$E$15=D668),참조!$C$2:$C$15,"")</f>
        <v/>
      </c>
    </row>
    <row r="669" hidden="1" s="27">
      <c r="A669" s="47" t="inlineStr">
        <is>
          <t>핀다이렉트</t>
        </is>
      </c>
      <c r="B669" s="47" t="inlineStr">
        <is>
          <t>[모요only] [S] 핀다이렉트Z Max _PIN</t>
        </is>
      </c>
      <c r="C669" s="47" t="inlineStr">
        <is>
          <t>무제한</t>
        </is>
      </c>
      <c r="D669" s="47" t="inlineStr">
        <is>
          <t>무제한</t>
        </is>
      </c>
      <c r="E669" s="47" t="inlineStr">
        <is>
          <t>월 100GB + 5Mbps</t>
        </is>
      </c>
      <c r="F669" s="47" t="inlineStr">
        <is>
          <t>SKT</t>
        </is>
      </c>
      <c r="G669" s="47" t="inlineStr">
        <is>
          <t>LTE</t>
        </is>
      </c>
      <c r="H669" s="48" t="n">
        <v>19000</v>
      </c>
      <c r="I669" s="48" t="n">
        <v>7</v>
      </c>
      <c r="J669" s="48" t="n">
        <v>42900</v>
      </c>
      <c r="K669" s="47">
        <f t="array" ref="K669">_xlfn.XLOOKUP(1,(참조!$B$2:$B$15=E669)*(참조!$D$2:$D$15=C669)*(참조!$E$2:$E$15=D669),참조!$C$2:$C$15,"")</f>
        <v/>
      </c>
    </row>
    <row r="670" hidden="1" s="27">
      <c r="A670" s="47" t="inlineStr">
        <is>
          <t>더원모바일</t>
        </is>
      </c>
      <c r="B670" s="47" t="inlineStr">
        <is>
          <t>TOP 10GB 기본 (CU할인)</t>
        </is>
      </c>
      <c r="C670" s="47" t="inlineStr">
        <is>
          <t>무제한</t>
        </is>
      </c>
      <c r="D670" s="47" t="inlineStr">
        <is>
          <t>무제한</t>
        </is>
      </c>
      <c r="E670" s="47" t="inlineStr">
        <is>
          <t>월 10GB + 1Mbps</t>
        </is>
      </c>
      <c r="F670" s="47" t="inlineStr">
        <is>
          <t>KT</t>
        </is>
      </c>
      <c r="G670" s="47" t="inlineStr">
        <is>
          <t>LTE</t>
        </is>
      </c>
      <c r="H670" s="48" t="n">
        <v>3300</v>
      </c>
      <c r="I670" s="48" t="n">
        <v>7</v>
      </c>
      <c r="J670" s="48" t="n">
        <v>28600</v>
      </c>
      <c r="K670" s="47">
        <f t="array" ref="K670">_xlfn.XLOOKUP(1,(참조!$B$2:$B$15=E670)*(참조!$D$2:$D$15=C670)*(참조!$E$2:$E$15=D670),참조!$C$2:$C$15,"")</f>
        <v/>
      </c>
    </row>
    <row r="671" hidden="1" s="27">
      <c r="A671" s="47" t="inlineStr">
        <is>
          <t>티플러스</t>
        </is>
      </c>
      <c r="B671" s="47" t="inlineStr">
        <is>
          <t>The 데이터마음껏15G＋(300분)(스타벅스 매월 5000P)</t>
        </is>
      </c>
      <c r="C671" s="47" t="inlineStr">
        <is>
          <t>300분</t>
        </is>
      </c>
      <c r="D671" s="47" t="inlineStr">
        <is>
          <t>300건</t>
        </is>
      </c>
      <c r="E671" s="47" t="inlineStr">
        <is>
          <t>월 15GB + 3Mbps</t>
        </is>
      </c>
      <c r="F671" s="47" t="inlineStr">
        <is>
          <t>LG U+</t>
        </is>
      </c>
      <c r="G671" s="47" t="inlineStr">
        <is>
          <t>LTE</t>
        </is>
      </c>
      <c r="H671" s="48" t="n">
        <v>23500</v>
      </c>
      <c r="I671" s="48" t="n">
        <v>24</v>
      </c>
      <c r="J671" s="48" t="n">
        <v>33000</v>
      </c>
      <c r="K671" s="47">
        <f t="array" ref="K671">_xlfn.XLOOKUP(1,(참조!$B$2:$B$15=E671)*(참조!$D$2:$D$15=C671)*(참조!$E$2:$E$15=D671),참조!$C$2:$C$15,"")</f>
        <v/>
      </c>
    </row>
    <row r="672" hidden="1" s="27">
      <c r="A672" s="47" t="inlineStr">
        <is>
          <t>에이모바일</t>
        </is>
      </c>
      <c r="B672" s="47" t="inlineStr">
        <is>
          <t>A 넥스트 100GB+</t>
        </is>
      </c>
      <c r="C672" s="47" t="inlineStr">
        <is>
          <t>무제한</t>
        </is>
      </c>
      <c r="D672" s="47" t="inlineStr">
        <is>
          <t>무제한</t>
        </is>
      </c>
      <c r="E672" s="47" t="inlineStr">
        <is>
          <t>월 100GB + 5Mbps</t>
        </is>
      </c>
      <c r="F672" s="47" t="inlineStr">
        <is>
          <t>SKT</t>
        </is>
      </c>
      <c r="G672" s="47" t="inlineStr">
        <is>
          <t>LTE</t>
        </is>
      </c>
      <c r="H672" s="48" t="n">
        <v>7000</v>
      </c>
      <c r="I672" s="48" t="n">
        <v>7</v>
      </c>
      <c r="J672" s="48" t="n">
        <v>45100</v>
      </c>
      <c r="K672" s="47">
        <f t="array" ref="K672">_xlfn.XLOOKUP(1,(참조!$B$2:$B$15=E672)*(참조!$D$2:$D$15=C672)*(참조!$E$2:$E$15=D672),참조!$C$2:$C$15,"")</f>
        <v/>
      </c>
    </row>
    <row r="673" hidden="1" s="27">
      <c r="A673" s="47" t="inlineStr">
        <is>
          <t>이지모바일</t>
        </is>
      </c>
      <c r="B673" s="47" t="inlineStr">
        <is>
          <t>EG 5G평생 2.5GB</t>
        </is>
      </c>
      <c r="C673" s="47" t="inlineStr">
        <is>
          <t>100분</t>
        </is>
      </c>
      <c r="D673" s="47" t="inlineStr">
        <is>
          <t>100건</t>
        </is>
      </c>
      <c r="E673" s="47" t="inlineStr">
        <is>
          <t>월 2.5GB</t>
        </is>
      </c>
      <c r="F673" s="47" t="inlineStr">
        <is>
          <t>KT</t>
        </is>
      </c>
      <c r="G673" s="47" t="inlineStr">
        <is>
          <t>5G</t>
        </is>
      </c>
      <c r="H673" s="48" t="n">
        <v>3850</v>
      </c>
      <c r="I673" s="48" t="n"/>
      <c r="J673" s="48" t="n"/>
      <c r="K673" s="47">
        <f t="array" ref="K673">_xlfn.XLOOKUP(1,(참조!$B$2:$B$15=E673)*(참조!$D$2:$D$15=C673)*(참조!$E$2:$E$15=D673),참조!$C$2:$C$15,"")</f>
        <v/>
      </c>
    </row>
    <row r="674" hidden="1" s="27">
      <c r="A674" s="47" t="inlineStr">
        <is>
          <t>아이즈모바일</t>
        </is>
      </c>
      <c r="B674" s="47" t="inlineStr">
        <is>
          <t>[K]5G 울트라(300분/20GB)</t>
        </is>
      </c>
      <c r="C674" s="47" t="inlineStr">
        <is>
          <t>300분</t>
        </is>
      </c>
      <c r="D674" s="47" t="inlineStr">
        <is>
          <t>200건</t>
        </is>
      </c>
      <c r="E674" s="47" t="inlineStr">
        <is>
          <t>월 20GB</t>
        </is>
      </c>
      <c r="F674" s="47" t="inlineStr">
        <is>
          <t>KT</t>
        </is>
      </c>
      <c r="G674" s="47" t="inlineStr">
        <is>
          <t>5G</t>
        </is>
      </c>
      <c r="H674" s="48" t="n">
        <v>6500</v>
      </c>
      <c r="I674" s="48" t="n"/>
      <c r="J674" s="48" t="n"/>
      <c r="K674" s="47">
        <f t="array" ref="K674">_xlfn.XLOOKUP(1,(참조!$B$2:$B$15=E674)*(참조!$D$2:$D$15=C674)*(참조!$E$2:$E$15=D674),참조!$C$2:$C$15,"")</f>
        <v/>
      </c>
    </row>
    <row r="675" hidden="1" s="27">
      <c r="A675" s="47" t="inlineStr">
        <is>
          <t>아이즈모바일</t>
        </is>
      </c>
      <c r="B675" s="47" t="inlineStr">
        <is>
          <t>[L]100GB+5Mbps</t>
        </is>
      </c>
      <c r="C675" s="47" t="inlineStr">
        <is>
          <t>무제한</t>
        </is>
      </c>
      <c r="D675" s="47" t="inlineStr">
        <is>
          <t>무제한</t>
        </is>
      </c>
      <c r="E675" s="47" t="inlineStr">
        <is>
          <t>월 100GB + 5Mbps</t>
        </is>
      </c>
      <c r="F675" s="47" t="inlineStr">
        <is>
          <t>LG U+</t>
        </is>
      </c>
      <c r="G675" s="47" t="inlineStr">
        <is>
          <t>LTE</t>
        </is>
      </c>
      <c r="H675" s="48" t="n">
        <v>6800</v>
      </c>
      <c r="I675" s="48" t="n">
        <v>7</v>
      </c>
      <c r="J675" s="48" t="n">
        <v>61600</v>
      </c>
      <c r="K675" s="47">
        <f t="array" ref="K675">_xlfn.XLOOKUP(1,(참조!$B$2:$B$15=E675)*(참조!$D$2:$D$15=C675)*(참조!$E$2:$E$15=D675),참조!$C$2:$C$15,"")</f>
        <v/>
      </c>
    </row>
    <row r="676" hidden="1" s="27">
      <c r="A676" s="47" t="inlineStr">
        <is>
          <t>모나</t>
        </is>
      </c>
      <c r="B676" s="47" t="inlineStr">
        <is>
          <t>모나기본7G안심1</t>
        </is>
      </c>
      <c r="C676" s="47" t="inlineStr">
        <is>
          <t>무제한</t>
        </is>
      </c>
      <c r="D676" s="47" t="inlineStr">
        <is>
          <t>무제한</t>
        </is>
      </c>
      <c r="E676" s="47" t="inlineStr">
        <is>
          <t>월 7GB + 1Mbps</t>
        </is>
      </c>
      <c r="F676" s="47" t="inlineStr">
        <is>
          <t>LG U+</t>
        </is>
      </c>
      <c r="G676" s="47" t="inlineStr">
        <is>
          <t>LTE</t>
        </is>
      </c>
      <c r="H676" s="48" t="n">
        <v>4950</v>
      </c>
      <c r="I676" s="48" t="n">
        <v>7</v>
      </c>
      <c r="J676" s="48" t="n">
        <v>35200</v>
      </c>
      <c r="K676" s="47">
        <f t="array" ref="K676">_xlfn.XLOOKUP(1,(참조!$B$2:$B$15=E676)*(참조!$D$2:$D$15=C676)*(참조!$E$2:$E$15=D676),참조!$C$2:$C$15,"")</f>
        <v/>
      </c>
    </row>
    <row r="677" hidden="1" s="27">
      <c r="A677" s="47" t="inlineStr">
        <is>
          <t>고고모바일</t>
        </is>
      </c>
      <c r="B677" s="47" t="inlineStr">
        <is>
          <t>무제한15GB+1M(밀리의서재 매월 무료)</t>
        </is>
      </c>
      <c r="C677" s="47" t="inlineStr">
        <is>
          <t>무제한</t>
        </is>
      </c>
      <c r="D677" s="47" t="inlineStr">
        <is>
          <t>무제한</t>
        </is>
      </c>
      <c r="E677" s="47" t="inlineStr">
        <is>
          <t>월 15GB + 1Mbps</t>
        </is>
      </c>
      <c r="F677" s="47" t="inlineStr">
        <is>
          <t>KT</t>
        </is>
      </c>
      <c r="G677" s="47" t="inlineStr">
        <is>
          <t>LTE</t>
        </is>
      </c>
      <c r="H677" s="48" t="n">
        <v>23870</v>
      </c>
      <c r="I677" s="48" t="n"/>
      <c r="J677" s="48" t="n"/>
      <c r="K677" s="47">
        <f t="array" ref="K677">_xlfn.XLOOKUP(1,(참조!$B$2:$B$15=E677)*(참조!$D$2:$D$15=C677)*(참조!$E$2:$E$15=D677),참조!$C$2:$C$15,"")</f>
        <v/>
      </c>
    </row>
    <row r="678" hidden="1" s="27">
      <c r="A678" s="47" t="inlineStr">
        <is>
          <t>스마텔</t>
        </is>
      </c>
      <c r="B678" s="47" t="inlineStr">
        <is>
          <t>5G 스마트 125GB+(24개월)</t>
        </is>
      </c>
      <c r="C678" s="47" t="inlineStr">
        <is>
          <t>무제한</t>
        </is>
      </c>
      <c r="D678" s="47" t="inlineStr">
        <is>
          <t>무제한</t>
        </is>
      </c>
      <c r="E678" s="47" t="inlineStr">
        <is>
          <t>월 125GB + 5Mbps</t>
        </is>
      </c>
      <c r="F678" s="47" t="inlineStr">
        <is>
          <t>LG U+</t>
        </is>
      </c>
      <c r="G678" s="47" t="inlineStr">
        <is>
          <t>5G</t>
        </is>
      </c>
      <c r="H678" s="48" t="n">
        <v>31000</v>
      </c>
      <c r="I678" s="48" t="n">
        <v>24</v>
      </c>
      <c r="J678" s="48" t="n">
        <v>52800</v>
      </c>
      <c r="K678" s="47">
        <f t="array" ref="K678">_xlfn.XLOOKUP(1,(참조!$B$2:$B$15=E678)*(참조!$D$2:$D$15=C678)*(참조!$E$2:$E$15=D678),참조!$C$2:$C$15,"")</f>
        <v/>
      </c>
    </row>
    <row r="679" hidden="1" s="27">
      <c r="A679" s="47" t="inlineStr">
        <is>
          <t>핀다이렉트</t>
        </is>
      </c>
      <c r="B679" s="47" t="inlineStr">
        <is>
          <t>[모요only] [S] 핀다이렉트Z Max(네이버페이) _PAY</t>
        </is>
      </c>
      <c r="C679" s="47" t="inlineStr">
        <is>
          <t>무제한</t>
        </is>
      </c>
      <c r="D679" s="47" t="inlineStr">
        <is>
          <t>무제한</t>
        </is>
      </c>
      <c r="E679" s="47" t="inlineStr">
        <is>
          <t>월 100GB + 5Mbps</t>
        </is>
      </c>
      <c r="F679" s="47" t="inlineStr">
        <is>
          <t>SKT</t>
        </is>
      </c>
      <c r="G679" s="47" t="inlineStr">
        <is>
          <t>LTE</t>
        </is>
      </c>
      <c r="H679" s="48" t="n">
        <v>34900</v>
      </c>
      <c r="I679" s="48" t="n">
        <v>7</v>
      </c>
      <c r="J679" s="48" t="n">
        <v>42900</v>
      </c>
      <c r="K679" s="47">
        <f t="array" ref="K679">_xlfn.XLOOKUP(1,(참조!$B$2:$B$15=E679)*(참조!$D$2:$D$15=C679)*(참조!$E$2:$E$15=D679),참조!$C$2:$C$15,"")</f>
        <v/>
      </c>
    </row>
    <row r="680" hidden="1" s="27">
      <c r="A680" s="47" t="inlineStr">
        <is>
          <t>아이즈모바일</t>
        </is>
      </c>
      <c r="B680" s="47" t="inlineStr">
        <is>
          <t>세이브머니유심(100분/5GB)</t>
        </is>
      </c>
      <c r="C680" s="47" t="inlineStr">
        <is>
          <t>100분</t>
        </is>
      </c>
      <c r="D680" s="47" t="inlineStr">
        <is>
          <t>50건</t>
        </is>
      </c>
      <c r="E680" s="47" t="inlineStr">
        <is>
          <t>월 5GB</t>
        </is>
      </c>
      <c r="F680" s="47" t="inlineStr">
        <is>
          <t>LG U+</t>
        </is>
      </c>
      <c r="G680" s="47" t="inlineStr">
        <is>
          <t>LTE</t>
        </is>
      </c>
      <c r="H680" s="48" t="n">
        <v>500</v>
      </c>
      <c r="I680" s="48" t="n"/>
      <c r="J680" s="48" t="n"/>
      <c r="K680" s="47">
        <f t="array" ref="K680">_xlfn.XLOOKUP(1,(참조!$B$2:$B$15=E680)*(참조!$D$2:$D$15=C680)*(참조!$E$2:$E$15=D680),참조!$C$2:$C$15,"")</f>
        <v/>
      </c>
    </row>
    <row r="681" hidden="1" s="27">
      <c r="A681" s="47" t="inlineStr">
        <is>
          <t>이야기모바일</t>
        </is>
      </c>
      <c r="B681" s="47" t="inlineStr">
        <is>
          <t>함께이야기해S 무한 10GB</t>
        </is>
      </c>
      <c r="C681" s="47" t="inlineStr">
        <is>
          <t>무제한</t>
        </is>
      </c>
      <c r="D681" s="47" t="inlineStr">
        <is>
          <t>무제한</t>
        </is>
      </c>
      <c r="E681" s="47" t="inlineStr">
        <is>
          <t>월 10GB</t>
        </is>
      </c>
      <c r="F681" s="47" t="inlineStr">
        <is>
          <t>SKT</t>
        </is>
      </c>
      <c r="G681" s="47" t="inlineStr">
        <is>
          <t>LTE</t>
        </is>
      </c>
      <c r="H681" s="48" t="n">
        <v>13000</v>
      </c>
      <c r="I681" s="48" t="n">
        <v>12</v>
      </c>
      <c r="J681" s="48" t="n">
        <v>16500</v>
      </c>
      <c r="K681" s="47">
        <f t="array" ref="K681">_xlfn.XLOOKUP(1,(참조!$B$2:$B$15=E681)*(참조!$D$2:$D$15=C681)*(참조!$E$2:$E$15=D681),참조!$C$2:$C$15,"")</f>
        <v/>
      </c>
    </row>
    <row r="682" hidden="1" s="27">
      <c r="A682" s="47" t="inlineStr">
        <is>
          <t>아이즈모바일</t>
        </is>
      </c>
      <c r="B682" s="47" t="inlineStr">
        <is>
          <t>[S]울트라(100분/15GB)</t>
        </is>
      </c>
      <c r="C682" s="47" t="inlineStr">
        <is>
          <t>100분</t>
        </is>
      </c>
      <c r="D682" s="47" t="inlineStr">
        <is>
          <t>100건</t>
        </is>
      </c>
      <c r="E682" s="47" t="inlineStr">
        <is>
          <t>월 15GB</t>
        </is>
      </c>
      <c r="F682" s="47" t="inlineStr">
        <is>
          <t>SKT</t>
        </is>
      </c>
      <c r="G682" s="47" t="inlineStr">
        <is>
          <t>LTE</t>
        </is>
      </c>
      <c r="H682" s="48" t="n">
        <v>5100</v>
      </c>
      <c r="I682" s="48" t="n"/>
      <c r="J682" s="48" t="n"/>
      <c r="K682" s="47">
        <f t="array" ref="K682">_xlfn.XLOOKUP(1,(참조!$B$2:$B$15=E682)*(참조!$D$2:$D$15=C682)*(참조!$E$2:$E$15=D682),참조!$C$2:$C$15,"")</f>
        <v/>
      </c>
    </row>
    <row r="683" hidden="1" s="27">
      <c r="A683" s="47" t="inlineStr">
        <is>
          <t>핀다이렉트</t>
        </is>
      </c>
      <c r="B683" s="47" t="inlineStr">
        <is>
          <t>[K] DIGITAL DETOX 3GB 챌린지</t>
        </is>
      </c>
      <c r="C683" s="47" t="inlineStr">
        <is>
          <t>100분</t>
        </is>
      </c>
      <c r="D683" s="47" t="inlineStr">
        <is>
          <t>100건</t>
        </is>
      </c>
      <c r="E683" s="47" t="inlineStr">
        <is>
          <t>월 3GB</t>
        </is>
      </c>
      <c r="F683" s="47" t="inlineStr">
        <is>
          <t>KT</t>
        </is>
      </c>
      <c r="G683" s="47" t="inlineStr">
        <is>
          <t>LTE</t>
        </is>
      </c>
      <c r="H683" s="48" t="n">
        <v>330</v>
      </c>
      <c r="I683" s="48" t="n">
        <v>7</v>
      </c>
      <c r="J683" s="48" t="n">
        <v>8800</v>
      </c>
      <c r="K683" s="47">
        <f t="array" ref="K683">_xlfn.XLOOKUP(1,(참조!$B$2:$B$15=E683)*(참조!$D$2:$D$15=C683)*(참조!$E$2:$E$15=D683),참조!$C$2:$C$15,"")</f>
        <v/>
      </c>
    </row>
    <row r="684" hidden="1" s="27">
      <c r="A684" s="47" t="inlineStr">
        <is>
          <t>핀다이렉트</t>
        </is>
      </c>
      <c r="B684" s="47" t="inlineStr">
        <is>
          <t>[모요only] [K] 핀다이렉트Z 11GB+(네이버페이) _PIN</t>
        </is>
      </c>
      <c r="C684" s="47" t="inlineStr">
        <is>
          <t>무제한</t>
        </is>
      </c>
      <c r="D684" s="47" t="inlineStr">
        <is>
          <t>무제한</t>
        </is>
      </c>
      <c r="E684" s="47" t="inlineStr">
        <is>
          <t>월 11GB + 매일 2GB + 3Mbps</t>
        </is>
      </c>
      <c r="F684" s="47" t="inlineStr">
        <is>
          <t>KT</t>
        </is>
      </c>
      <c r="G684" s="47" t="inlineStr">
        <is>
          <t>LTE</t>
        </is>
      </c>
      <c r="H684" s="48" t="n">
        <v>21000</v>
      </c>
      <c r="I684" s="48" t="n">
        <v>7</v>
      </c>
      <c r="J684" s="48" t="n">
        <v>44000</v>
      </c>
      <c r="K684" s="47">
        <f t="array" ref="K684">_xlfn.XLOOKUP(1,(참조!$B$2:$B$15=E684)*(참조!$D$2:$D$15=C684)*(참조!$E$2:$E$15=D684),참조!$C$2:$C$15,"")</f>
        <v/>
      </c>
    </row>
    <row r="685" hidden="1" s="27">
      <c r="A685" s="47" t="inlineStr">
        <is>
          <t>찬스모바일</t>
        </is>
      </c>
      <c r="B685" s="47" t="inlineStr">
        <is>
          <t>모두무제한 15GB+</t>
        </is>
      </c>
      <c r="C685" s="47" t="inlineStr">
        <is>
          <t>무제한</t>
        </is>
      </c>
      <c r="D685" s="47" t="inlineStr">
        <is>
          <t>무제한</t>
        </is>
      </c>
      <c r="E685" s="47" t="inlineStr">
        <is>
          <t>월 15GB + 1Mbps</t>
        </is>
      </c>
      <c r="F685" s="47" t="inlineStr">
        <is>
          <t>LG U+</t>
        </is>
      </c>
      <c r="G685" s="47" t="inlineStr">
        <is>
          <t>LTE</t>
        </is>
      </c>
      <c r="H685" s="48" t="n">
        <v>9600</v>
      </c>
      <c r="I685" s="48" t="n">
        <v>7</v>
      </c>
      <c r="J685" s="48" t="n">
        <v>25500</v>
      </c>
      <c r="K685" s="47">
        <f t="array" ref="K685">_xlfn.XLOOKUP(1,(참조!$B$2:$B$15=E685)*(참조!$D$2:$D$15=C685)*(참조!$E$2:$E$15=D685),참조!$C$2:$C$15,"")</f>
        <v/>
      </c>
    </row>
    <row r="686" hidden="1" s="27">
      <c r="A686" s="47" t="inlineStr">
        <is>
          <t>쉐이크모바일</t>
        </is>
      </c>
      <c r="B686" s="47" t="inlineStr">
        <is>
          <t>[모요only] 쉐이크 LTE 15GB+_CU</t>
        </is>
      </c>
      <c r="C686" s="47" t="inlineStr">
        <is>
          <t>무제한</t>
        </is>
      </c>
      <c r="D686" s="47" t="inlineStr">
        <is>
          <t>무제한</t>
        </is>
      </c>
      <c r="E686" s="47" t="inlineStr">
        <is>
          <t>월 15GB + 1Mbps</t>
        </is>
      </c>
      <c r="F686" s="47" t="inlineStr">
        <is>
          <t>KT</t>
        </is>
      </c>
      <c r="G686" s="47" t="inlineStr">
        <is>
          <t>LTE</t>
        </is>
      </c>
      <c r="H686" s="48" t="n">
        <v>9900</v>
      </c>
      <c r="I686" s="48" t="n">
        <v>7</v>
      </c>
      <c r="J686" s="48" t="n">
        <v>27500</v>
      </c>
      <c r="K686" s="47">
        <f t="array" ref="K686">_xlfn.XLOOKUP(1,(참조!$B$2:$B$15=E686)*(참조!$D$2:$D$15=C686)*(참조!$E$2:$E$15=D686),참조!$C$2:$C$15,"")</f>
        <v/>
      </c>
    </row>
    <row r="687" hidden="1" s="27">
      <c r="A687" s="47" t="inlineStr">
        <is>
          <t>이지모바일</t>
        </is>
      </c>
      <c r="B687" s="47" t="inlineStr">
        <is>
          <t>이지 오래쓰는 무제한 5G+1</t>
        </is>
      </c>
      <c r="C687" s="47" t="inlineStr">
        <is>
          <t>무제한</t>
        </is>
      </c>
      <c r="D687" s="47" t="inlineStr">
        <is>
          <t>무제한</t>
        </is>
      </c>
      <c r="E687" s="47" t="inlineStr">
        <is>
          <t>월 5GB + 1Mbps</t>
        </is>
      </c>
      <c r="F687" s="47" t="inlineStr">
        <is>
          <t>LG U+</t>
        </is>
      </c>
      <c r="G687" s="47" t="inlineStr">
        <is>
          <t>LTE</t>
        </is>
      </c>
      <c r="H687" s="48" t="n">
        <v>4620</v>
      </c>
      <c r="I687" s="48" t="n">
        <v>12</v>
      </c>
      <c r="J687" s="48" t="n">
        <v>16500</v>
      </c>
      <c r="K687" s="47">
        <f t="array" ref="K687">_xlfn.XLOOKUP(1,(참조!$B$2:$B$15=E687)*(참조!$D$2:$D$15=C687)*(참조!$E$2:$E$15=D687),참조!$C$2:$C$15,"")</f>
        <v/>
      </c>
    </row>
    <row r="688" hidden="1" s="27">
      <c r="A688" s="47" t="inlineStr">
        <is>
          <t>아이즈모바일</t>
        </is>
      </c>
      <c r="B688" s="47" t="inlineStr">
        <is>
          <t>[L]그란데(200분/6GB)</t>
        </is>
      </c>
      <c r="C688" s="47" t="inlineStr">
        <is>
          <t>200분</t>
        </is>
      </c>
      <c r="D688" s="47" t="inlineStr">
        <is>
          <t>100건</t>
        </is>
      </c>
      <c r="E688" s="47" t="inlineStr">
        <is>
          <t>월 6GB</t>
        </is>
      </c>
      <c r="F688" s="47" t="inlineStr">
        <is>
          <t>LG U+</t>
        </is>
      </c>
      <c r="G688" s="47" t="inlineStr">
        <is>
          <t>LTE</t>
        </is>
      </c>
      <c r="H688" s="48" t="n">
        <v>550</v>
      </c>
      <c r="I688" s="48" t="n"/>
      <c r="J688" s="48" t="n"/>
      <c r="K688" s="47">
        <f t="array" ref="K688">_xlfn.XLOOKUP(1,(참조!$B$2:$B$15=E688)*(참조!$D$2:$D$15=C688)*(참조!$E$2:$E$15=D688),참조!$C$2:$C$15,"")</f>
        <v/>
      </c>
    </row>
    <row r="689" hidden="1" s="27">
      <c r="A689" s="47" t="inlineStr">
        <is>
          <t>쉐이크모바일</t>
        </is>
      </c>
      <c r="B689" s="47" t="inlineStr">
        <is>
          <t>[모요only] 쉐이크 5G 200GB+_밀리의서재</t>
        </is>
      </c>
      <c r="C689" s="47" t="inlineStr">
        <is>
          <t>무제한</t>
        </is>
      </c>
      <c r="D689" s="47" t="inlineStr">
        <is>
          <t>무제한</t>
        </is>
      </c>
      <c r="E689" s="47" t="inlineStr">
        <is>
          <t>월 200GB + 10Mbps</t>
        </is>
      </c>
      <c r="F689" s="47" t="inlineStr">
        <is>
          <t>KT</t>
        </is>
      </c>
      <c r="G689" s="47" t="inlineStr">
        <is>
          <t>5G</t>
        </is>
      </c>
      <c r="H689" s="48" t="n">
        <v>32500</v>
      </c>
      <c r="I689" s="48" t="n">
        <v>12</v>
      </c>
      <c r="J689" s="48" t="n">
        <v>55000</v>
      </c>
      <c r="K689" s="47">
        <f t="array" ref="K689">_xlfn.XLOOKUP(1,(참조!$B$2:$B$15=E689)*(참조!$D$2:$D$15=C689)*(참조!$E$2:$E$15=D689),참조!$C$2:$C$15,"")</f>
        <v/>
      </c>
    </row>
    <row r="690" hidden="1" s="27">
      <c r="A690" s="47" t="inlineStr">
        <is>
          <t>모빙</t>
        </is>
      </c>
      <c r="B690" s="47" t="inlineStr">
        <is>
          <t>[S] 데이터 7GB</t>
        </is>
      </c>
      <c r="C690" s="47" t="inlineStr">
        <is>
          <t>무제한</t>
        </is>
      </c>
      <c r="D690" s="47" t="inlineStr">
        <is>
          <t>200건</t>
        </is>
      </c>
      <c r="E690" s="47" t="inlineStr">
        <is>
          <t>월 7GB</t>
        </is>
      </c>
      <c r="F690" s="47" t="inlineStr">
        <is>
          <t>SKT</t>
        </is>
      </c>
      <c r="G690" s="47" t="inlineStr">
        <is>
          <t>LTE</t>
        </is>
      </c>
      <c r="H690" s="48" t="n">
        <v>5500</v>
      </c>
      <c r="I690" s="48" t="n"/>
      <c r="J690" s="48" t="n"/>
      <c r="K690" s="47">
        <f t="array" ref="K690">_xlfn.XLOOKUP(1,(참조!$B$2:$B$15=E690)*(참조!$D$2:$D$15=C690)*(참조!$E$2:$E$15=D690),참조!$C$2:$C$15,"")</f>
        <v/>
      </c>
    </row>
    <row r="691" hidden="1" s="27">
      <c r="A691" s="47" t="inlineStr">
        <is>
          <t>티플러스</t>
        </is>
      </c>
      <c r="B691" s="47" t="inlineStr">
        <is>
          <t>티플 완전마음껏7G＋_평생요금</t>
        </is>
      </c>
      <c r="C691" s="47" t="inlineStr">
        <is>
          <t>무제한</t>
        </is>
      </c>
      <c r="D691" s="47" t="inlineStr">
        <is>
          <t>무제한</t>
        </is>
      </c>
      <c r="E691" s="47" t="inlineStr">
        <is>
          <t>월 7GB + 1Mbps</t>
        </is>
      </c>
      <c r="F691" s="47" t="inlineStr">
        <is>
          <t>LG U+</t>
        </is>
      </c>
      <c r="G691" s="47" t="inlineStr">
        <is>
          <t>LTE</t>
        </is>
      </c>
      <c r="H691" s="48" t="n">
        <v>14900</v>
      </c>
      <c r="I691" s="48" t="n"/>
      <c r="J691" s="48" t="n"/>
      <c r="K691" s="47">
        <f t="array" ref="K691">_xlfn.XLOOKUP(1,(참조!$B$2:$B$15=E691)*(참조!$D$2:$D$15=C691)*(참조!$E$2:$E$15=D691),참조!$C$2:$C$15,"")</f>
        <v/>
      </c>
    </row>
    <row r="692" hidden="1" s="27">
      <c r="A692" s="47" t="inlineStr">
        <is>
          <t>KG모바일</t>
        </is>
      </c>
      <c r="B692" s="47" t="inlineStr">
        <is>
          <t>[일반] 통화, 데이터 마음대로 7GB+_24개월</t>
        </is>
      </c>
      <c r="C692" s="47" t="inlineStr">
        <is>
          <t>무제한</t>
        </is>
      </c>
      <c r="D692" s="47" t="inlineStr">
        <is>
          <t>무제한</t>
        </is>
      </c>
      <c r="E692" s="47" t="inlineStr">
        <is>
          <t>월 7GB + 1Mbps</t>
        </is>
      </c>
      <c r="F692" s="47" t="inlineStr">
        <is>
          <t>LG U+</t>
        </is>
      </c>
      <c r="G692" s="47" t="inlineStr">
        <is>
          <t>LTE</t>
        </is>
      </c>
      <c r="H692" s="48" t="n">
        <v>13500</v>
      </c>
      <c r="I692" s="48" t="n">
        <v>24</v>
      </c>
      <c r="J692" s="48" t="n">
        <v>24200</v>
      </c>
      <c r="K692" s="47">
        <f t="array" ref="K692">_xlfn.XLOOKUP(1,(참조!$B$2:$B$15=E692)*(참조!$D$2:$D$15=C692)*(참조!$E$2:$E$15=D692),참조!$C$2:$C$15,"")</f>
        <v/>
      </c>
    </row>
    <row r="693" hidden="1" s="27">
      <c r="A693" s="47" t="inlineStr">
        <is>
          <t>티플러스</t>
        </is>
      </c>
      <c r="B693" s="47" t="inlineStr">
        <is>
          <t>티플온 15G＋(100분)</t>
        </is>
      </c>
      <c r="C693" s="47" t="inlineStr">
        <is>
          <t>100분</t>
        </is>
      </c>
      <c r="D693" s="47" t="inlineStr">
        <is>
          <t>100건</t>
        </is>
      </c>
      <c r="E693" s="47" t="inlineStr">
        <is>
          <t>월 15GB + 3Mbps</t>
        </is>
      </c>
      <c r="F693" s="47" t="inlineStr">
        <is>
          <t>LG U+</t>
        </is>
      </c>
      <c r="G693" s="47" t="inlineStr">
        <is>
          <t>LTE</t>
        </is>
      </c>
      <c r="H693" s="48" t="n">
        <v>10900</v>
      </c>
      <c r="I693" s="48" t="n">
        <v>7</v>
      </c>
      <c r="J693" s="48" t="n">
        <v>39600</v>
      </c>
      <c r="K693" s="47">
        <f t="array" ref="K693">_xlfn.XLOOKUP(1,(참조!$B$2:$B$15=E693)*(참조!$D$2:$D$15=C693)*(참조!$E$2:$E$15=D693),참조!$C$2:$C$15,"")</f>
        <v/>
      </c>
    </row>
    <row r="694" hidden="1" s="27">
      <c r="A694" s="47" t="inlineStr">
        <is>
          <t>찬스모바일</t>
        </is>
      </c>
      <c r="B694" s="47" t="inlineStr">
        <is>
          <t>음성기본 매일 5GB+</t>
        </is>
      </c>
      <c r="C694" s="47" t="inlineStr">
        <is>
          <t>무제한</t>
        </is>
      </c>
      <c r="D694" s="47" t="inlineStr">
        <is>
          <t>무제한</t>
        </is>
      </c>
      <c r="E694" s="47" t="inlineStr">
        <is>
          <t>매일 5GB + 5Mbps</t>
        </is>
      </c>
      <c r="F694" s="47" t="inlineStr">
        <is>
          <t>LG U+</t>
        </is>
      </c>
      <c r="G694" s="47" t="inlineStr">
        <is>
          <t>LTE</t>
        </is>
      </c>
      <c r="H694" s="48" t="n">
        <v>16000</v>
      </c>
      <c r="I694" s="48" t="n">
        <v>7</v>
      </c>
      <c r="J694" s="48" t="n">
        <v>46200</v>
      </c>
      <c r="K694" s="47">
        <f t="array" ref="K694">_xlfn.XLOOKUP(1,(참조!$B$2:$B$15=E694)*(참조!$D$2:$D$15=C694)*(참조!$E$2:$E$15=D694),참조!$C$2:$C$15,"")</f>
        <v/>
      </c>
    </row>
    <row r="695" hidden="1" s="27">
      <c r="A695" s="47" t="inlineStr">
        <is>
          <t>고고모바일</t>
        </is>
      </c>
      <c r="B695" s="47" t="inlineStr">
        <is>
          <t>5G200분/7GB</t>
        </is>
      </c>
      <c r="C695" s="47" t="inlineStr">
        <is>
          <t>200분</t>
        </is>
      </c>
      <c r="D695" s="47" t="inlineStr">
        <is>
          <t>100건</t>
        </is>
      </c>
      <c r="E695" s="47" t="inlineStr">
        <is>
          <t>월 7GB</t>
        </is>
      </c>
      <c r="F695" s="47" t="inlineStr">
        <is>
          <t>KT</t>
        </is>
      </c>
      <c r="G695" s="47" t="inlineStr">
        <is>
          <t>5G</t>
        </is>
      </c>
      <c r="H695" s="48" t="n">
        <v>13420</v>
      </c>
      <c r="I695" s="48" t="n"/>
      <c r="J695" s="48" t="n"/>
      <c r="K695" s="47">
        <f t="array" ref="K695">_xlfn.XLOOKUP(1,(참조!$B$2:$B$15=E695)*(참조!$D$2:$D$15=C695)*(참조!$E$2:$E$15=D695),참조!$C$2:$C$15,"")</f>
        <v/>
      </c>
    </row>
    <row r="696" hidden="1" s="27">
      <c r="A696" s="47" t="inlineStr">
        <is>
          <t>아이즈모바일</t>
        </is>
      </c>
      <c r="B696" s="47" t="inlineStr">
        <is>
          <t>[S]벤티(300분/7GB)</t>
        </is>
      </c>
      <c r="C696" s="47" t="inlineStr">
        <is>
          <t>300분</t>
        </is>
      </c>
      <c r="D696" s="47" t="inlineStr">
        <is>
          <t>100건</t>
        </is>
      </c>
      <c r="E696" s="47" t="inlineStr">
        <is>
          <t>월 7GB</t>
        </is>
      </c>
      <c r="F696" s="47" t="inlineStr">
        <is>
          <t>SKT</t>
        </is>
      </c>
      <c r="G696" s="47" t="inlineStr">
        <is>
          <t>LTE</t>
        </is>
      </c>
      <c r="H696" s="48" t="n">
        <v>770</v>
      </c>
      <c r="I696" s="48" t="n"/>
      <c r="J696" s="48" t="n"/>
      <c r="K696" s="47">
        <f t="array" ref="K696">_xlfn.XLOOKUP(1,(참조!$B$2:$B$15=E696)*(참조!$D$2:$D$15=C696)*(참조!$E$2:$E$15=D696),참조!$C$2:$C$15,"")</f>
        <v/>
      </c>
    </row>
    <row r="697" hidden="1" s="27">
      <c r="A697" s="47" t="inlineStr">
        <is>
          <t>인스모바일</t>
        </is>
      </c>
      <c r="B697" s="47" t="inlineStr">
        <is>
          <t>실속 150분+1GB(USIM)</t>
        </is>
      </c>
      <c r="C697" s="47" t="inlineStr">
        <is>
          <t>150분</t>
        </is>
      </c>
      <c r="D697" s="47" t="inlineStr">
        <is>
          <t>50건</t>
        </is>
      </c>
      <c r="E697" s="47" t="inlineStr">
        <is>
          <t>월 1GB</t>
        </is>
      </c>
      <c r="F697" s="47" t="inlineStr">
        <is>
          <t>LG U+</t>
        </is>
      </c>
      <c r="G697" s="47" t="inlineStr">
        <is>
          <t>LTE</t>
        </is>
      </c>
      <c r="H697" s="48" t="n">
        <v>1100</v>
      </c>
      <c r="I697" s="48" t="n">
        <v>6</v>
      </c>
      <c r="J697" s="48" t="n">
        <v>8800</v>
      </c>
      <c r="K697" s="47">
        <f t="array" ref="K697">_xlfn.XLOOKUP(1,(참조!$B$2:$B$15=E697)*(참조!$D$2:$D$15=C697)*(참조!$E$2:$E$15=D697),참조!$C$2:$C$15,"")</f>
        <v/>
      </c>
    </row>
    <row r="698" hidden="1" s="27">
      <c r="A698" s="47" t="inlineStr">
        <is>
          <t>스마텔</t>
        </is>
      </c>
      <c r="B698" s="47" t="inlineStr">
        <is>
          <t>LTE 음성무제한 15GB</t>
        </is>
      </c>
      <c r="C698" s="47" t="inlineStr">
        <is>
          <t>무제한</t>
        </is>
      </c>
      <c r="D698" s="47" t="inlineStr">
        <is>
          <t>200건</t>
        </is>
      </c>
      <c r="E698" s="47" t="inlineStr">
        <is>
          <t>월 15GB</t>
        </is>
      </c>
      <c r="F698" s="47" t="inlineStr">
        <is>
          <t>SKT</t>
        </is>
      </c>
      <c r="G698" s="47" t="inlineStr">
        <is>
          <t>LTE</t>
        </is>
      </c>
      <c r="H698" s="48" t="n">
        <v>8200</v>
      </c>
      <c r="I698" s="48" t="n">
        <v>7</v>
      </c>
      <c r="J698" s="48" t="n">
        <v>23100</v>
      </c>
      <c r="K698" s="47">
        <f t="array" ref="K698">_xlfn.XLOOKUP(1,(참조!$B$2:$B$15=E698)*(참조!$D$2:$D$15=C698)*(참조!$E$2:$E$15=D698),참조!$C$2:$C$15,"")</f>
        <v/>
      </c>
    </row>
    <row r="699" hidden="1" s="27">
      <c r="A699" s="47" t="inlineStr">
        <is>
          <t>KT엠모바일</t>
        </is>
      </c>
      <c r="B699" s="47" t="inlineStr">
        <is>
          <t>모두다 맘껏 11GB+(CU 20%할인)</t>
        </is>
      </c>
      <c r="C699" s="47" t="inlineStr">
        <is>
          <t>무제한</t>
        </is>
      </c>
      <c r="D699" s="47" t="inlineStr">
        <is>
          <t>무제한</t>
        </is>
      </c>
      <c r="E699" s="47" t="inlineStr">
        <is>
          <t>월 11GB + 매일 2GB + 3Mbps</t>
        </is>
      </c>
      <c r="F699" s="47" t="inlineStr">
        <is>
          <t>KT</t>
        </is>
      </c>
      <c r="G699" s="47" t="inlineStr">
        <is>
          <t>LTE</t>
        </is>
      </c>
      <c r="H699" s="48" t="n">
        <v>33000</v>
      </c>
      <c r="I699" s="48" t="n"/>
      <c r="J699" s="48" t="n"/>
      <c r="K699" s="47">
        <f t="array" ref="K699">_xlfn.XLOOKUP(1,(참조!$B$2:$B$15=E699)*(참조!$D$2:$D$15=C699)*(참조!$E$2:$E$15=D699),참조!$C$2:$C$15,"")</f>
        <v/>
      </c>
    </row>
    <row r="700" hidden="1" s="27">
      <c r="A700" s="47" t="inlineStr">
        <is>
          <t>티플러스</t>
        </is>
      </c>
      <c r="B700" s="47" t="inlineStr">
        <is>
          <t>티플 위드유 15GB+(100분)(G car+세차클링)</t>
        </is>
      </c>
      <c r="C700" s="47" t="inlineStr">
        <is>
          <t>100분</t>
        </is>
      </c>
      <c r="D700" s="47" t="inlineStr">
        <is>
          <t>100건</t>
        </is>
      </c>
      <c r="E700" s="47" t="inlineStr">
        <is>
          <t>월 15GB + 3Mbps</t>
        </is>
      </c>
      <c r="F700" s="47" t="inlineStr">
        <is>
          <t>SKT</t>
        </is>
      </c>
      <c r="G700" s="47" t="inlineStr">
        <is>
          <t>LTE</t>
        </is>
      </c>
      <c r="H700" s="48" t="n">
        <v>10900</v>
      </c>
      <c r="I700" s="48" t="n">
        <v>7</v>
      </c>
      <c r="J700" s="48" t="n">
        <v>31900</v>
      </c>
      <c r="K700" s="47">
        <f t="array" ref="K700">_xlfn.XLOOKUP(1,(참조!$B$2:$B$15=E700)*(참조!$D$2:$D$15=C700)*(참조!$E$2:$E$15=D700),참조!$C$2:$C$15,"")</f>
        <v/>
      </c>
    </row>
    <row r="701" hidden="1" s="27">
      <c r="A701" s="47" t="inlineStr">
        <is>
          <t>더원모바일</t>
        </is>
      </c>
      <c r="B701" s="47" t="inlineStr">
        <is>
          <t>TOP 10GB 기본 (네이버페이)</t>
        </is>
      </c>
      <c r="C701" s="47" t="inlineStr">
        <is>
          <t>무제한</t>
        </is>
      </c>
      <c r="D701" s="47" t="inlineStr">
        <is>
          <t>무제한</t>
        </is>
      </c>
      <c r="E701" s="47" t="inlineStr">
        <is>
          <t>월 10GB + 1Mbps</t>
        </is>
      </c>
      <c r="F701" s="47" t="inlineStr">
        <is>
          <t>KT</t>
        </is>
      </c>
      <c r="G701" s="47" t="inlineStr">
        <is>
          <t>LTE</t>
        </is>
      </c>
      <c r="H701" s="48" t="n">
        <v>5500</v>
      </c>
      <c r="I701" s="48" t="n">
        <v>7</v>
      </c>
      <c r="J701" s="48" t="n">
        <v>28600</v>
      </c>
      <c r="K701" s="47">
        <f t="array" ref="K701">_xlfn.XLOOKUP(1,(참조!$B$2:$B$15=E701)*(참조!$D$2:$D$15=C701)*(참조!$E$2:$E$15=D701),참조!$C$2:$C$15,"")</f>
        <v/>
      </c>
    </row>
    <row r="702" hidden="1" s="27">
      <c r="A702" s="47" t="inlineStr">
        <is>
          <t>KT스카이라이프</t>
        </is>
      </c>
      <c r="B702" s="47" t="inlineStr">
        <is>
          <t>모두 충분 7GB+(밀리의서재)</t>
        </is>
      </c>
      <c r="C702" s="47" t="inlineStr">
        <is>
          <t>무제한</t>
        </is>
      </c>
      <c r="D702" s="47" t="inlineStr">
        <is>
          <t>무제한</t>
        </is>
      </c>
      <c r="E702" s="47" t="inlineStr">
        <is>
          <t>월 7GB + 1Mbps</t>
        </is>
      </c>
      <c r="F702" s="47" t="inlineStr">
        <is>
          <t>KT</t>
        </is>
      </c>
      <c r="G702" s="47" t="inlineStr">
        <is>
          <t>LTE</t>
        </is>
      </c>
      <c r="H702" s="48" t="n">
        <v>16800</v>
      </c>
      <c r="I702" s="48" t="n"/>
      <c r="J702" s="48" t="n"/>
      <c r="K702" s="47">
        <f t="array" ref="K702">_xlfn.XLOOKUP(1,(참조!$B$2:$B$15=E702)*(참조!$D$2:$D$15=C702)*(참조!$E$2:$E$15=D702),참조!$C$2:$C$15,"")</f>
        <v/>
      </c>
    </row>
    <row r="703" hidden="1" s="27">
      <c r="A703" s="47" t="inlineStr">
        <is>
          <t>인스모바일</t>
        </is>
      </c>
      <c r="B703" s="47" t="inlineStr">
        <is>
          <t>[평생할인]실속 200분+2GB(USIM)</t>
        </is>
      </c>
      <c r="C703" s="47" t="inlineStr">
        <is>
          <t>200분</t>
        </is>
      </c>
      <c r="D703" s="47" t="inlineStr">
        <is>
          <t>50건</t>
        </is>
      </c>
      <c r="E703" s="47" t="inlineStr">
        <is>
          <t>월 2GB</t>
        </is>
      </c>
      <c r="F703" s="47" t="inlineStr">
        <is>
          <t>LG U+</t>
        </is>
      </c>
      <c r="G703" s="47" t="inlineStr">
        <is>
          <t>LTE</t>
        </is>
      </c>
      <c r="H703" s="48" t="n">
        <v>2530</v>
      </c>
      <c r="I703" s="48" t="n"/>
      <c r="J703" s="48" t="n"/>
      <c r="K703" s="47">
        <f t="array" ref="K703">_xlfn.XLOOKUP(1,(참조!$B$2:$B$15=E703)*(참조!$D$2:$D$15=C703)*(참조!$E$2:$E$15=D703),참조!$C$2:$C$15,"")</f>
        <v/>
      </c>
    </row>
    <row r="704" hidden="1" s="27">
      <c r="A704" s="47" t="inlineStr">
        <is>
          <t>모나</t>
        </is>
      </c>
      <c r="B704" s="47" t="inlineStr">
        <is>
          <t>5G_모나기본180G안심10</t>
        </is>
      </c>
      <c r="C704" s="47" t="inlineStr">
        <is>
          <t>무제한</t>
        </is>
      </c>
      <c r="D704" s="47" t="inlineStr">
        <is>
          <t>무제한</t>
        </is>
      </c>
      <c r="E704" s="47" t="inlineStr">
        <is>
          <t>월 180GB + 10Mbps</t>
        </is>
      </c>
      <c r="F704" s="47" t="inlineStr">
        <is>
          <t>LG U+</t>
        </is>
      </c>
      <c r="G704" s="47" t="inlineStr">
        <is>
          <t>5G</t>
        </is>
      </c>
      <c r="H704" s="48" t="n">
        <v>38500</v>
      </c>
      <c r="I704" s="48" t="n"/>
      <c r="J704" s="48" t="n"/>
      <c r="K704" s="47">
        <f t="array" ref="K704">_xlfn.XLOOKUP(1,(참조!$B$2:$B$15=E704)*(참조!$D$2:$D$15=C704)*(참조!$E$2:$E$15=D704),참조!$C$2:$C$15,"")</f>
        <v/>
      </c>
    </row>
    <row r="705" hidden="1" s="27">
      <c r="A705" s="47" t="inlineStr">
        <is>
          <t>KG모바일</t>
        </is>
      </c>
      <c r="B705" s="47" t="inlineStr">
        <is>
          <t>[일반] 실속 (10GB/300분)</t>
        </is>
      </c>
      <c r="C705" s="47" t="inlineStr">
        <is>
          <t>300분</t>
        </is>
      </c>
      <c r="D705" s="47" t="inlineStr">
        <is>
          <t>100건</t>
        </is>
      </c>
      <c r="E705" s="47" t="inlineStr">
        <is>
          <t>월 10GB</t>
        </is>
      </c>
      <c r="F705" s="47" t="inlineStr">
        <is>
          <t>LG U+</t>
        </is>
      </c>
      <c r="G705" s="47" t="inlineStr">
        <is>
          <t>LTE</t>
        </is>
      </c>
      <c r="H705" s="48" t="n">
        <v>4400</v>
      </c>
      <c r="I705" s="48" t="n">
        <v>6</v>
      </c>
      <c r="J705" s="48" t="n">
        <v>18700</v>
      </c>
      <c r="K705" s="47">
        <f t="array" ref="K705">_xlfn.XLOOKUP(1,(참조!$B$2:$B$15=E705)*(참조!$D$2:$D$15=C705)*(참조!$E$2:$E$15=D705),참조!$C$2:$C$15,"")</f>
        <v/>
      </c>
    </row>
    <row r="706" hidden="1" s="27">
      <c r="A706" s="47" t="inlineStr">
        <is>
          <t>티플러스</t>
        </is>
      </c>
      <c r="B706" s="47" t="inlineStr">
        <is>
          <t>티플포유(1.8G/50분)</t>
        </is>
      </c>
      <c r="C706" s="47" t="inlineStr">
        <is>
          <t>50분</t>
        </is>
      </c>
      <c r="D706" s="47" t="inlineStr">
        <is>
          <t>50건</t>
        </is>
      </c>
      <c r="E706" s="47" t="inlineStr">
        <is>
          <t>월 1.8GB</t>
        </is>
      </c>
      <c r="F706" s="47" t="inlineStr">
        <is>
          <t>LG U+</t>
        </is>
      </c>
      <c r="G706" s="47" t="inlineStr">
        <is>
          <t>LTE</t>
        </is>
      </c>
      <c r="H706" s="48" t="n">
        <v>3300</v>
      </c>
      <c r="I706" s="48" t="n"/>
      <c r="J706" s="48" t="n"/>
      <c r="K706" s="47">
        <f t="array" ref="K706">_xlfn.XLOOKUP(1,(참조!$B$2:$B$15=E706)*(참조!$D$2:$D$15=C706)*(참조!$E$2:$E$15=D706),참조!$C$2:$C$15,"")</f>
        <v/>
      </c>
    </row>
    <row r="707" hidden="1" s="27">
      <c r="A707" s="47" t="inlineStr">
        <is>
          <t>고고모바일</t>
        </is>
      </c>
      <c r="B707" s="47" t="inlineStr">
        <is>
          <t>고고 LTE 300분+15GB+3M_모요</t>
        </is>
      </c>
      <c r="C707" s="47" t="inlineStr">
        <is>
          <t>300분</t>
        </is>
      </c>
      <c r="D707" s="47" t="inlineStr">
        <is>
          <t>300건</t>
        </is>
      </c>
      <c r="E707" s="47" t="inlineStr">
        <is>
          <t>월 15GB + 3Mbps</t>
        </is>
      </c>
      <c r="F707" s="47" t="inlineStr">
        <is>
          <t>SKT</t>
        </is>
      </c>
      <c r="G707" s="47" t="inlineStr">
        <is>
          <t>LTE</t>
        </is>
      </c>
      <c r="H707" s="48" t="n">
        <v>11000</v>
      </c>
      <c r="I707" s="48" t="n">
        <v>7</v>
      </c>
      <c r="J707" s="48" t="n">
        <v>35200</v>
      </c>
      <c r="K707" s="47">
        <f t="array" ref="K707">_xlfn.XLOOKUP(1,(참조!$B$2:$B$15=E707)*(참조!$D$2:$D$15=C707)*(참조!$E$2:$E$15=D707),참조!$C$2:$C$15,"")</f>
        <v/>
      </c>
    </row>
    <row r="708" hidden="1" s="27">
      <c r="A708" s="47" t="inlineStr">
        <is>
          <t>티플러스</t>
        </is>
      </c>
      <c r="B708" s="47" t="inlineStr">
        <is>
          <t>티플 100G＋(컬쳐랜드)</t>
        </is>
      </c>
      <c r="C708" s="47" t="inlineStr">
        <is>
          <t>무제한</t>
        </is>
      </c>
      <c r="D708" s="47" t="inlineStr">
        <is>
          <t>무제한</t>
        </is>
      </c>
      <c r="E708" s="47" t="inlineStr">
        <is>
          <t>월 100GB + 5Mbps</t>
        </is>
      </c>
      <c r="F708" s="47" t="inlineStr">
        <is>
          <t>KT</t>
        </is>
      </c>
      <c r="G708" s="47" t="inlineStr">
        <is>
          <t>LTE</t>
        </is>
      </c>
      <c r="H708" s="48" t="n">
        <v>15900</v>
      </c>
      <c r="I708" s="48" t="n">
        <v>7</v>
      </c>
      <c r="J708" s="48" t="n">
        <v>55000</v>
      </c>
      <c r="K708" s="47">
        <f t="array" ref="K708">_xlfn.XLOOKUP(1,(참조!$B$2:$B$15=E708)*(참조!$D$2:$D$15=C708)*(참조!$E$2:$E$15=D708),참조!$C$2:$C$15,"")</f>
        <v/>
      </c>
    </row>
    <row r="709" hidden="1" s="27">
      <c r="A709" s="47" t="inlineStr">
        <is>
          <t>U+유모바일</t>
        </is>
      </c>
      <c r="B709" s="47" t="inlineStr">
        <is>
          <t>[윌 240개] 플러스 알파 71GB+</t>
        </is>
      </c>
      <c r="C709" s="47" t="inlineStr">
        <is>
          <t>무제한</t>
        </is>
      </c>
      <c r="D709" s="47" t="inlineStr">
        <is>
          <t>무제한</t>
        </is>
      </c>
      <c r="E709" s="47" t="inlineStr">
        <is>
          <t>월 11GB + 매일 2GB + 3Mbps</t>
        </is>
      </c>
      <c r="F709" s="47" t="inlineStr">
        <is>
          <t>LG U+</t>
        </is>
      </c>
      <c r="G709" s="47" t="inlineStr">
        <is>
          <t>LTE</t>
        </is>
      </c>
      <c r="H709" s="48" t="n">
        <v>34600</v>
      </c>
      <c r="I709" s="48" t="n"/>
      <c r="J709" s="48" t="n"/>
      <c r="K709" s="47">
        <f t="array" ref="K709">_xlfn.XLOOKUP(1,(참조!$B$2:$B$15=E709)*(참조!$D$2:$D$15=C709)*(참조!$E$2:$E$15=D709),참조!$C$2:$C$15,"")</f>
        <v/>
      </c>
    </row>
    <row r="710" hidden="1" s="27">
      <c r="A710" s="47" t="inlineStr">
        <is>
          <t>모빙</t>
        </is>
      </c>
      <c r="B710" s="47" t="inlineStr">
        <is>
          <t>실속 100분10GB+</t>
        </is>
      </c>
      <c r="C710" s="47" t="inlineStr">
        <is>
          <t>100분</t>
        </is>
      </c>
      <c r="D710" s="47" t="inlineStr">
        <is>
          <t>100건</t>
        </is>
      </c>
      <c r="E710" s="47" t="inlineStr">
        <is>
          <t>월 10GB + 1Mbps</t>
        </is>
      </c>
      <c r="F710" s="47" t="inlineStr">
        <is>
          <t>LG U+</t>
        </is>
      </c>
      <c r="G710" s="47" t="inlineStr">
        <is>
          <t>LTE</t>
        </is>
      </c>
      <c r="H710" s="48" t="n">
        <v>10</v>
      </c>
      <c r="I710" s="48" t="n">
        <v>6</v>
      </c>
      <c r="J710" s="48" t="n">
        <v>22000</v>
      </c>
      <c r="K710" s="47">
        <f t="array" ref="K710">_xlfn.XLOOKUP(1,(참조!$B$2:$B$15=E710)*(참조!$D$2:$D$15=C710)*(참조!$E$2:$E$15=D710),참조!$C$2:$C$15,"")</f>
        <v/>
      </c>
    </row>
    <row r="711" hidden="1" s="27">
      <c r="A711" s="47" t="inlineStr">
        <is>
          <t>인스모바일</t>
        </is>
      </c>
      <c r="B711" s="47" t="inlineStr">
        <is>
          <t>[평생할인]인스 유심 스트롱 11GB+</t>
        </is>
      </c>
      <c r="C711" s="47" t="inlineStr">
        <is>
          <t>무제한</t>
        </is>
      </c>
      <c r="D711" s="47" t="inlineStr">
        <is>
          <t>무제한</t>
        </is>
      </c>
      <c r="E711" s="47" t="inlineStr">
        <is>
          <t>월 11GB + 매일 2GB + 3Mbps</t>
        </is>
      </c>
      <c r="F711" s="47" t="inlineStr">
        <is>
          <t>LG U+</t>
        </is>
      </c>
      <c r="G711" s="47" t="inlineStr">
        <is>
          <t>LTE</t>
        </is>
      </c>
      <c r="H711" s="48" t="n">
        <v>30200</v>
      </c>
      <c r="I711" s="48" t="n"/>
      <c r="J711" s="48" t="n"/>
      <c r="K711" s="47">
        <f t="array" ref="K711">_xlfn.XLOOKUP(1,(참조!$B$2:$B$15=E711)*(참조!$D$2:$D$15=C711)*(참조!$E$2:$E$15=D711),참조!$C$2:$C$15,"")</f>
        <v/>
      </c>
    </row>
    <row r="712" hidden="1" s="27">
      <c r="A712" s="47" t="inlineStr">
        <is>
          <t>KG모바일</t>
        </is>
      </c>
      <c r="B712" s="47" t="inlineStr">
        <is>
          <t>[일반] 통화, 데이터 마음대로 Pro_24개월</t>
        </is>
      </c>
      <c r="C712" s="47" t="inlineStr">
        <is>
          <t>무제한</t>
        </is>
      </c>
      <c r="D712" s="47" t="inlineStr">
        <is>
          <t>무제한</t>
        </is>
      </c>
      <c r="E712" s="47" t="inlineStr">
        <is>
          <t>매일 5GB + 5Mbps</t>
        </is>
      </c>
      <c r="F712" s="47" t="inlineStr">
        <is>
          <t>LG U+</t>
        </is>
      </c>
      <c r="G712" s="47" t="inlineStr">
        <is>
          <t>LTE</t>
        </is>
      </c>
      <c r="H712" s="48" t="n">
        <v>31000</v>
      </c>
      <c r="I712" s="48" t="n">
        <v>24</v>
      </c>
      <c r="J712" s="48" t="n">
        <v>47300</v>
      </c>
      <c r="K712" s="47">
        <f t="array" ref="K712">_xlfn.XLOOKUP(1,(참조!$B$2:$B$15=E712)*(참조!$D$2:$D$15=C712)*(참조!$E$2:$E$15=D712),참조!$C$2:$C$15,"")</f>
        <v/>
      </c>
    </row>
    <row r="713" hidden="1" s="27">
      <c r="A713" s="47" t="inlineStr">
        <is>
          <t>모나</t>
        </is>
      </c>
      <c r="B713" s="47" t="inlineStr">
        <is>
          <t>수다맘껏데이터7G+</t>
        </is>
      </c>
      <c r="C713" s="47" t="inlineStr">
        <is>
          <t>무제한</t>
        </is>
      </c>
      <c r="D713" s="47" t="inlineStr">
        <is>
          <t>무제한</t>
        </is>
      </c>
      <c r="E713" s="47" t="inlineStr">
        <is>
          <t>월 7GB + 1Mbps</t>
        </is>
      </c>
      <c r="F713" s="47" t="inlineStr">
        <is>
          <t>LG U+</t>
        </is>
      </c>
      <c r="G713" s="47" t="inlineStr">
        <is>
          <t>LTE</t>
        </is>
      </c>
      <c r="H713" s="48" t="n">
        <v>10900</v>
      </c>
      <c r="I713" s="48" t="n">
        <v>12</v>
      </c>
      <c r="J713" s="48" t="n">
        <v>22000</v>
      </c>
      <c r="K713" s="47">
        <f t="array" ref="K713">_xlfn.XLOOKUP(1,(참조!$B$2:$B$15=E713)*(참조!$D$2:$D$15=C713)*(참조!$E$2:$E$15=D713),참조!$C$2:$C$15,"")</f>
        <v/>
      </c>
    </row>
    <row r="714" hidden="1" s="27">
      <c r="A714" s="47" t="inlineStr">
        <is>
          <t>티플러스</t>
        </is>
      </c>
      <c r="B714" s="47" t="inlineStr">
        <is>
          <t>티플 15G＋(100분)(CU멤버십＋매월 5000P)</t>
        </is>
      </c>
      <c r="C714" s="47" t="inlineStr">
        <is>
          <t>100분</t>
        </is>
      </c>
      <c r="D714" s="47" t="inlineStr">
        <is>
          <t>100건</t>
        </is>
      </c>
      <c r="E714" s="47" t="inlineStr">
        <is>
          <t>월 15GB + 3Mbps</t>
        </is>
      </c>
      <c r="F714" s="47" t="inlineStr">
        <is>
          <t>SKT</t>
        </is>
      </c>
      <c r="G714" s="47" t="inlineStr">
        <is>
          <t>LTE</t>
        </is>
      </c>
      <c r="H714" s="48" t="n">
        <v>10900</v>
      </c>
      <c r="I714" s="48" t="n">
        <v>7</v>
      </c>
      <c r="J714" s="48" t="n">
        <v>39600</v>
      </c>
      <c r="K714" s="47">
        <f t="array" ref="K714">_xlfn.XLOOKUP(1,(참조!$B$2:$B$15=E714)*(참조!$D$2:$D$15=C714)*(참조!$E$2:$E$15=D714),참조!$C$2:$C$15,"")</f>
        <v/>
      </c>
    </row>
    <row r="715" hidden="1" s="27">
      <c r="A715" s="47" t="inlineStr">
        <is>
          <t>KT엠모바일</t>
        </is>
      </c>
      <c r="B715" s="47" t="inlineStr">
        <is>
          <t>통화 맘껏 2.5GB</t>
        </is>
      </c>
      <c r="C715" s="47" t="inlineStr">
        <is>
          <t>무제한</t>
        </is>
      </c>
      <c r="D715" s="47" t="inlineStr">
        <is>
          <t>무제한</t>
        </is>
      </c>
      <c r="E715" s="47" t="inlineStr">
        <is>
          <t>월 2.5GB</t>
        </is>
      </c>
      <c r="F715" s="47" t="inlineStr">
        <is>
          <t>KT</t>
        </is>
      </c>
      <c r="G715" s="47" t="inlineStr">
        <is>
          <t>LTE</t>
        </is>
      </c>
      <c r="H715" s="48" t="n">
        <v>5400</v>
      </c>
      <c r="I715" s="48" t="n"/>
      <c r="J715" s="48" t="n"/>
      <c r="K715" s="47">
        <f t="array" ref="K715">_xlfn.XLOOKUP(1,(참조!$B$2:$B$15=E715)*(참조!$D$2:$D$15=C715)*(참조!$E$2:$E$15=D715),참조!$C$2:$C$15,"")</f>
        <v/>
      </c>
    </row>
    <row r="716" hidden="1" s="27">
      <c r="A716" s="47" t="inlineStr">
        <is>
          <t>U+유모바일</t>
        </is>
      </c>
      <c r="B716" s="47" t="inlineStr">
        <is>
          <t>[평생할인] 1GB+/통화기본</t>
        </is>
      </c>
      <c r="C716" s="47" t="inlineStr">
        <is>
          <t>무제한</t>
        </is>
      </c>
      <c r="D716" s="47" t="inlineStr">
        <is>
          <t>무제한</t>
        </is>
      </c>
      <c r="E716" s="47" t="inlineStr">
        <is>
          <t>월 1GB + 1Mbps</t>
        </is>
      </c>
      <c r="F716" s="47" t="inlineStr">
        <is>
          <t>LG U+</t>
        </is>
      </c>
      <c r="G716" s="47" t="inlineStr">
        <is>
          <t>LTE</t>
        </is>
      </c>
      <c r="H716" s="48" t="n">
        <v>9900</v>
      </c>
      <c r="I716" s="48" t="n"/>
      <c r="J716" s="48" t="n"/>
      <c r="K716" s="47">
        <f t="array" ref="K716">_xlfn.XLOOKUP(1,(참조!$B$2:$B$15=E716)*(참조!$D$2:$D$15=C716)*(참조!$E$2:$E$15=D716),참조!$C$2:$C$15,"")</f>
        <v/>
      </c>
    </row>
    <row r="717" hidden="1" s="27">
      <c r="A717" s="47" t="inlineStr">
        <is>
          <t>KG모바일</t>
        </is>
      </c>
      <c r="B717" s="47" t="inlineStr">
        <is>
          <t>[KG모바일 스페셜] 통화, 데이터 마음대로 11GB+</t>
        </is>
      </c>
      <c r="C717" s="47" t="inlineStr">
        <is>
          <t>무제한</t>
        </is>
      </c>
      <c r="D717" s="47" t="inlineStr">
        <is>
          <t>무제한</t>
        </is>
      </c>
      <c r="E717" s="47" t="inlineStr">
        <is>
          <t>월 11GB + 매일 2GB + 3Mbps</t>
        </is>
      </c>
      <c r="F717" s="47" t="inlineStr">
        <is>
          <t>LG U+</t>
        </is>
      </c>
      <c r="G717" s="47" t="inlineStr">
        <is>
          <t>LTE</t>
        </is>
      </c>
      <c r="H717" s="48" t="n">
        <v>15000</v>
      </c>
      <c r="I717" s="48" t="n">
        <v>7</v>
      </c>
      <c r="J717" s="48" t="n">
        <v>41800</v>
      </c>
      <c r="K717" s="47">
        <f t="array" ref="K717">_xlfn.XLOOKUP(1,(참조!$B$2:$B$15=E717)*(참조!$D$2:$D$15=C717)*(참조!$E$2:$E$15=D717),참조!$C$2:$C$15,"")</f>
        <v/>
      </c>
    </row>
    <row r="718" hidden="1" s="27">
      <c r="A718" s="47" t="inlineStr">
        <is>
          <t>티플러스</t>
        </is>
      </c>
      <c r="B718" s="47" t="inlineStr">
        <is>
          <t>티플 15GB+(100분)(이디야커피)</t>
        </is>
      </c>
      <c r="C718" s="47" t="inlineStr">
        <is>
          <t>100분</t>
        </is>
      </c>
      <c r="D718" s="47" t="inlineStr">
        <is>
          <t>100건</t>
        </is>
      </c>
      <c r="E718" s="47" t="inlineStr">
        <is>
          <t>월 15GB + 3Mbps</t>
        </is>
      </c>
      <c r="F718" s="47" t="inlineStr">
        <is>
          <t>SKT</t>
        </is>
      </c>
      <c r="G718" s="47" t="inlineStr">
        <is>
          <t>LTE</t>
        </is>
      </c>
      <c r="H718" s="48" t="n">
        <v>7900</v>
      </c>
      <c r="I718" s="48" t="n">
        <v>7</v>
      </c>
      <c r="J718" s="48" t="n">
        <v>37400</v>
      </c>
      <c r="K718" s="47">
        <f t="array" ref="K718">_xlfn.XLOOKUP(1,(참조!$B$2:$B$15=E718)*(참조!$D$2:$D$15=C718)*(참조!$E$2:$E$15=D718),참조!$C$2:$C$15,"")</f>
        <v/>
      </c>
    </row>
    <row r="719" hidden="1" s="27">
      <c r="A719" s="47" t="inlineStr">
        <is>
          <t>KT엠모바일</t>
        </is>
      </c>
      <c r="B719" s="47" t="inlineStr">
        <is>
          <t>모두다 맘껏 안심 4.5GB+</t>
        </is>
      </c>
      <c r="C719" s="47" t="inlineStr">
        <is>
          <t>무제한</t>
        </is>
      </c>
      <c r="D719" s="47" t="inlineStr">
        <is>
          <t>무제한</t>
        </is>
      </c>
      <c r="E719" s="47" t="inlineStr">
        <is>
          <t>월 4.5GB + 400Kbps</t>
        </is>
      </c>
      <c r="F719" s="47" t="inlineStr">
        <is>
          <t>KT</t>
        </is>
      </c>
      <c r="G719" s="47" t="inlineStr">
        <is>
          <t>LTE</t>
        </is>
      </c>
      <c r="H719" s="48" t="n">
        <v>7400</v>
      </c>
      <c r="I719" s="48" t="n"/>
      <c r="J719" s="48" t="n"/>
      <c r="K719" s="47">
        <f t="array" ref="K719">_xlfn.XLOOKUP(1,(참조!$B$2:$B$15=E719)*(참조!$D$2:$D$15=C719)*(참조!$E$2:$E$15=D719),참조!$C$2:$C$15,"")</f>
        <v/>
      </c>
    </row>
    <row r="720" hidden="1" s="27">
      <c r="A720" s="47" t="inlineStr">
        <is>
          <t>LG헬로모바일</t>
        </is>
      </c>
      <c r="B720" s="47" t="inlineStr">
        <is>
          <t>쿠폰팩 유심 7GB</t>
        </is>
      </c>
      <c r="C720" s="47" t="inlineStr">
        <is>
          <t>무제한</t>
        </is>
      </c>
      <c r="D720" s="47" t="inlineStr">
        <is>
          <t>무제한</t>
        </is>
      </c>
      <c r="E720" s="47" t="inlineStr">
        <is>
          <t>월 7GB + 1Mbps</t>
        </is>
      </c>
      <c r="F720" s="47" t="inlineStr">
        <is>
          <t>LG U+</t>
        </is>
      </c>
      <c r="G720" s="47" t="inlineStr">
        <is>
          <t>LTE</t>
        </is>
      </c>
      <c r="H720" s="48" t="n">
        <v>18330</v>
      </c>
      <c r="I720" s="48" t="n"/>
      <c r="J720" s="48" t="n"/>
      <c r="K720" s="47">
        <f t="array" ref="K720">_xlfn.XLOOKUP(1,(참조!$B$2:$B$15=E720)*(참조!$D$2:$D$15=C720)*(참조!$E$2:$E$15=D720),참조!$C$2:$C$15,"")</f>
        <v/>
      </c>
    </row>
    <row r="721" hidden="1" s="27">
      <c r="A721" s="47" t="inlineStr">
        <is>
          <t>이지모바일</t>
        </is>
      </c>
      <c r="B721" s="47" t="inlineStr">
        <is>
          <t>이지 무한 일5GB+5</t>
        </is>
      </c>
      <c r="C721" s="47" t="inlineStr">
        <is>
          <t>무제한</t>
        </is>
      </c>
      <c r="D721" s="47" t="inlineStr">
        <is>
          <t>무제한</t>
        </is>
      </c>
      <c r="E721" s="47" t="inlineStr">
        <is>
          <t>매일 5GB + 5Mbps</t>
        </is>
      </c>
      <c r="F721" s="47" t="inlineStr">
        <is>
          <t>LG U+</t>
        </is>
      </c>
      <c r="G721" s="47" t="inlineStr">
        <is>
          <t>LTE</t>
        </is>
      </c>
      <c r="H721" s="48" t="n">
        <v>15950</v>
      </c>
      <c r="I721" s="48" t="n">
        <v>7</v>
      </c>
      <c r="J721" s="48" t="n">
        <v>46200</v>
      </c>
      <c r="K721" s="47">
        <f t="array" ref="K721">_xlfn.XLOOKUP(1,(참조!$B$2:$B$15=E721)*(참조!$D$2:$D$15=C721)*(참조!$E$2:$E$15=D721),참조!$C$2:$C$15,"")</f>
        <v/>
      </c>
    </row>
    <row r="722" hidden="1" s="27">
      <c r="A722" s="47" t="inlineStr">
        <is>
          <t>고고모바일</t>
        </is>
      </c>
      <c r="B722" s="47" t="inlineStr">
        <is>
          <t>[모요only] 무제한 7GB+1M(매월 네이버페이5000P)</t>
        </is>
      </c>
      <c r="C722" s="47" t="inlineStr">
        <is>
          <t>무제한</t>
        </is>
      </c>
      <c r="D722" s="47" t="inlineStr">
        <is>
          <t>무제한</t>
        </is>
      </c>
      <c r="E722" s="47" t="inlineStr">
        <is>
          <t>월 7GB + 1Mbps</t>
        </is>
      </c>
      <c r="F722" s="47" t="inlineStr">
        <is>
          <t>KT</t>
        </is>
      </c>
      <c r="G722" s="47" t="inlineStr">
        <is>
          <t>LTE</t>
        </is>
      </c>
      <c r="H722" s="48" t="n">
        <v>5700</v>
      </c>
      <c r="I722" s="48" t="n">
        <v>7</v>
      </c>
      <c r="J722" s="48" t="n">
        <v>24200</v>
      </c>
      <c r="K722" s="47">
        <f t="array" ref="K722">_xlfn.XLOOKUP(1,(참조!$B$2:$B$15=E722)*(참조!$D$2:$D$15=C722)*(참조!$E$2:$E$15=D722),참조!$C$2:$C$15,"")</f>
        <v/>
      </c>
    </row>
    <row r="723" hidden="1" s="27">
      <c r="A723" s="47" t="inlineStr">
        <is>
          <t>아이즈모바일</t>
        </is>
      </c>
      <c r="B723" s="47" t="inlineStr">
        <is>
          <t>[L]5G 데이터안심(100분/5GB+)</t>
        </is>
      </c>
      <c r="C723" s="47" t="inlineStr">
        <is>
          <t>100분</t>
        </is>
      </c>
      <c r="D723" s="47" t="inlineStr">
        <is>
          <t>100건</t>
        </is>
      </c>
      <c r="E723" s="47" t="inlineStr">
        <is>
          <t>월 5GB + 1Mbps</t>
        </is>
      </c>
      <c r="F723" s="47" t="inlineStr">
        <is>
          <t>LG U+</t>
        </is>
      </c>
      <c r="G723" s="47" t="inlineStr">
        <is>
          <t>5G</t>
        </is>
      </c>
      <c r="H723" s="48" t="n">
        <v>10</v>
      </c>
      <c r="I723" s="48" t="n">
        <v>6</v>
      </c>
      <c r="J723" s="48" t="n">
        <v>15400</v>
      </c>
      <c r="K723" s="47">
        <f t="array" ref="K723">_xlfn.XLOOKUP(1,(참조!$B$2:$B$15=E723)*(참조!$D$2:$D$15=C723)*(참조!$E$2:$E$15=D723),참조!$C$2:$C$15,"")</f>
        <v/>
      </c>
    </row>
    <row r="724" hidden="1" s="27">
      <c r="A724" s="47" t="inlineStr">
        <is>
          <t>아이즈모바일</t>
        </is>
      </c>
      <c r="B724" s="47" t="inlineStr">
        <is>
          <t>[L]그란데(100분/6GB)</t>
        </is>
      </c>
      <c r="C724" s="47" t="inlineStr">
        <is>
          <t>100분</t>
        </is>
      </c>
      <c r="D724" s="47" t="inlineStr">
        <is>
          <t>100건</t>
        </is>
      </c>
      <c r="E724" s="47" t="inlineStr">
        <is>
          <t>월 6GB</t>
        </is>
      </c>
      <c r="F724" s="47" t="inlineStr">
        <is>
          <t>LG U+</t>
        </is>
      </c>
      <c r="G724" s="47" t="inlineStr">
        <is>
          <t>LTE</t>
        </is>
      </c>
      <c r="H724" s="48" t="n">
        <v>10</v>
      </c>
      <c r="I724" s="48" t="n">
        <v>12</v>
      </c>
      <c r="J724" s="48" t="n">
        <v>15100</v>
      </c>
      <c r="K724" s="47">
        <f t="array" ref="K724">_xlfn.XLOOKUP(1,(참조!$B$2:$B$15=E724)*(참조!$D$2:$D$15=C724)*(참조!$E$2:$E$15=D724),참조!$C$2:$C$15,"")</f>
        <v/>
      </c>
    </row>
    <row r="725" hidden="1" s="27">
      <c r="A725" s="47" t="inlineStr">
        <is>
          <t>티플러스</t>
        </is>
      </c>
      <c r="B725" s="47" t="inlineStr">
        <is>
          <t>티플 100G＋(쿠팡캐시)</t>
        </is>
      </c>
      <c r="C725" s="47" t="inlineStr">
        <is>
          <t>무제한</t>
        </is>
      </c>
      <c r="D725" s="47" t="inlineStr">
        <is>
          <t>무제한</t>
        </is>
      </c>
      <c r="E725" s="47" t="inlineStr">
        <is>
          <t>월 100GB + 5Mbps</t>
        </is>
      </c>
      <c r="F725" s="47" t="inlineStr">
        <is>
          <t>KT</t>
        </is>
      </c>
      <c r="G725" s="47" t="inlineStr">
        <is>
          <t>LTE</t>
        </is>
      </c>
      <c r="H725" s="48" t="n">
        <v>15900</v>
      </c>
      <c r="I725" s="48" t="n">
        <v>7</v>
      </c>
      <c r="J725" s="48" t="n">
        <v>55000</v>
      </c>
      <c r="K725" s="47">
        <f t="array" ref="K725">_xlfn.XLOOKUP(1,(참조!$B$2:$B$15=E725)*(참조!$D$2:$D$15=C725)*(참조!$E$2:$E$15=D725),참조!$C$2:$C$15,"")</f>
        <v/>
      </c>
    </row>
    <row r="726" hidden="1" s="27">
      <c r="A726" s="47" t="inlineStr">
        <is>
          <t>고고모바일</t>
        </is>
      </c>
      <c r="B726" s="47" t="inlineStr">
        <is>
          <t>[모요only] 무제한 11GB+3M(다이소 5000원)</t>
        </is>
      </c>
      <c r="C726" s="47" t="inlineStr">
        <is>
          <t>무제한</t>
        </is>
      </c>
      <c r="D726" s="47" t="inlineStr">
        <is>
          <t>무제한</t>
        </is>
      </c>
      <c r="E726" s="47" t="inlineStr">
        <is>
          <t>월 11GB + 매일 2GB + 3Mbps</t>
        </is>
      </c>
      <c r="F726" s="47" t="inlineStr">
        <is>
          <t>KT</t>
        </is>
      </c>
      <c r="G726" s="47" t="inlineStr">
        <is>
          <t>LTE</t>
        </is>
      </c>
      <c r="H726" s="48" t="n">
        <v>16000</v>
      </c>
      <c r="I726" s="48" t="n">
        <v>7</v>
      </c>
      <c r="J726" s="48" t="n">
        <v>40700</v>
      </c>
      <c r="K726" s="47">
        <f t="array" ref="K726">_xlfn.XLOOKUP(1,(참조!$B$2:$B$15=E726)*(참조!$D$2:$D$15=C726)*(참조!$E$2:$E$15=D726),참조!$C$2:$C$15,"")</f>
        <v/>
      </c>
    </row>
    <row r="727" hidden="1" s="27">
      <c r="A727" s="47" t="inlineStr">
        <is>
          <t>KG모바일</t>
        </is>
      </c>
      <c r="B727" s="47" t="inlineStr">
        <is>
          <t>[평생할인] 데이터 마음대로 (4.5GB+/200분)</t>
        </is>
      </c>
      <c r="C727" s="47" t="inlineStr">
        <is>
          <t>200분</t>
        </is>
      </c>
      <c r="D727" s="47" t="inlineStr">
        <is>
          <t>100건</t>
        </is>
      </c>
      <c r="E727" s="47" t="inlineStr">
        <is>
          <t>월 4.5GB + 1Mbps</t>
        </is>
      </c>
      <c r="F727" s="47" t="inlineStr">
        <is>
          <t>LG U+</t>
        </is>
      </c>
      <c r="G727" s="47" t="inlineStr">
        <is>
          <t>LTE</t>
        </is>
      </c>
      <c r="H727" s="48" t="n">
        <v>3200</v>
      </c>
      <c r="I727" s="48" t="n"/>
      <c r="J727" s="48" t="n"/>
      <c r="K727" s="47">
        <f t="array" ref="K727">_xlfn.XLOOKUP(1,(참조!$B$2:$B$15=E727)*(참조!$D$2:$D$15=C727)*(참조!$E$2:$E$15=D727),참조!$C$2:$C$15,"")</f>
        <v/>
      </c>
    </row>
    <row r="728" hidden="1" s="27">
      <c r="A728" s="47" t="inlineStr">
        <is>
          <t>모빙</t>
        </is>
      </c>
      <c r="B728" s="47" t="inlineStr">
        <is>
          <t>[S] 5G 모빙 300분15GB</t>
        </is>
      </c>
      <c r="C728" s="47" t="inlineStr">
        <is>
          <t>300분</t>
        </is>
      </c>
      <c r="D728" s="47" t="inlineStr">
        <is>
          <t>100건</t>
        </is>
      </c>
      <c r="E728" s="47" t="inlineStr">
        <is>
          <t>월 15GB</t>
        </is>
      </c>
      <c r="F728" s="47" t="inlineStr">
        <is>
          <t>SKT</t>
        </is>
      </c>
      <c r="G728" s="47" t="inlineStr">
        <is>
          <t>5G</t>
        </is>
      </c>
      <c r="H728" s="48" t="n">
        <v>11000</v>
      </c>
      <c r="I728" s="48" t="n"/>
      <c r="J728" s="48" t="n"/>
      <c r="K728" s="47">
        <f t="array" ref="K728">_xlfn.XLOOKUP(1,(참조!$B$2:$B$15=E728)*(참조!$D$2:$D$15=C728)*(참조!$E$2:$E$15=D728),참조!$C$2:$C$15,"")</f>
        <v/>
      </c>
    </row>
    <row r="729" hidden="1" s="27">
      <c r="A729" s="47" t="inlineStr">
        <is>
          <t>티플러스</t>
        </is>
      </c>
      <c r="B729" s="47" t="inlineStr">
        <is>
          <t>티플 CGV 15GB＋(100분)</t>
        </is>
      </c>
      <c r="C729" s="47" t="inlineStr">
        <is>
          <t>100분</t>
        </is>
      </c>
      <c r="D729" s="47" t="inlineStr">
        <is>
          <t>100건</t>
        </is>
      </c>
      <c r="E729" s="47" t="inlineStr">
        <is>
          <t>월 15GB + 3Mbps</t>
        </is>
      </c>
      <c r="F729" s="47" t="inlineStr">
        <is>
          <t>SKT</t>
        </is>
      </c>
      <c r="G729" s="47" t="inlineStr">
        <is>
          <t>LTE</t>
        </is>
      </c>
      <c r="H729" s="48" t="n">
        <v>10900</v>
      </c>
      <c r="I729" s="48" t="n">
        <v>7</v>
      </c>
      <c r="J729" s="48" t="n">
        <v>42900</v>
      </c>
      <c r="K729" s="47">
        <f t="array" ref="K729">_xlfn.XLOOKUP(1,(참조!$B$2:$B$15=E729)*(참조!$D$2:$D$15=C729)*(참조!$E$2:$E$15=D729),참조!$C$2:$C$15,"")</f>
        <v/>
      </c>
    </row>
    <row r="730" hidden="1" s="27">
      <c r="A730" s="47" t="inlineStr">
        <is>
          <t>이야기모바일</t>
        </is>
      </c>
      <c r="B730" s="47" t="inlineStr">
        <is>
          <t>함께이야기해S(100분+30GB)</t>
        </is>
      </c>
      <c r="C730" s="47" t="inlineStr">
        <is>
          <t>100분</t>
        </is>
      </c>
      <c r="D730" s="47" t="inlineStr">
        <is>
          <t>300건</t>
        </is>
      </c>
      <c r="E730" s="47" t="inlineStr">
        <is>
          <t>월 30GB</t>
        </is>
      </c>
      <c r="F730" s="47" t="inlineStr">
        <is>
          <t>SKT</t>
        </is>
      </c>
      <c r="G730" s="47" t="inlineStr">
        <is>
          <t>LTE</t>
        </is>
      </c>
      <c r="H730" s="48" t="n">
        <v>19800</v>
      </c>
      <c r="I730" s="48" t="n"/>
      <c r="J730" s="48" t="n"/>
      <c r="K730" s="47">
        <f t="array" ref="K730">_xlfn.XLOOKUP(1,(참조!$B$2:$B$15=E730)*(참조!$D$2:$D$15=C730)*(참조!$E$2:$E$15=D730),참조!$C$2:$C$15,"")</f>
        <v/>
      </c>
    </row>
    <row r="731" hidden="1" s="27">
      <c r="A731" s="47" t="inlineStr">
        <is>
          <t>스마텔</t>
        </is>
      </c>
      <c r="B731" s="47" t="inlineStr">
        <is>
          <t>USIM스마트 심플(100분+3.5GB)</t>
        </is>
      </c>
      <c r="C731" s="47" t="inlineStr">
        <is>
          <t>100분</t>
        </is>
      </c>
      <c r="D731" s="47" t="inlineStr">
        <is>
          <t>100건</t>
        </is>
      </c>
      <c r="E731" s="47" t="inlineStr">
        <is>
          <t>월 3.5GB</t>
        </is>
      </c>
      <c r="F731" s="47" t="inlineStr">
        <is>
          <t>LG U+</t>
        </is>
      </c>
      <c r="G731" s="47" t="inlineStr">
        <is>
          <t>LTE</t>
        </is>
      </c>
      <c r="H731" s="48" t="n">
        <v>3300</v>
      </c>
      <c r="I731" s="48" t="n">
        <v>12</v>
      </c>
      <c r="J731" s="48" t="n">
        <v>10500</v>
      </c>
      <c r="K731" s="47">
        <f t="array" ref="K731">_xlfn.XLOOKUP(1,(참조!$B$2:$B$15=E731)*(참조!$D$2:$D$15=C731)*(참조!$E$2:$E$15=D731),참조!$C$2:$C$15,"")</f>
        <v/>
      </c>
    </row>
    <row r="732" hidden="1" s="27">
      <c r="A732" s="47" t="inlineStr">
        <is>
          <t>스마텔</t>
        </is>
      </c>
      <c r="B732" s="47" t="inlineStr">
        <is>
          <t>5G 스마트플러스 (200분+3GB)</t>
        </is>
      </c>
      <c r="C732" s="47" t="inlineStr">
        <is>
          <t>200분</t>
        </is>
      </c>
      <c r="D732" s="47" t="inlineStr">
        <is>
          <t>100건</t>
        </is>
      </c>
      <c r="E732" s="47" t="inlineStr">
        <is>
          <t>월 3GB</t>
        </is>
      </c>
      <c r="F732" s="47" t="inlineStr">
        <is>
          <t>LG U+</t>
        </is>
      </c>
      <c r="G732" s="47" t="inlineStr">
        <is>
          <t>5G</t>
        </is>
      </c>
      <c r="H732" s="48" t="n">
        <v>3300</v>
      </c>
      <c r="I732" s="48" t="n">
        <v>12</v>
      </c>
      <c r="J732" s="48" t="n">
        <v>11000</v>
      </c>
      <c r="K732" s="47">
        <f t="array" ref="K732">_xlfn.XLOOKUP(1,(참조!$B$2:$B$15=E732)*(참조!$D$2:$D$15=C732)*(참조!$E$2:$E$15=D732),참조!$C$2:$C$15,"")</f>
        <v/>
      </c>
    </row>
    <row r="733" hidden="1" s="27">
      <c r="A733" s="47" t="inlineStr">
        <is>
          <t>KT스카이라이프</t>
        </is>
      </c>
      <c r="B733" s="47" t="inlineStr">
        <is>
          <t>통화 충분 10GB</t>
        </is>
      </c>
      <c r="C733" s="47" t="inlineStr">
        <is>
          <t>무제한</t>
        </is>
      </c>
      <c r="D733" s="47" t="inlineStr">
        <is>
          <t>무제한</t>
        </is>
      </c>
      <c r="E733" s="47" t="inlineStr">
        <is>
          <t>월 10GB</t>
        </is>
      </c>
      <c r="F733" s="47" t="inlineStr">
        <is>
          <t>KT</t>
        </is>
      </c>
      <c r="G733" s="47" t="inlineStr">
        <is>
          <t>LTE</t>
        </is>
      </c>
      <c r="H733" s="48" t="n">
        <v>13900</v>
      </c>
      <c r="I733" s="48" t="n"/>
      <c r="J733" s="48" t="n"/>
      <c r="K733" s="47">
        <f t="array" ref="K733">_xlfn.XLOOKUP(1,(참조!$B$2:$B$15=E733)*(참조!$D$2:$D$15=C733)*(참조!$E$2:$E$15=D733),참조!$C$2:$C$15,"")</f>
        <v/>
      </c>
    </row>
    <row r="734" hidden="1" s="27">
      <c r="A734" s="47" t="inlineStr">
        <is>
          <t>고고모바일</t>
        </is>
      </c>
      <c r="B734" s="47" t="inlineStr">
        <is>
          <t>[모요only] 무제한 100GB+5M(다이소 5000원)</t>
        </is>
      </c>
      <c r="C734" s="47" t="inlineStr">
        <is>
          <t>무제한</t>
        </is>
      </c>
      <c r="D734" s="47" t="inlineStr">
        <is>
          <t>무제한</t>
        </is>
      </c>
      <c r="E734" s="47" t="inlineStr">
        <is>
          <t>월 100GB + 5Mbps</t>
        </is>
      </c>
      <c r="F734" s="47" t="inlineStr">
        <is>
          <t>KT</t>
        </is>
      </c>
      <c r="G734" s="47" t="inlineStr">
        <is>
          <t>LTE</t>
        </is>
      </c>
      <c r="H734" s="48" t="n">
        <v>18000</v>
      </c>
      <c r="I734" s="48" t="n">
        <v>7</v>
      </c>
      <c r="J734" s="48" t="n">
        <v>47300</v>
      </c>
      <c r="K734" s="47">
        <f t="array" ref="K734">_xlfn.XLOOKUP(1,(참조!$B$2:$B$15=E734)*(참조!$D$2:$D$15=C734)*(참조!$E$2:$E$15=D734),참조!$C$2:$C$15,"")</f>
        <v/>
      </c>
    </row>
    <row r="735" hidden="1" s="27">
      <c r="A735" s="47" t="inlineStr">
        <is>
          <t>티플러스</t>
        </is>
      </c>
      <c r="B735" s="47" t="inlineStr">
        <is>
          <t>티플온 15G＋</t>
        </is>
      </c>
      <c r="C735" s="47" t="inlineStr">
        <is>
          <t>무제한</t>
        </is>
      </c>
      <c r="D735" s="47" t="inlineStr">
        <is>
          <t>무제한</t>
        </is>
      </c>
      <c r="E735" s="47" t="inlineStr">
        <is>
          <t>월 15GB + 1Mbps</t>
        </is>
      </c>
      <c r="F735" s="47" t="inlineStr">
        <is>
          <t>LG U+</t>
        </is>
      </c>
      <c r="G735" s="47" t="inlineStr">
        <is>
          <t>LTE</t>
        </is>
      </c>
      <c r="H735" s="48" t="n">
        <v>7900</v>
      </c>
      <c r="I735" s="48" t="n">
        <v>7</v>
      </c>
      <c r="J735" s="48" t="n">
        <v>35200</v>
      </c>
      <c r="K735" s="47">
        <f t="array" ref="K735">_xlfn.XLOOKUP(1,(참조!$B$2:$B$15=E735)*(참조!$D$2:$D$15=C735)*(참조!$E$2:$E$15=D735),참조!$C$2:$C$15,"")</f>
        <v/>
      </c>
    </row>
    <row r="736" hidden="1" s="27">
      <c r="A736" s="47" t="inlineStr">
        <is>
          <t>아이즈모바일</t>
        </is>
      </c>
      <c r="B736" s="47" t="inlineStr">
        <is>
          <t>[L]5G 아이즈팩 150GB+</t>
        </is>
      </c>
      <c r="C736" s="47" t="inlineStr">
        <is>
          <t>무제한</t>
        </is>
      </c>
      <c r="D736" s="47" t="inlineStr">
        <is>
          <t>무제한</t>
        </is>
      </c>
      <c r="E736" s="47" t="inlineStr">
        <is>
          <t>월 150GB + 5Mbps</t>
        </is>
      </c>
      <c r="F736" s="47" t="inlineStr">
        <is>
          <t>LG U+</t>
        </is>
      </c>
      <c r="G736" s="47" t="inlineStr">
        <is>
          <t>5G</t>
        </is>
      </c>
      <c r="H736" s="48" t="n">
        <v>23000</v>
      </c>
      <c r="I736" s="48" t="n">
        <v>24</v>
      </c>
      <c r="J736" s="48" t="n">
        <v>62700</v>
      </c>
      <c r="K736" s="47">
        <f t="array" ref="K736">_xlfn.XLOOKUP(1,(참조!$B$2:$B$15=E736)*(참조!$D$2:$D$15=C736)*(참조!$E$2:$E$15=D736),참조!$C$2:$C$15,"")</f>
        <v/>
      </c>
    </row>
    <row r="737" hidden="1" s="27">
      <c r="A737" s="47" t="inlineStr">
        <is>
          <t>티플러스</t>
        </is>
      </c>
      <c r="B737" s="47" t="inlineStr">
        <is>
          <t>티플 100G+_평생할인!</t>
        </is>
      </c>
      <c r="C737" s="47" t="inlineStr">
        <is>
          <t>무제한</t>
        </is>
      </c>
      <c r="D737" s="47" t="inlineStr">
        <is>
          <t>무제한</t>
        </is>
      </c>
      <c r="E737" s="47" t="inlineStr">
        <is>
          <t>월 100GB + 5Mbps</t>
        </is>
      </c>
      <c r="F737" s="47" t="inlineStr">
        <is>
          <t>LG U+</t>
        </is>
      </c>
      <c r="G737" s="47" t="inlineStr">
        <is>
          <t>LTE</t>
        </is>
      </c>
      <c r="H737" s="48" t="n">
        <v>30900</v>
      </c>
      <c r="I737" s="48" t="n"/>
      <c r="J737" s="48" t="n"/>
      <c r="K737" s="47">
        <f t="array" ref="K737">_xlfn.XLOOKUP(1,(참조!$B$2:$B$15=E737)*(참조!$D$2:$D$15=C737)*(참조!$E$2:$E$15=D737),참조!$C$2:$C$15,"")</f>
        <v/>
      </c>
    </row>
    <row r="738" hidden="1" s="27">
      <c r="A738" s="47" t="inlineStr">
        <is>
          <t>에이모바일</t>
        </is>
      </c>
      <c r="B738" s="47" t="inlineStr">
        <is>
          <t>A 스탠다드 25GB/300분</t>
        </is>
      </c>
      <c r="C738" s="47" t="inlineStr">
        <is>
          <t>300분</t>
        </is>
      </c>
      <c r="D738" s="47" t="inlineStr">
        <is>
          <t>100건</t>
        </is>
      </c>
      <c r="E738" s="47" t="inlineStr">
        <is>
          <t>월 25GB</t>
        </is>
      </c>
      <c r="F738" s="47" t="inlineStr">
        <is>
          <t>KT</t>
        </is>
      </c>
      <c r="G738" s="47" t="inlineStr">
        <is>
          <t>LTE</t>
        </is>
      </c>
      <c r="H738" s="48" t="n">
        <v>100</v>
      </c>
      <c r="I738" s="48" t="n">
        <v>7</v>
      </c>
      <c r="J738" s="48" t="n">
        <v>28490</v>
      </c>
      <c r="K738" s="47">
        <f t="array" ref="K738">_xlfn.XLOOKUP(1,(참조!$B$2:$B$15=E738)*(참조!$D$2:$D$15=C738)*(참조!$E$2:$E$15=D738),참조!$C$2:$C$15,"")</f>
        <v/>
      </c>
    </row>
    <row r="739" hidden="1" s="27">
      <c r="A739" s="47" t="inlineStr">
        <is>
          <t>아이즈모바일</t>
        </is>
      </c>
      <c r="B739" s="47" t="inlineStr">
        <is>
          <t>[K]울트라(500분/15GB)</t>
        </is>
      </c>
      <c r="C739" s="47" t="inlineStr">
        <is>
          <t>500분</t>
        </is>
      </c>
      <c r="D739" s="47" t="inlineStr">
        <is>
          <t>300건</t>
        </is>
      </c>
      <c r="E739" s="47" t="inlineStr">
        <is>
          <t>월 15GB</t>
        </is>
      </c>
      <c r="F739" s="47" t="inlineStr">
        <is>
          <t>KT</t>
        </is>
      </c>
      <c r="G739" s="47" t="inlineStr">
        <is>
          <t>LTE</t>
        </is>
      </c>
      <c r="H739" s="48" t="n">
        <v>10</v>
      </c>
      <c r="I739" s="48" t="n">
        <v>7</v>
      </c>
      <c r="J739" s="48" t="n">
        <v>27500</v>
      </c>
      <c r="K739" s="47">
        <f t="array" ref="K739">_xlfn.XLOOKUP(1,(참조!$B$2:$B$15=E739)*(참조!$D$2:$D$15=C739)*(참조!$E$2:$E$15=D739),참조!$C$2:$C$15,"")</f>
        <v/>
      </c>
    </row>
    <row r="740" hidden="1" s="27">
      <c r="A740" s="47" t="inlineStr">
        <is>
          <t>아이즈모바일</t>
        </is>
      </c>
      <c r="B740" s="47" t="inlineStr">
        <is>
          <t>[K]울트라(500분/20GB)</t>
        </is>
      </c>
      <c r="C740" s="47" t="inlineStr">
        <is>
          <t>500분</t>
        </is>
      </c>
      <c r="D740" s="47" t="inlineStr">
        <is>
          <t>300건</t>
        </is>
      </c>
      <c r="E740" s="47" t="inlineStr">
        <is>
          <t>월 20GB</t>
        </is>
      </c>
      <c r="F740" s="47" t="inlineStr">
        <is>
          <t>KT</t>
        </is>
      </c>
      <c r="G740" s="47" t="inlineStr">
        <is>
          <t>LTE</t>
        </is>
      </c>
      <c r="H740" s="48" t="n">
        <v>6900</v>
      </c>
      <c r="I740" s="48" t="n"/>
      <c r="J740" s="48" t="n"/>
      <c r="K740" s="47">
        <f t="array" ref="K740">_xlfn.XLOOKUP(1,(참조!$B$2:$B$15=E740)*(참조!$D$2:$D$15=C740)*(참조!$E$2:$E$15=D740),참조!$C$2:$C$15,"")</f>
        <v/>
      </c>
    </row>
    <row r="741" hidden="1" s="27">
      <c r="A741" s="47" t="inlineStr">
        <is>
          <t>고고모바일</t>
        </is>
      </c>
      <c r="B741" s="47" t="inlineStr">
        <is>
          <t>[모요only] 무제한 7GB+1M(다이소 5000원)</t>
        </is>
      </c>
      <c r="C741" s="47" t="inlineStr">
        <is>
          <t>무제한</t>
        </is>
      </c>
      <c r="D741" s="47" t="inlineStr">
        <is>
          <t>무제한</t>
        </is>
      </c>
      <c r="E741" s="47" t="inlineStr">
        <is>
          <t>월 7GB + 1Mbps</t>
        </is>
      </c>
      <c r="F741" s="47" t="inlineStr">
        <is>
          <t>KT</t>
        </is>
      </c>
      <c r="G741" s="47" t="inlineStr">
        <is>
          <t>LTE</t>
        </is>
      </c>
      <c r="H741" s="48" t="n">
        <v>5700</v>
      </c>
      <c r="I741" s="48" t="n">
        <v>7</v>
      </c>
      <c r="J741" s="48" t="n">
        <v>24200</v>
      </c>
      <c r="K741" s="47">
        <f t="array" ref="K741">_xlfn.XLOOKUP(1,(참조!$B$2:$B$15=E741)*(참조!$D$2:$D$15=C741)*(참조!$E$2:$E$15=D741),참조!$C$2:$C$15,"")</f>
        <v/>
      </c>
    </row>
    <row r="742" hidden="1" s="27">
      <c r="A742" s="47" t="inlineStr">
        <is>
          <t>티플러스</t>
        </is>
      </c>
      <c r="B742" s="47" t="inlineStr">
        <is>
          <t>The 데이터마음껏15G+(100분)(다이소 매월 5000P)</t>
        </is>
      </c>
      <c r="C742" s="47" t="inlineStr">
        <is>
          <t>100분</t>
        </is>
      </c>
      <c r="D742" s="47" t="inlineStr">
        <is>
          <t>100건</t>
        </is>
      </c>
      <c r="E742" s="47" t="inlineStr">
        <is>
          <t>월 15GB + 3Mbps</t>
        </is>
      </c>
      <c r="F742" s="47" t="inlineStr">
        <is>
          <t>LG U+</t>
        </is>
      </c>
      <c r="G742" s="47" t="inlineStr">
        <is>
          <t>LTE</t>
        </is>
      </c>
      <c r="H742" s="48" t="n">
        <v>20500</v>
      </c>
      <c r="I742" s="48" t="n">
        <v>24</v>
      </c>
      <c r="J742" s="48" t="n">
        <v>35090</v>
      </c>
      <c r="K742" s="47">
        <f t="array" ref="K742">_xlfn.XLOOKUP(1,(참조!$B$2:$B$15=E742)*(참조!$D$2:$D$15=C742)*(참조!$E$2:$E$15=D742),참조!$C$2:$C$15,"")</f>
        <v/>
      </c>
    </row>
    <row r="743" hidden="1" s="27">
      <c r="A743" s="47" t="inlineStr">
        <is>
          <t>에이모바일</t>
        </is>
      </c>
      <c r="B743" s="47" t="inlineStr">
        <is>
          <t>A 스탠다드 20GB/300분</t>
        </is>
      </c>
      <c r="C743" s="47" t="inlineStr">
        <is>
          <t>300분</t>
        </is>
      </c>
      <c r="D743" s="47" t="inlineStr">
        <is>
          <t>100건</t>
        </is>
      </c>
      <c r="E743" s="47" t="inlineStr">
        <is>
          <t>월 20GB</t>
        </is>
      </c>
      <c r="F743" s="47" t="inlineStr">
        <is>
          <t>KT</t>
        </is>
      </c>
      <c r="G743" s="47" t="inlineStr">
        <is>
          <t>LTE</t>
        </is>
      </c>
      <c r="H743" s="48" t="n">
        <v>10</v>
      </c>
      <c r="I743" s="48" t="n">
        <v>7</v>
      </c>
      <c r="J743" s="48" t="n">
        <v>24970</v>
      </c>
      <c r="K743" s="47">
        <f t="array" ref="K743">_xlfn.XLOOKUP(1,(참조!$B$2:$B$15=E743)*(참조!$D$2:$D$15=C743)*(참조!$E$2:$E$15=D743),참조!$C$2:$C$15,"")</f>
        <v/>
      </c>
    </row>
    <row r="744" hidden="1" s="27">
      <c r="A744" s="47" t="inlineStr">
        <is>
          <t>에이모바일</t>
        </is>
      </c>
      <c r="B744" s="47" t="inlineStr">
        <is>
          <t>요금폭탄방지 매일 5GB+</t>
        </is>
      </c>
      <c r="C744" s="47" t="inlineStr">
        <is>
          <t>무제한</t>
        </is>
      </c>
      <c r="D744" s="47" t="inlineStr">
        <is>
          <t>무제한</t>
        </is>
      </c>
      <c r="E744" s="47" t="inlineStr">
        <is>
          <t>매일 5GB + 5Mbps</t>
        </is>
      </c>
      <c r="F744" s="47" t="inlineStr">
        <is>
          <t>LG U+</t>
        </is>
      </c>
      <c r="G744" s="47" t="inlineStr">
        <is>
          <t>LTE</t>
        </is>
      </c>
      <c r="H744" s="48" t="n">
        <v>6600</v>
      </c>
      <c r="I744" s="48" t="n">
        <v>7</v>
      </c>
      <c r="J744" s="48" t="n">
        <v>49500</v>
      </c>
      <c r="K744" s="47">
        <f t="array" ref="K744">_xlfn.XLOOKUP(1,(참조!$B$2:$B$15=E744)*(참조!$D$2:$D$15=C744)*(참조!$E$2:$E$15=D744),참조!$C$2:$C$15,"")</f>
        <v/>
      </c>
    </row>
    <row r="745" hidden="1" s="27">
      <c r="A745" s="47" t="inlineStr">
        <is>
          <t>U+유모바일</t>
        </is>
      </c>
      <c r="B745" s="47" t="inlineStr">
        <is>
          <t>[평생할인] 6GB/통화기본</t>
        </is>
      </c>
      <c r="C745" s="47" t="inlineStr">
        <is>
          <t>무제한</t>
        </is>
      </c>
      <c r="D745" s="47" t="inlineStr">
        <is>
          <t>무제한</t>
        </is>
      </c>
      <c r="E745" s="47" t="inlineStr">
        <is>
          <t>월 6GB</t>
        </is>
      </c>
      <c r="F745" s="47" t="inlineStr">
        <is>
          <t>LG U+</t>
        </is>
      </c>
      <c r="G745" s="47" t="inlineStr">
        <is>
          <t>LTE</t>
        </is>
      </c>
      <c r="H745" s="48" t="n">
        <v>9500</v>
      </c>
      <c r="I745" s="48" t="n"/>
      <c r="J745" s="48" t="n"/>
      <c r="K745" s="47">
        <f t="array" ref="K745">_xlfn.XLOOKUP(1,(참조!$B$2:$B$15=E745)*(참조!$D$2:$D$15=C745)*(참조!$E$2:$E$15=D745),참조!$C$2:$C$15,"")</f>
        <v/>
      </c>
    </row>
    <row r="746" hidden="1" s="27">
      <c r="A746" s="47" t="inlineStr">
        <is>
          <t>KT엠모바일</t>
        </is>
      </c>
      <c r="B746" s="47" t="inlineStr">
        <is>
          <t>모두다 맘껏 15GB+(CU 20%할인)</t>
        </is>
      </c>
      <c r="C746" s="47" t="inlineStr">
        <is>
          <t>무제한</t>
        </is>
      </c>
      <c r="D746" s="47" t="inlineStr">
        <is>
          <t>무제한</t>
        </is>
      </c>
      <c r="E746" s="47" t="inlineStr">
        <is>
          <t>월 15GB + 1Mbps</t>
        </is>
      </c>
      <c r="F746" s="47" t="inlineStr">
        <is>
          <t>KT</t>
        </is>
      </c>
      <c r="G746" s="47" t="inlineStr">
        <is>
          <t>LTE</t>
        </is>
      </c>
      <c r="H746" s="48" t="n">
        <v>21900</v>
      </c>
      <c r="I746" s="48" t="n"/>
      <c r="J746" s="48" t="n"/>
      <c r="K746" s="47">
        <f t="array" ref="K746">_xlfn.XLOOKUP(1,(참조!$B$2:$B$15=E746)*(참조!$D$2:$D$15=C746)*(참조!$E$2:$E$15=D746),참조!$C$2:$C$15,"")</f>
        <v/>
      </c>
    </row>
    <row r="747" hidden="1" s="27">
      <c r="A747" s="47" t="inlineStr">
        <is>
          <t>스마텔</t>
        </is>
      </c>
      <c r="B747" s="47" t="inlineStr">
        <is>
          <t>스위트 7GB+(밀리의서재) (+10GB 24개월간 추가 제공)</t>
        </is>
      </c>
      <c r="C747" s="47" t="inlineStr">
        <is>
          <t>무제한</t>
        </is>
      </c>
      <c r="D747" s="47" t="inlineStr">
        <is>
          <t>무제한</t>
        </is>
      </c>
      <c r="E747" s="47" t="inlineStr">
        <is>
          <t>월 7GB + 1Mbps</t>
        </is>
      </c>
      <c r="F747" s="47" t="inlineStr">
        <is>
          <t>KT</t>
        </is>
      </c>
      <c r="G747" s="47" t="inlineStr">
        <is>
          <t>LTE</t>
        </is>
      </c>
      <c r="H747" s="48" t="n">
        <v>13000</v>
      </c>
      <c r="I747" s="48" t="n">
        <v>12</v>
      </c>
      <c r="J747" s="48" t="n">
        <v>25300</v>
      </c>
      <c r="K747" s="47">
        <f t="array" ref="K747">_xlfn.XLOOKUP(1,(참조!$B$2:$B$15=E747)*(참조!$D$2:$D$15=C747)*(참조!$E$2:$E$15=D747),참조!$C$2:$C$15,"")</f>
        <v/>
      </c>
    </row>
    <row r="748" hidden="1" s="27">
      <c r="A748" s="47" t="inlineStr">
        <is>
          <t>티플러스</t>
        </is>
      </c>
      <c r="B748" s="47" t="inlineStr">
        <is>
          <t>The 완전마음껏15G+(300분)(카톡 이모티콘+예스24e북)</t>
        </is>
      </c>
      <c r="C748" s="47" t="inlineStr">
        <is>
          <t>300분</t>
        </is>
      </c>
      <c r="D748" s="47" t="inlineStr">
        <is>
          <t>300건</t>
        </is>
      </c>
      <c r="E748" s="47" t="inlineStr">
        <is>
          <t>월 15GB + 3Mbps</t>
        </is>
      </c>
      <c r="F748" s="47" t="inlineStr">
        <is>
          <t>LG U+</t>
        </is>
      </c>
      <c r="G748" s="47" t="inlineStr">
        <is>
          <t>LTE</t>
        </is>
      </c>
      <c r="H748" s="48" t="n">
        <v>23500</v>
      </c>
      <c r="I748" s="48" t="n">
        <v>24</v>
      </c>
      <c r="J748" s="48" t="n">
        <v>33000</v>
      </c>
      <c r="K748" s="47">
        <f t="array" ref="K748">_xlfn.XLOOKUP(1,(참조!$B$2:$B$15=E748)*(참조!$D$2:$D$15=C748)*(참조!$E$2:$E$15=D748),참조!$C$2:$C$15,"")</f>
        <v/>
      </c>
    </row>
    <row r="749" hidden="1" s="27">
      <c r="A749" s="47" t="inlineStr">
        <is>
          <t>이야기모바일</t>
        </is>
      </c>
      <c r="B749" s="47" t="inlineStr">
        <is>
          <t>이야기 스페셜 매일5GB+(24개월)</t>
        </is>
      </c>
      <c r="C749" s="47" t="inlineStr">
        <is>
          <t>무제한</t>
        </is>
      </c>
      <c r="D749" s="47" t="inlineStr">
        <is>
          <t>무제한</t>
        </is>
      </c>
      <c r="E749" s="47" t="inlineStr">
        <is>
          <t>매일 5GB + 5Mbps</t>
        </is>
      </c>
      <c r="F749" s="47" t="inlineStr">
        <is>
          <t>LG U+</t>
        </is>
      </c>
      <c r="G749" s="47" t="inlineStr">
        <is>
          <t>LTE</t>
        </is>
      </c>
      <c r="H749" s="48" t="n">
        <v>31350</v>
      </c>
      <c r="I749" s="48" t="n">
        <v>24</v>
      </c>
      <c r="J749" s="48" t="n">
        <v>46200</v>
      </c>
      <c r="K749" s="47">
        <f t="array" ref="K749">_xlfn.XLOOKUP(1,(참조!$B$2:$B$15=E749)*(참조!$D$2:$D$15=C749)*(참조!$E$2:$E$15=D749),참조!$C$2:$C$15,"")</f>
        <v/>
      </c>
    </row>
    <row r="750" hidden="1" s="27">
      <c r="A750" s="47" t="inlineStr">
        <is>
          <t>스마텔</t>
        </is>
      </c>
      <c r="B750" s="47" t="inlineStr">
        <is>
          <t>5G 스마트 95GB+(24개월)</t>
        </is>
      </c>
      <c r="C750" s="47" t="inlineStr">
        <is>
          <t>무제한</t>
        </is>
      </c>
      <c r="D750" s="47" t="inlineStr">
        <is>
          <t>무제한</t>
        </is>
      </c>
      <c r="E750" s="47" t="inlineStr">
        <is>
          <t>월 95GB + 3Mbps</t>
        </is>
      </c>
      <c r="F750" s="47" t="inlineStr">
        <is>
          <t>LG U+</t>
        </is>
      </c>
      <c r="G750" s="47" t="inlineStr">
        <is>
          <t>5G</t>
        </is>
      </c>
      <c r="H750" s="48" t="n">
        <v>32000</v>
      </c>
      <c r="I750" s="48" t="n">
        <v>24</v>
      </c>
      <c r="J750" s="48" t="n">
        <v>49500</v>
      </c>
      <c r="K750" s="47">
        <f t="array" ref="K750">_xlfn.XLOOKUP(1,(참조!$B$2:$B$15=E750)*(참조!$D$2:$D$15=C750)*(참조!$E$2:$E$15=D750),참조!$C$2:$C$15,"")</f>
        <v/>
      </c>
    </row>
    <row r="751" hidden="1" s="27">
      <c r="A751" s="47" t="inlineStr">
        <is>
          <t>에이모바일</t>
        </is>
      </c>
      <c r="B751" s="47" t="inlineStr">
        <is>
          <t>A 스마트 20GB/100분</t>
        </is>
      </c>
      <c r="C751" s="47" t="inlineStr">
        <is>
          <t>100분</t>
        </is>
      </c>
      <c r="D751" s="47" t="inlineStr">
        <is>
          <t>100건</t>
        </is>
      </c>
      <c r="E751" s="47" t="inlineStr">
        <is>
          <t>월 20GB</t>
        </is>
      </c>
      <c r="F751" s="47" t="inlineStr">
        <is>
          <t>SKT</t>
        </is>
      </c>
      <c r="G751" s="47" t="inlineStr">
        <is>
          <t>LTE</t>
        </is>
      </c>
      <c r="H751" s="48" t="n">
        <v>10</v>
      </c>
      <c r="I751" s="48" t="n">
        <v>7</v>
      </c>
      <c r="J751" s="48" t="n">
        <v>23100</v>
      </c>
      <c r="K751" s="47">
        <f t="array" ref="K751">_xlfn.XLOOKUP(1,(참조!$B$2:$B$15=E751)*(참조!$D$2:$D$15=C751)*(참조!$E$2:$E$15=D751),참조!$C$2:$C$15,"")</f>
        <v/>
      </c>
    </row>
    <row r="752" hidden="1" s="27">
      <c r="A752" s="47" t="inlineStr">
        <is>
          <t>인스모바일</t>
        </is>
      </c>
      <c r="B752" s="47" t="inlineStr">
        <is>
          <t>[평생할인]인스 유심 음성 60분+500MB</t>
        </is>
      </c>
      <c r="C752" s="47" t="inlineStr">
        <is>
          <t>60분</t>
        </is>
      </c>
      <c r="D752" s="47" t="inlineStr">
        <is>
          <t>50건</t>
        </is>
      </c>
      <c r="E752" s="47" t="inlineStr">
        <is>
          <t>월 500MB</t>
        </is>
      </c>
      <c r="F752" s="47" t="inlineStr">
        <is>
          <t>LG U+</t>
        </is>
      </c>
      <c r="G752" s="47" t="inlineStr">
        <is>
          <t>LTE</t>
        </is>
      </c>
      <c r="H752" s="48" t="n">
        <v>3280</v>
      </c>
      <c r="I752" s="48" t="n"/>
      <c r="J752" s="48" t="n"/>
      <c r="K752" s="47">
        <f t="array" ref="K752">_xlfn.XLOOKUP(1,(참조!$B$2:$B$15=E752)*(참조!$D$2:$D$15=C752)*(참조!$E$2:$E$15=D752),참조!$C$2:$C$15,"")</f>
        <v/>
      </c>
    </row>
    <row r="753" hidden="1" s="27">
      <c r="A753" s="47" t="inlineStr">
        <is>
          <t>고고모바일</t>
        </is>
      </c>
      <c r="B753" s="47" t="inlineStr">
        <is>
          <t>[모요only] 100분/15GB+3M(밀리의서재 Free)</t>
        </is>
      </c>
      <c r="C753" s="47" t="inlineStr">
        <is>
          <t>100분</t>
        </is>
      </c>
      <c r="D753" s="47" t="inlineStr">
        <is>
          <t>100건</t>
        </is>
      </c>
      <c r="E753" s="47" t="inlineStr">
        <is>
          <t>월 15GB + 3Mbps</t>
        </is>
      </c>
      <c r="F753" s="47" t="inlineStr">
        <is>
          <t>KT</t>
        </is>
      </c>
      <c r="G753" s="47" t="inlineStr">
        <is>
          <t>LTE</t>
        </is>
      </c>
      <c r="H753" s="48" t="n">
        <v>11000</v>
      </c>
      <c r="I753" s="48" t="n">
        <v>7</v>
      </c>
      <c r="J753" s="48" t="n">
        <v>29700</v>
      </c>
      <c r="K753" s="47">
        <f t="array" ref="K753">_xlfn.XLOOKUP(1,(참조!$B$2:$B$15=E753)*(참조!$D$2:$D$15=C753)*(참조!$E$2:$E$15=D753),참조!$C$2:$C$15,"")</f>
        <v/>
      </c>
    </row>
    <row r="754" hidden="1" s="27">
      <c r="A754" s="47" t="inlineStr">
        <is>
          <t>아이즈모바일</t>
        </is>
      </c>
      <c r="B754" s="47" t="inlineStr">
        <is>
          <t>[S]그란데(100분/6GB)</t>
        </is>
      </c>
      <c r="C754" s="47" t="inlineStr">
        <is>
          <t>100분</t>
        </is>
      </c>
      <c r="D754" s="47" t="inlineStr">
        <is>
          <t>100건</t>
        </is>
      </c>
      <c r="E754" s="47" t="inlineStr">
        <is>
          <t>월 6GB</t>
        </is>
      </c>
      <c r="F754" s="47" t="inlineStr">
        <is>
          <t>SKT</t>
        </is>
      </c>
      <c r="G754" s="47" t="inlineStr">
        <is>
          <t>LTE</t>
        </is>
      </c>
      <c r="H754" s="48" t="n">
        <v>10</v>
      </c>
      <c r="I754" s="48" t="n">
        <v>18</v>
      </c>
      <c r="J754" s="48" t="n">
        <v>15100</v>
      </c>
      <c r="K754" s="47">
        <f t="array" ref="K754">_xlfn.XLOOKUP(1,(참조!$B$2:$B$15=E754)*(참조!$D$2:$D$15=C754)*(참조!$E$2:$E$15=D754),참조!$C$2:$C$15,"")</f>
        <v/>
      </c>
    </row>
    <row r="755" hidden="1" s="27">
      <c r="A755" s="47" t="inlineStr">
        <is>
          <t>고고모바일</t>
        </is>
      </c>
      <c r="B755" s="47" t="inlineStr">
        <is>
          <t>[모요only] 무제한 15GB+1M(다이소 5000원)</t>
        </is>
      </c>
      <c r="C755" s="47" t="inlineStr">
        <is>
          <t>무제한</t>
        </is>
      </c>
      <c r="D755" s="47" t="inlineStr">
        <is>
          <t>무제한</t>
        </is>
      </c>
      <c r="E755" s="47" t="inlineStr">
        <is>
          <t>월 15GB + 1Mbps</t>
        </is>
      </c>
      <c r="F755" s="47" t="inlineStr">
        <is>
          <t>KT</t>
        </is>
      </c>
      <c r="G755" s="47" t="inlineStr">
        <is>
          <t>LTE</t>
        </is>
      </c>
      <c r="H755" s="48" t="n">
        <v>11000</v>
      </c>
      <c r="I755" s="48" t="n">
        <v>7</v>
      </c>
      <c r="J755" s="48" t="n">
        <v>28600</v>
      </c>
      <c r="K755" s="47">
        <f t="array" ref="K755">_xlfn.XLOOKUP(1,(참조!$B$2:$B$15=E755)*(참조!$D$2:$D$15=C755)*(참조!$E$2:$E$15=D755),참조!$C$2:$C$15,"")</f>
        <v/>
      </c>
    </row>
    <row r="756" hidden="1" s="27">
      <c r="A756" s="47" t="inlineStr">
        <is>
          <t>모나</t>
        </is>
      </c>
      <c r="B756" s="47" t="inlineStr">
        <is>
          <t>5G_모나알뜰150G안심5</t>
        </is>
      </c>
      <c r="C756" s="47" t="inlineStr">
        <is>
          <t>무제한</t>
        </is>
      </c>
      <c r="D756" s="47" t="inlineStr">
        <is>
          <t>무제한</t>
        </is>
      </c>
      <c r="E756" s="47" t="inlineStr">
        <is>
          <t>월 150GB + 5Mbps</t>
        </is>
      </c>
      <c r="F756" s="47" t="inlineStr">
        <is>
          <t>LG U+</t>
        </is>
      </c>
      <c r="G756" s="47" t="inlineStr">
        <is>
          <t>5G</t>
        </is>
      </c>
      <c r="H756" s="48" t="n">
        <v>32300</v>
      </c>
      <c r="I756" s="48" t="n">
        <v>24</v>
      </c>
      <c r="J756" s="48" t="n">
        <v>62700</v>
      </c>
      <c r="K756" s="47">
        <f t="array" ref="K756">_xlfn.XLOOKUP(1,(참조!$B$2:$B$15=E756)*(참조!$D$2:$D$15=C756)*(참조!$E$2:$E$15=D756),참조!$C$2:$C$15,"")</f>
        <v/>
      </c>
    </row>
    <row r="757" hidden="1" s="27">
      <c r="A757" s="47" t="inlineStr">
        <is>
          <t>고고모바일</t>
        </is>
      </c>
      <c r="B757" s="47" t="inlineStr">
        <is>
          <t>[모요only] 무제한 15GB+1M(올리브영 5000원)</t>
        </is>
      </c>
      <c r="C757" s="47" t="inlineStr">
        <is>
          <t>무제한</t>
        </is>
      </c>
      <c r="D757" s="47" t="inlineStr">
        <is>
          <t>무제한</t>
        </is>
      </c>
      <c r="E757" s="47" t="inlineStr">
        <is>
          <t>월 15GB + 1Mbps</t>
        </is>
      </c>
      <c r="F757" s="47" t="inlineStr">
        <is>
          <t>KT</t>
        </is>
      </c>
      <c r="G757" s="47" t="inlineStr">
        <is>
          <t>LTE</t>
        </is>
      </c>
      <c r="H757" s="48" t="n">
        <v>11000</v>
      </c>
      <c r="I757" s="48" t="n">
        <v>7</v>
      </c>
      <c r="J757" s="48" t="n">
        <v>28600</v>
      </c>
      <c r="K757" s="47">
        <f t="array" ref="K757">_xlfn.XLOOKUP(1,(참조!$B$2:$B$15=E757)*(참조!$D$2:$D$15=C757)*(참조!$E$2:$E$15=D757),참조!$C$2:$C$15,"")</f>
        <v/>
      </c>
    </row>
    <row r="758" hidden="1" s="27">
      <c r="A758" s="47" t="inlineStr">
        <is>
          <t>스마텔</t>
        </is>
      </c>
      <c r="B758" s="47" t="inlineStr">
        <is>
          <t>스마일 15GB+</t>
        </is>
      </c>
      <c r="C758" s="47" t="inlineStr">
        <is>
          <t>100분</t>
        </is>
      </c>
      <c r="D758" s="47" t="inlineStr">
        <is>
          <t>100건</t>
        </is>
      </c>
      <c r="E758" s="47" t="inlineStr">
        <is>
          <t>월 15GB + 3Mbps</t>
        </is>
      </c>
      <c r="F758" s="47" t="inlineStr">
        <is>
          <t>SKT</t>
        </is>
      </c>
      <c r="G758" s="47" t="inlineStr">
        <is>
          <t>LTE</t>
        </is>
      </c>
      <c r="H758" s="48" t="n">
        <v>12500</v>
      </c>
      <c r="I758" s="48" t="n">
        <v>7</v>
      </c>
      <c r="J758" s="48" t="n">
        <v>33000</v>
      </c>
      <c r="K758" s="47">
        <f t="array" ref="K758">_xlfn.XLOOKUP(1,(참조!$B$2:$B$15=E758)*(참조!$D$2:$D$15=C758)*(참조!$E$2:$E$15=D758),참조!$C$2:$C$15,"")</f>
        <v/>
      </c>
    </row>
    <row r="759" hidden="1" s="27">
      <c r="A759" s="47" t="inlineStr">
        <is>
          <t>핀다이렉트</t>
        </is>
      </c>
      <c r="B759" s="47" t="inlineStr">
        <is>
          <t>[모요only] [L] 핀다이렉트Z 100GB+(네이버페이) _PAY</t>
        </is>
      </c>
      <c r="C759" s="47" t="inlineStr">
        <is>
          <t>무제한</t>
        </is>
      </c>
      <c r="D759" s="47" t="inlineStr">
        <is>
          <t>무제한</t>
        </is>
      </c>
      <c r="E759" s="47" t="inlineStr">
        <is>
          <t>월 100GB + 5Mbps</t>
        </is>
      </c>
      <c r="F759" s="47" t="inlineStr">
        <is>
          <t>LG U+</t>
        </is>
      </c>
      <c r="G759" s="47" t="inlineStr">
        <is>
          <t>LTE</t>
        </is>
      </c>
      <c r="H759" s="48" t="n">
        <v>34900</v>
      </c>
      <c r="I759" s="48" t="n">
        <v>7</v>
      </c>
      <c r="J759" s="48" t="n">
        <v>44000</v>
      </c>
      <c r="K759" s="47">
        <f t="array" ref="K759">_xlfn.XLOOKUP(1,(참조!$B$2:$B$15=E759)*(참조!$D$2:$D$15=C759)*(참조!$E$2:$E$15=D759),참조!$C$2:$C$15,"")</f>
        <v/>
      </c>
    </row>
    <row r="760" hidden="1" s="27">
      <c r="A760" s="47" t="inlineStr">
        <is>
          <t>이야기모바일</t>
        </is>
      </c>
      <c r="B760" s="47" t="inlineStr">
        <is>
          <t>이야기스페셜 100GB+(24개월)</t>
        </is>
      </c>
      <c r="C760" s="47" t="inlineStr">
        <is>
          <t>무제한</t>
        </is>
      </c>
      <c r="D760" s="47" t="inlineStr">
        <is>
          <t>무제한</t>
        </is>
      </c>
      <c r="E760" s="47" t="inlineStr">
        <is>
          <t>월 100GB + 5Mbps</t>
        </is>
      </c>
      <c r="F760" s="47" t="inlineStr">
        <is>
          <t>LG U+</t>
        </is>
      </c>
      <c r="G760" s="47" t="inlineStr">
        <is>
          <t>LTE</t>
        </is>
      </c>
      <c r="H760" s="48" t="n">
        <v>31350</v>
      </c>
      <c r="I760" s="48" t="n">
        <v>24</v>
      </c>
      <c r="J760" s="48" t="n">
        <v>46200</v>
      </c>
      <c r="K760" s="47">
        <f t="array" ref="K760">_xlfn.XLOOKUP(1,(참조!$B$2:$B$15=E760)*(참조!$D$2:$D$15=C760)*(참조!$E$2:$E$15=D760),참조!$C$2:$C$15,"")</f>
        <v/>
      </c>
    </row>
    <row r="761" hidden="1" s="27">
      <c r="A761" s="47" t="inlineStr">
        <is>
          <t>에이모바일</t>
        </is>
      </c>
      <c r="B761" s="47" t="inlineStr">
        <is>
          <t>A 5G 스페셜 150GB+ (24개월)</t>
        </is>
      </c>
      <c r="C761" s="47" t="inlineStr">
        <is>
          <t>무제한</t>
        </is>
      </c>
      <c r="D761" s="47" t="inlineStr">
        <is>
          <t>무제한</t>
        </is>
      </c>
      <c r="E761" s="47" t="inlineStr">
        <is>
          <t>월 150GB + 5Mbps</t>
        </is>
      </c>
      <c r="F761" s="47" t="inlineStr">
        <is>
          <t>LG U+</t>
        </is>
      </c>
      <c r="G761" s="47" t="inlineStr">
        <is>
          <t>5G</t>
        </is>
      </c>
      <c r="H761" s="48" t="n">
        <v>23000</v>
      </c>
      <c r="I761" s="48" t="n">
        <v>24</v>
      </c>
      <c r="J761" s="48" t="n">
        <v>52800</v>
      </c>
      <c r="K761" s="47">
        <f t="array" ref="K761">_xlfn.XLOOKUP(1,(참조!$B$2:$B$15=E761)*(참조!$D$2:$D$15=C761)*(참조!$E$2:$E$15=D761),참조!$C$2:$C$15,"")</f>
        <v/>
      </c>
    </row>
    <row r="762" hidden="1" s="27">
      <c r="A762" s="47" t="inlineStr">
        <is>
          <t>스마텔</t>
        </is>
      </c>
      <c r="B762" s="47" t="inlineStr">
        <is>
          <t>5G 음성무제한 8GB</t>
        </is>
      </c>
      <c r="C762" s="47" t="inlineStr">
        <is>
          <t>무제한</t>
        </is>
      </c>
      <c r="D762" s="47" t="inlineStr">
        <is>
          <t>200건</t>
        </is>
      </c>
      <c r="E762" s="47" t="inlineStr">
        <is>
          <t>월 8GB</t>
        </is>
      </c>
      <c r="F762" s="47" t="inlineStr">
        <is>
          <t>SKT</t>
        </is>
      </c>
      <c r="G762" s="47" t="inlineStr">
        <is>
          <t>5G</t>
        </is>
      </c>
      <c r="H762" s="48" t="n">
        <v>8500</v>
      </c>
      <c r="I762" s="48" t="n"/>
      <c r="J762" s="48" t="n"/>
      <c r="K762" s="47">
        <f t="array" ref="K762">_xlfn.XLOOKUP(1,(참조!$B$2:$B$15=E762)*(참조!$D$2:$D$15=C762)*(참조!$E$2:$E$15=D762),참조!$C$2:$C$15,"")</f>
        <v/>
      </c>
    </row>
    <row r="763" hidden="1" s="27">
      <c r="A763" s="47" t="inlineStr">
        <is>
          <t>아이즈모바일</t>
        </is>
      </c>
      <c r="B763" s="47" t="inlineStr">
        <is>
          <t>아이즈 200분 10GB</t>
        </is>
      </c>
      <c r="C763" s="47" t="inlineStr">
        <is>
          <t>200분</t>
        </is>
      </c>
      <c r="D763" s="47" t="inlineStr">
        <is>
          <t>100건</t>
        </is>
      </c>
      <c r="E763" s="47" t="inlineStr">
        <is>
          <t>월 10GB</t>
        </is>
      </c>
      <c r="F763" s="47" t="inlineStr">
        <is>
          <t>KT</t>
        </is>
      </c>
      <c r="G763" s="47" t="inlineStr">
        <is>
          <t>LTE</t>
        </is>
      </c>
      <c r="H763" s="48" t="n">
        <v>2990</v>
      </c>
      <c r="I763" s="48" t="n"/>
      <c r="J763" s="48" t="n"/>
      <c r="K763" s="47">
        <f t="array" ref="K763">_xlfn.XLOOKUP(1,(참조!$B$2:$B$15=E763)*(참조!$D$2:$D$15=C763)*(참조!$E$2:$E$15=D763),참조!$C$2:$C$15,"")</f>
        <v/>
      </c>
    </row>
    <row r="764" hidden="1" s="27">
      <c r="A764" s="47" t="inlineStr">
        <is>
          <t>위너스텔</t>
        </is>
      </c>
      <c r="B764" s="47" t="inlineStr">
        <is>
          <t>WELL60분+500MB</t>
        </is>
      </c>
      <c r="C764" s="47" t="inlineStr">
        <is>
          <t>60분</t>
        </is>
      </c>
      <c r="D764" s="47" t="inlineStr">
        <is>
          <t>60건</t>
        </is>
      </c>
      <c r="E764" s="47" t="inlineStr">
        <is>
          <t>월 500MB</t>
        </is>
      </c>
      <c r="F764" s="47" t="inlineStr">
        <is>
          <t>KT</t>
        </is>
      </c>
      <c r="G764" s="47" t="inlineStr">
        <is>
          <t>LTE</t>
        </is>
      </c>
      <c r="H764" s="48" t="n">
        <v>3850</v>
      </c>
      <c r="I764" s="48" t="n"/>
      <c r="J764" s="48" t="n"/>
      <c r="K764" s="47">
        <f t="array" ref="K764">_xlfn.XLOOKUP(1,(참조!$B$2:$B$15=E764)*(참조!$D$2:$D$15=C764)*(참조!$E$2:$E$15=D764),참조!$C$2:$C$15,"")</f>
        <v/>
      </c>
    </row>
    <row r="765" hidden="1" s="27">
      <c r="A765" s="47" t="inlineStr">
        <is>
          <t>핀다이렉트</t>
        </is>
      </c>
      <c r="B765" s="47" t="inlineStr">
        <is>
          <t>[모요only] [K] 핀다이렉트Z Max _PIN</t>
        </is>
      </c>
      <c r="C765" s="47" t="inlineStr">
        <is>
          <t>무제한</t>
        </is>
      </c>
      <c r="D765" s="47" t="inlineStr">
        <is>
          <t>무제한</t>
        </is>
      </c>
      <c r="E765" s="47" t="inlineStr">
        <is>
          <t>매일 5GB + 5Mbps</t>
        </is>
      </c>
      <c r="F765" s="47" t="inlineStr">
        <is>
          <t>KT</t>
        </is>
      </c>
      <c r="G765" s="47" t="inlineStr">
        <is>
          <t>LTE</t>
        </is>
      </c>
      <c r="H765" s="48" t="n">
        <v>15900</v>
      </c>
      <c r="I765" s="48" t="n">
        <v>7</v>
      </c>
      <c r="J765" s="48" t="n">
        <v>42900</v>
      </c>
      <c r="K765" s="47">
        <f t="array" ref="K765">_xlfn.XLOOKUP(1,(참조!$B$2:$B$15=E765)*(참조!$D$2:$D$15=C765)*(참조!$E$2:$E$15=D765),참조!$C$2:$C$15,"")</f>
        <v/>
      </c>
    </row>
    <row r="766" hidden="1" s="27">
      <c r="A766" s="47" t="inlineStr">
        <is>
          <t>KT엠모바일</t>
        </is>
      </c>
      <c r="B766" s="47" t="inlineStr">
        <is>
          <t>모두다 맘껏 7GB+(밀리의 서재 FREE)</t>
        </is>
      </c>
      <c r="C766" s="47" t="inlineStr">
        <is>
          <t>무제한</t>
        </is>
      </c>
      <c r="D766" s="47" t="inlineStr">
        <is>
          <t>무제한</t>
        </is>
      </c>
      <c r="E766" s="47" t="inlineStr">
        <is>
          <t>월 7GB + 1Mbps</t>
        </is>
      </c>
      <c r="F766" s="47" t="inlineStr">
        <is>
          <t>KT</t>
        </is>
      </c>
      <c r="G766" s="47" t="inlineStr">
        <is>
          <t>LTE</t>
        </is>
      </c>
      <c r="H766" s="48" t="n">
        <v>16300</v>
      </c>
      <c r="I766" s="48" t="n"/>
      <c r="J766" s="48" t="n"/>
      <c r="K766" s="47">
        <f t="array" ref="K766">_xlfn.XLOOKUP(1,(참조!$B$2:$B$15=E766)*(참조!$D$2:$D$15=C766)*(참조!$E$2:$E$15=D766),참조!$C$2:$C$15,"")</f>
        <v/>
      </c>
    </row>
    <row r="767" hidden="1" s="27">
      <c r="A767" s="47" t="inlineStr">
        <is>
          <t>KT엠모바일</t>
        </is>
      </c>
      <c r="B767" s="47" t="inlineStr">
        <is>
          <t>모두다 맘껏 100GB+(CU 20%할인)</t>
        </is>
      </c>
      <c r="C767" s="47" t="inlineStr">
        <is>
          <t>무제한</t>
        </is>
      </c>
      <c r="D767" s="47" t="inlineStr">
        <is>
          <t>무제한</t>
        </is>
      </c>
      <c r="E767" s="47" t="inlineStr">
        <is>
          <t>월 100GB + 5Mbps</t>
        </is>
      </c>
      <c r="F767" s="47" t="inlineStr">
        <is>
          <t>KT</t>
        </is>
      </c>
      <c r="G767" s="47" t="inlineStr">
        <is>
          <t>LTE</t>
        </is>
      </c>
      <c r="H767" s="48" t="n">
        <v>38200</v>
      </c>
      <c r="I767" s="48" t="n"/>
      <c r="J767" s="48" t="n"/>
      <c r="K767" s="47">
        <f t="array" ref="K767">_xlfn.XLOOKUP(1,(참조!$B$2:$B$15=E767)*(참조!$D$2:$D$15=C767)*(참조!$E$2:$E$15=D767),참조!$C$2:$C$15,"")</f>
        <v/>
      </c>
    </row>
    <row r="768" hidden="1" s="27">
      <c r="A768" s="47" t="inlineStr">
        <is>
          <t>고고모바일</t>
        </is>
      </c>
      <c r="B768" s="47" t="inlineStr">
        <is>
          <t>데이터무제한 100분/100건</t>
        </is>
      </c>
      <c r="C768" s="47" t="inlineStr">
        <is>
          <t>100분</t>
        </is>
      </c>
      <c r="D768" s="47" t="inlineStr">
        <is>
          <t>100건</t>
        </is>
      </c>
      <c r="E768" s="47" t="inlineStr">
        <is>
          <t>데이터 제공안함 + 400Kbps</t>
        </is>
      </c>
      <c r="F768" s="47" t="inlineStr">
        <is>
          <t>KT</t>
        </is>
      </c>
      <c r="G768" s="47" t="inlineStr">
        <is>
          <t>LTE</t>
        </is>
      </c>
      <c r="H768" s="48" t="n">
        <v>6160</v>
      </c>
      <c r="I768" s="48" t="n"/>
      <c r="J768" s="48" t="n"/>
      <c r="K768" s="47">
        <f t="array" ref="K768">_xlfn.XLOOKUP(1,(참조!$B$2:$B$15=E768)*(참조!$D$2:$D$15=C768)*(참조!$E$2:$E$15=D768),참조!$C$2:$C$15,"")</f>
        <v/>
      </c>
    </row>
    <row r="769" hidden="1" s="27">
      <c r="A769" s="47" t="inlineStr">
        <is>
          <t>이야기모바일</t>
        </is>
      </c>
      <c r="B769" s="47" t="inlineStr">
        <is>
          <t>[모요only] 내맘대로 (50분+1GB)</t>
        </is>
      </c>
      <c r="C769" s="47" t="inlineStr">
        <is>
          <t>50분</t>
        </is>
      </c>
      <c r="D769" s="47" t="inlineStr">
        <is>
          <t>50건</t>
        </is>
      </c>
      <c r="E769" s="47" t="inlineStr">
        <is>
          <t>월 1GB</t>
        </is>
      </c>
      <c r="F769" s="47" t="inlineStr">
        <is>
          <t>LG U+</t>
        </is>
      </c>
      <c r="G769" s="47" t="inlineStr">
        <is>
          <t>LTE</t>
        </is>
      </c>
      <c r="H769" s="48" t="n">
        <v>4620</v>
      </c>
      <c r="I769" s="48" t="n"/>
      <c r="J769" s="48" t="n"/>
      <c r="K769" s="47">
        <f t="array" ref="K769">_xlfn.XLOOKUP(1,(참조!$B$2:$B$15=E769)*(참조!$D$2:$D$15=C769)*(참조!$E$2:$E$15=D769),참조!$C$2:$C$15,"")</f>
        <v/>
      </c>
    </row>
    <row r="770" hidden="1" s="27">
      <c r="A770" s="47" t="inlineStr">
        <is>
          <t>티플러스</t>
        </is>
      </c>
      <c r="B770" s="47" t="inlineStr">
        <is>
          <t>가성비플러스(25GB/350분)</t>
        </is>
      </c>
      <c r="C770" s="47" t="inlineStr">
        <is>
          <t>350분</t>
        </is>
      </c>
      <c r="D770" s="47" t="inlineStr">
        <is>
          <t>100건</t>
        </is>
      </c>
      <c r="E770" s="47" t="inlineStr">
        <is>
          <t>월 25GB</t>
        </is>
      </c>
      <c r="F770" s="47" t="inlineStr">
        <is>
          <t>KT</t>
        </is>
      </c>
      <c r="G770" s="47" t="inlineStr">
        <is>
          <t>LTE</t>
        </is>
      </c>
      <c r="H770" s="48" t="n">
        <v>5900</v>
      </c>
      <c r="I770" s="48" t="n">
        <v>7</v>
      </c>
      <c r="J770" s="48" t="n">
        <v>34100</v>
      </c>
      <c r="K770" s="47">
        <f t="array" ref="K770">_xlfn.XLOOKUP(1,(참조!$B$2:$B$15=E770)*(참조!$D$2:$D$15=C770)*(참조!$E$2:$E$15=D770),참조!$C$2:$C$15,"")</f>
        <v/>
      </c>
    </row>
    <row r="771" hidden="1" s="27">
      <c r="A771" s="47" t="inlineStr">
        <is>
          <t>고고모바일</t>
        </is>
      </c>
      <c r="B771" s="47" t="inlineStr">
        <is>
          <t>[모요only] 무제한 11GB+3M(올리브영 5000원)</t>
        </is>
      </c>
      <c r="C771" s="47" t="inlineStr">
        <is>
          <t>무제한</t>
        </is>
      </c>
      <c r="D771" s="47" t="inlineStr">
        <is>
          <t>무제한</t>
        </is>
      </c>
      <c r="E771" s="47" t="inlineStr">
        <is>
          <t>월 11GB + 매일 2GB + 3Mbps</t>
        </is>
      </c>
      <c r="F771" s="47" t="inlineStr">
        <is>
          <t>KT</t>
        </is>
      </c>
      <c r="G771" s="47" t="inlineStr">
        <is>
          <t>LTE</t>
        </is>
      </c>
      <c r="H771" s="48" t="n">
        <v>16000</v>
      </c>
      <c r="I771" s="48" t="n">
        <v>7</v>
      </c>
      <c r="J771" s="48" t="n">
        <v>40700</v>
      </c>
      <c r="K771" s="47">
        <f t="array" ref="K771">_xlfn.XLOOKUP(1,(참조!$B$2:$B$15=E771)*(참조!$D$2:$D$15=C771)*(참조!$E$2:$E$15=D771),참조!$C$2:$C$15,"")</f>
        <v/>
      </c>
    </row>
    <row r="772" hidden="1" s="27">
      <c r="A772" s="47" t="inlineStr">
        <is>
          <t>KT엠모바일</t>
        </is>
      </c>
      <c r="B772" s="47" t="inlineStr">
        <is>
          <t>모두다 맘껏 10GB+(밀리의 서재 FREE)</t>
        </is>
      </c>
      <c r="C772" s="47" t="inlineStr">
        <is>
          <t>무제한</t>
        </is>
      </c>
      <c r="D772" s="47" t="inlineStr">
        <is>
          <t>무제한</t>
        </is>
      </c>
      <c r="E772" s="47" t="inlineStr">
        <is>
          <t>월 10GB + 1Mbps</t>
        </is>
      </c>
      <c r="F772" s="47" t="inlineStr">
        <is>
          <t>KT</t>
        </is>
      </c>
      <c r="G772" s="47" t="inlineStr">
        <is>
          <t>LTE</t>
        </is>
      </c>
      <c r="H772" s="48" t="n">
        <v>19000</v>
      </c>
      <c r="I772" s="48" t="n"/>
      <c r="J772" s="48" t="n"/>
      <c r="K772" s="47">
        <f t="array" ref="K772">_xlfn.XLOOKUP(1,(참조!$B$2:$B$15=E772)*(참조!$D$2:$D$15=C772)*(참조!$E$2:$E$15=D772),참조!$C$2:$C$15,"")</f>
        <v/>
      </c>
    </row>
    <row r="773" hidden="1" s="27">
      <c r="A773" s="47" t="inlineStr">
        <is>
          <t>티플러스</t>
        </is>
      </c>
      <c r="B773" s="47" t="inlineStr">
        <is>
          <t>티플 15GB+(300분)(이디야커피)</t>
        </is>
      </c>
      <c r="C773" s="47" t="inlineStr">
        <is>
          <t>300분</t>
        </is>
      </c>
      <c r="D773" s="47" t="inlineStr">
        <is>
          <t>300건</t>
        </is>
      </c>
      <c r="E773" s="47" t="inlineStr">
        <is>
          <t>월 15GB + 3Mbps</t>
        </is>
      </c>
      <c r="F773" s="47" t="inlineStr">
        <is>
          <t>SKT</t>
        </is>
      </c>
      <c r="G773" s="47" t="inlineStr">
        <is>
          <t>LTE</t>
        </is>
      </c>
      <c r="H773" s="48" t="n">
        <v>11900</v>
      </c>
      <c r="I773" s="48" t="n">
        <v>7</v>
      </c>
      <c r="J773" s="48" t="n">
        <v>40700</v>
      </c>
      <c r="K773" s="47">
        <f t="array" ref="K773">_xlfn.XLOOKUP(1,(참조!$B$2:$B$15=E773)*(참조!$D$2:$D$15=C773)*(참조!$E$2:$E$15=D773),참조!$C$2:$C$15,"")</f>
        <v/>
      </c>
    </row>
    <row r="774" hidden="1" s="27">
      <c r="A774" s="47" t="inlineStr">
        <is>
          <t>U+유모바일</t>
        </is>
      </c>
      <c r="B774" s="47" t="inlineStr">
        <is>
          <t>[다이소 12만] 7GB+</t>
        </is>
      </c>
      <c r="C774" s="47" t="inlineStr">
        <is>
          <t>무제한</t>
        </is>
      </c>
      <c r="D774" s="47" t="inlineStr">
        <is>
          <t>무제한</t>
        </is>
      </c>
      <c r="E774" s="47" t="inlineStr">
        <is>
          <t>월 7GB + 1Mbps</t>
        </is>
      </c>
      <c r="F774" s="47" t="inlineStr">
        <is>
          <t>LG U+</t>
        </is>
      </c>
      <c r="G774" s="47" t="inlineStr">
        <is>
          <t>LTE</t>
        </is>
      </c>
      <c r="H774" s="48" t="n">
        <v>18100</v>
      </c>
      <c r="I774" s="48" t="n"/>
      <c r="J774" s="48" t="n"/>
      <c r="K774" s="47">
        <f t="array" ref="K774">_xlfn.XLOOKUP(1,(참조!$B$2:$B$15=E774)*(참조!$D$2:$D$15=C774)*(참조!$E$2:$E$15=D774),참조!$C$2:$C$15,"")</f>
        <v/>
      </c>
    </row>
    <row r="775" hidden="1" s="27">
      <c r="A775" s="47" t="inlineStr">
        <is>
          <t>고고모바일</t>
        </is>
      </c>
      <c r="B775" s="47" t="inlineStr">
        <is>
          <t>LTE200분/ 7GB</t>
        </is>
      </c>
      <c r="C775" s="47" t="inlineStr">
        <is>
          <t>200분</t>
        </is>
      </c>
      <c r="D775" s="47" t="inlineStr">
        <is>
          <t>100건</t>
        </is>
      </c>
      <c r="E775" s="47" t="inlineStr">
        <is>
          <t>월 7GB</t>
        </is>
      </c>
      <c r="F775" s="47" t="inlineStr">
        <is>
          <t>KT</t>
        </is>
      </c>
      <c r="G775" s="47" t="inlineStr">
        <is>
          <t>LTE</t>
        </is>
      </c>
      <c r="H775" s="48" t="n">
        <v>13420</v>
      </c>
      <c r="I775" s="48" t="n"/>
      <c r="J775" s="48" t="n"/>
      <c r="K775" s="47">
        <f t="array" ref="K775">_xlfn.XLOOKUP(1,(참조!$B$2:$B$15=E775)*(참조!$D$2:$D$15=C775)*(참조!$E$2:$E$15=D775),참조!$C$2:$C$15,"")</f>
        <v/>
      </c>
    </row>
    <row r="776" hidden="1" s="27">
      <c r="A776" s="47" t="inlineStr">
        <is>
          <t>모나</t>
        </is>
      </c>
      <c r="B776" s="47" t="inlineStr">
        <is>
          <t>5G_모나알뜰95G안심3</t>
        </is>
      </c>
      <c r="C776" s="47" t="inlineStr">
        <is>
          <t>무제한</t>
        </is>
      </c>
      <c r="D776" s="47" t="inlineStr">
        <is>
          <t>무제한</t>
        </is>
      </c>
      <c r="E776" s="47" t="inlineStr">
        <is>
          <t>월 95GB + 3Mbps</t>
        </is>
      </c>
      <c r="F776" s="47" t="inlineStr">
        <is>
          <t>LG U+</t>
        </is>
      </c>
      <c r="G776" s="47" t="inlineStr">
        <is>
          <t>5G</t>
        </is>
      </c>
      <c r="H776" s="48" t="n">
        <v>31900</v>
      </c>
      <c r="I776" s="48" t="n">
        <v>24</v>
      </c>
      <c r="J776" s="48" t="n">
        <v>55000</v>
      </c>
      <c r="K776" s="47">
        <f t="array" ref="K776">_xlfn.XLOOKUP(1,(참조!$B$2:$B$15=E776)*(참조!$D$2:$D$15=C776)*(참조!$E$2:$E$15=D776),참조!$C$2:$C$15,"")</f>
        <v/>
      </c>
    </row>
    <row r="777" hidden="1" s="27">
      <c r="A777" s="47" t="inlineStr">
        <is>
          <t>에이모바일</t>
        </is>
      </c>
      <c r="B777" s="47" t="inlineStr">
        <is>
          <t>A 스마트 10GB</t>
        </is>
      </c>
      <c r="C777" s="47" t="inlineStr">
        <is>
          <t>무제한</t>
        </is>
      </c>
      <c r="D777" s="47" t="inlineStr">
        <is>
          <t>무제한</t>
        </is>
      </c>
      <c r="E777" s="47" t="inlineStr">
        <is>
          <t>월 10GB</t>
        </is>
      </c>
      <c r="F777" s="47" t="inlineStr">
        <is>
          <t>SKT</t>
        </is>
      </c>
      <c r="G777" s="47" t="inlineStr">
        <is>
          <t>LTE</t>
        </is>
      </c>
      <c r="H777" s="48" t="n">
        <v>10</v>
      </c>
      <c r="I777" s="48" t="n">
        <v>7</v>
      </c>
      <c r="J777" s="48" t="n">
        <v>14300</v>
      </c>
      <c r="K777" s="47">
        <f t="array" ref="K777">_xlfn.XLOOKUP(1,(참조!$B$2:$B$15=E777)*(참조!$D$2:$D$15=C777)*(참조!$E$2:$E$15=D777),참조!$C$2:$C$15,"")</f>
        <v/>
      </c>
    </row>
    <row r="778" hidden="1" s="27">
      <c r="A778" s="47" t="inlineStr">
        <is>
          <t>KG모바일</t>
        </is>
      </c>
      <c r="B778" s="47" t="inlineStr">
        <is>
          <t>[일반] 데이터 마음대로 (15GB+/300분)</t>
        </is>
      </c>
      <c r="C778" s="47" t="inlineStr">
        <is>
          <t>300분</t>
        </is>
      </c>
      <c r="D778" s="47" t="inlineStr">
        <is>
          <t>300건</t>
        </is>
      </c>
      <c r="E778" s="47" t="inlineStr">
        <is>
          <t>월 15GB + 3Mbps</t>
        </is>
      </c>
      <c r="F778" s="47" t="inlineStr">
        <is>
          <t>LG U+</t>
        </is>
      </c>
      <c r="G778" s="47" t="inlineStr">
        <is>
          <t>LTE</t>
        </is>
      </c>
      <c r="H778" s="48" t="n">
        <v>23100</v>
      </c>
      <c r="I778" s="48" t="n">
        <v>12</v>
      </c>
      <c r="J778" s="48" t="n">
        <v>35200</v>
      </c>
      <c r="K778" s="47">
        <f t="array" ref="K778">_xlfn.XLOOKUP(1,(참조!$B$2:$B$15=E778)*(참조!$D$2:$D$15=C778)*(참조!$E$2:$E$15=D778),참조!$C$2:$C$15,"")</f>
        <v/>
      </c>
    </row>
    <row r="779" hidden="1" s="27">
      <c r="A779" s="47" t="inlineStr">
        <is>
          <t>이야기모바일</t>
        </is>
      </c>
      <c r="B779" s="47" t="inlineStr">
        <is>
          <t>이야기 300분+9GB(5G)</t>
        </is>
      </c>
      <c r="C779" s="47" t="inlineStr">
        <is>
          <t>300분</t>
        </is>
      </c>
      <c r="D779" s="47" t="inlineStr">
        <is>
          <t>50건</t>
        </is>
      </c>
      <c r="E779" s="47" t="inlineStr">
        <is>
          <t>월 9GB</t>
        </is>
      </c>
      <c r="F779" s="47" t="inlineStr">
        <is>
          <t>SKT</t>
        </is>
      </c>
      <c r="G779" s="47" t="inlineStr">
        <is>
          <t>5G</t>
        </is>
      </c>
      <c r="H779" s="48" t="n">
        <v>11000</v>
      </c>
      <c r="I779" s="48" t="n"/>
      <c r="J779" s="48" t="n"/>
      <c r="K779" s="47">
        <f t="array" ref="K779">_xlfn.XLOOKUP(1,(참조!$B$2:$B$15=E779)*(참조!$D$2:$D$15=C779)*(참조!$E$2:$E$15=D779),참조!$C$2:$C$15,"")</f>
        <v/>
      </c>
    </row>
    <row r="780" hidden="1" s="27">
      <c r="A780" s="47" t="inlineStr">
        <is>
          <t>KT엠모바일</t>
        </is>
      </c>
      <c r="B780" s="47" t="inlineStr">
        <is>
          <t>모두다 맘껏 100GB+(밀리의 서재 FREE)</t>
        </is>
      </c>
      <c r="C780" s="47" t="inlineStr">
        <is>
          <t>무제한</t>
        </is>
      </c>
      <c r="D780" s="47" t="inlineStr">
        <is>
          <t>무제한</t>
        </is>
      </c>
      <c r="E780" s="47" t="inlineStr">
        <is>
          <t>월 100GB + 5Mbps</t>
        </is>
      </c>
      <c r="F780" s="47" t="inlineStr">
        <is>
          <t>KT</t>
        </is>
      </c>
      <c r="G780" s="47" t="inlineStr">
        <is>
          <t>LTE</t>
        </is>
      </c>
      <c r="H780" s="48" t="n">
        <v>38300</v>
      </c>
      <c r="I780" s="48" t="n"/>
      <c r="J780" s="48" t="n"/>
      <c r="K780" s="47">
        <f t="array" ref="K780">_xlfn.XLOOKUP(1,(참조!$B$2:$B$15=E780)*(참조!$D$2:$D$15=C780)*(참조!$E$2:$E$15=D780),참조!$C$2:$C$15,"")</f>
        <v/>
      </c>
    </row>
    <row r="781" hidden="1" s="27">
      <c r="A781" s="47" t="inlineStr">
        <is>
          <t>에이모바일</t>
        </is>
      </c>
      <c r="B781" s="47" t="inlineStr">
        <is>
          <t>A 5G 스페셜 슈퍼</t>
        </is>
      </c>
      <c r="C781" s="47" t="inlineStr">
        <is>
          <t>무제한</t>
        </is>
      </c>
      <c r="D781" s="47" t="inlineStr">
        <is>
          <t>무제한</t>
        </is>
      </c>
      <c r="E781" s="47" t="inlineStr">
        <is>
          <t>월 95GB + 3Mbps</t>
        </is>
      </c>
      <c r="F781" s="47" t="inlineStr">
        <is>
          <t>LG U+</t>
        </is>
      </c>
      <c r="G781" s="47" t="inlineStr">
        <is>
          <t>5G</t>
        </is>
      </c>
      <c r="H781" s="48" t="n">
        <v>6500</v>
      </c>
      <c r="I781" s="48" t="n">
        <v>7</v>
      </c>
      <c r="J781" s="48" t="n">
        <v>48420</v>
      </c>
      <c r="K781" s="47">
        <f t="array" ref="K781">_xlfn.XLOOKUP(1,(참조!$B$2:$B$15=E781)*(참조!$D$2:$D$15=C781)*(참조!$E$2:$E$15=D781),참조!$C$2:$C$15,"")</f>
        <v/>
      </c>
    </row>
    <row r="782" hidden="1" s="27">
      <c r="A782" s="47" t="inlineStr">
        <is>
          <t>U+유모바일</t>
        </is>
      </c>
      <c r="B782" s="47" t="inlineStr">
        <is>
          <t>[쿠팡이츠 12만] 25GB+/통화기본</t>
        </is>
      </c>
      <c r="C782" s="47" t="inlineStr">
        <is>
          <t>무제한</t>
        </is>
      </c>
      <c r="D782" s="47" t="inlineStr">
        <is>
          <t>무제한</t>
        </is>
      </c>
      <c r="E782" s="47" t="inlineStr">
        <is>
          <t>월 25GB + 1Mbps</t>
        </is>
      </c>
      <c r="F782" s="47" t="inlineStr">
        <is>
          <t>LG U+</t>
        </is>
      </c>
      <c r="G782" s="47" t="inlineStr">
        <is>
          <t>LTE</t>
        </is>
      </c>
      <c r="H782" s="48" t="n">
        <v>24000</v>
      </c>
      <c r="I782" s="48" t="n"/>
      <c r="J782" s="48" t="n"/>
      <c r="K782" s="47">
        <f t="array" ref="K782">_xlfn.XLOOKUP(1,(참조!$B$2:$B$15=E782)*(참조!$D$2:$D$15=C782)*(참조!$E$2:$E$15=D782),참조!$C$2:$C$15,"")</f>
        <v/>
      </c>
    </row>
    <row r="783" hidden="1" s="27">
      <c r="A783" s="47" t="inlineStr">
        <is>
          <t>KT스카이라이프</t>
        </is>
      </c>
      <c r="B783" s="47" t="inlineStr">
        <is>
          <t>모두 충분 100GB+(모아진)</t>
        </is>
      </c>
      <c r="C783" s="47" t="inlineStr">
        <is>
          <t>무제한</t>
        </is>
      </c>
      <c r="D783" s="47" t="inlineStr">
        <is>
          <t>무제한</t>
        </is>
      </c>
      <c r="E783" s="47" t="inlineStr">
        <is>
          <t>월 100GB + 5Mbps</t>
        </is>
      </c>
      <c r="F783" s="47" t="inlineStr">
        <is>
          <t>KT</t>
        </is>
      </c>
      <c r="G783" s="47" t="inlineStr">
        <is>
          <t>LTE</t>
        </is>
      </c>
      <c r="H783" s="48" t="n">
        <v>39400</v>
      </c>
      <c r="I783" s="48" t="n"/>
      <c r="J783" s="48" t="n"/>
      <c r="K783" s="47">
        <f t="array" ref="K783">_xlfn.XLOOKUP(1,(참조!$B$2:$B$15=E783)*(참조!$D$2:$D$15=C783)*(참조!$E$2:$E$15=D783),참조!$C$2:$C$15,"")</f>
        <v/>
      </c>
    </row>
    <row r="784" hidden="1" s="27">
      <c r="A784" s="47" t="inlineStr">
        <is>
          <t>U+유모바일</t>
        </is>
      </c>
      <c r="B784" s="47" t="inlineStr">
        <is>
          <t>[평생할인] 5G 4GB/통화기본</t>
        </is>
      </c>
      <c r="C784" s="47" t="inlineStr">
        <is>
          <t>무제한</t>
        </is>
      </c>
      <c r="D784" s="47" t="inlineStr">
        <is>
          <t>무제한</t>
        </is>
      </c>
      <c r="E784" s="47" t="inlineStr">
        <is>
          <t>월 4GB</t>
        </is>
      </c>
      <c r="F784" s="47" t="inlineStr">
        <is>
          <t>LG U+</t>
        </is>
      </c>
      <c r="G784" s="47" t="inlineStr">
        <is>
          <t>5G</t>
        </is>
      </c>
      <c r="H784" s="48" t="n">
        <v>7800</v>
      </c>
      <c r="I784" s="48" t="n"/>
      <c r="J784" s="48" t="n"/>
      <c r="K784" s="47">
        <f t="array" ref="K784">_xlfn.XLOOKUP(1,(참조!$B$2:$B$15=E784)*(참조!$D$2:$D$15=C784)*(참조!$E$2:$E$15=D784),참조!$C$2:$C$15,"")</f>
        <v/>
      </c>
    </row>
    <row r="785" hidden="1" s="27">
      <c r="A785" s="47" t="inlineStr">
        <is>
          <t>티플러스</t>
        </is>
      </c>
      <c r="B785" s="47" t="inlineStr">
        <is>
          <t>The 완전마음껏 100G+(스타벅스 매월 5000P)</t>
        </is>
      </c>
      <c r="C785" s="47" t="inlineStr">
        <is>
          <t>무제한</t>
        </is>
      </c>
      <c r="D785" s="47" t="inlineStr">
        <is>
          <t>무제한</t>
        </is>
      </c>
      <c r="E785" s="47" t="inlineStr">
        <is>
          <t>월 100GB + 5Mbps</t>
        </is>
      </c>
      <c r="F785" s="47" t="inlineStr">
        <is>
          <t>LG U+</t>
        </is>
      </c>
      <c r="G785" s="47" t="inlineStr">
        <is>
          <t>LTE</t>
        </is>
      </c>
      <c r="H785" s="48" t="n">
        <v>30900</v>
      </c>
      <c r="I785" s="48" t="n">
        <v>24</v>
      </c>
      <c r="J785" s="48" t="n">
        <v>52800</v>
      </c>
      <c r="K785" s="47">
        <f t="array" ref="K785">_xlfn.XLOOKUP(1,(참조!$B$2:$B$15=E785)*(참조!$D$2:$D$15=C785)*(참조!$E$2:$E$15=D785),참조!$C$2:$C$15,"")</f>
        <v/>
      </c>
    </row>
    <row r="786" hidden="1" s="27">
      <c r="A786" s="47" t="inlineStr">
        <is>
          <t>티플러스</t>
        </is>
      </c>
      <c r="B786" s="47" t="inlineStr">
        <is>
          <t>티플 외국인 7GB＋3Mbps</t>
        </is>
      </c>
      <c r="C786" s="47" t="inlineStr">
        <is>
          <t>500분</t>
        </is>
      </c>
      <c r="D786" s="47" t="inlineStr">
        <is>
          <t>500건</t>
        </is>
      </c>
      <c r="E786" s="47" t="inlineStr">
        <is>
          <t>월 7GB + 3Mbps</t>
        </is>
      </c>
      <c r="F786" s="47" t="inlineStr">
        <is>
          <t>LG U+</t>
        </is>
      </c>
      <c r="G786" s="47" t="inlineStr">
        <is>
          <t>LTE</t>
        </is>
      </c>
      <c r="H786" s="48" t="n">
        <v>3900</v>
      </c>
      <c r="I786" s="48" t="n">
        <v>7</v>
      </c>
      <c r="J786" s="48" t="n">
        <v>29700</v>
      </c>
      <c r="K786" s="47">
        <f t="array" ref="K786">_xlfn.XLOOKUP(1,(참조!$B$2:$B$15=E786)*(참조!$D$2:$D$15=C786)*(참조!$E$2:$E$15=D786),참조!$C$2:$C$15,"")</f>
        <v/>
      </c>
    </row>
    <row r="787" hidden="1" s="27">
      <c r="A787" s="47" t="inlineStr">
        <is>
          <t>고고모바일</t>
        </is>
      </c>
      <c r="B787" s="47" t="inlineStr">
        <is>
          <t>LTE무제한 15GB+1M(CU20%할인)</t>
        </is>
      </c>
      <c r="C787" s="47" t="inlineStr">
        <is>
          <t>무제한</t>
        </is>
      </c>
      <c r="D787" s="47" t="inlineStr">
        <is>
          <t>무제한</t>
        </is>
      </c>
      <c r="E787" s="47" t="inlineStr">
        <is>
          <t>월 15GB + 1Mbps</t>
        </is>
      </c>
      <c r="F787" s="47" t="inlineStr">
        <is>
          <t>KT</t>
        </is>
      </c>
      <c r="G787" s="47" t="inlineStr">
        <is>
          <t>LTE</t>
        </is>
      </c>
      <c r="H787" s="48" t="n">
        <v>24310</v>
      </c>
      <c r="I787" s="48" t="n"/>
      <c r="J787" s="48" t="n"/>
      <c r="K787" s="47">
        <f t="array" ref="K787">_xlfn.XLOOKUP(1,(참조!$B$2:$B$15=E787)*(참조!$D$2:$D$15=C787)*(참조!$E$2:$E$15=D787),참조!$C$2:$C$15,"")</f>
        <v/>
      </c>
    </row>
    <row r="788" hidden="1" s="27">
      <c r="A788" s="47" t="inlineStr">
        <is>
          <t>KT스카이라이프</t>
        </is>
      </c>
      <c r="B788" s="47" t="inlineStr">
        <is>
          <t>모두 충분 11GB+(모아진)</t>
        </is>
      </c>
      <c r="C788" s="47" t="inlineStr">
        <is>
          <t>무제한</t>
        </is>
      </c>
      <c r="D788" s="47" t="inlineStr">
        <is>
          <t>무제한</t>
        </is>
      </c>
      <c r="E788" s="47" t="inlineStr">
        <is>
          <t>월 11GB + 매일 2GB + 3Mbps</t>
        </is>
      </c>
      <c r="F788" s="47" t="inlineStr">
        <is>
          <t>KT</t>
        </is>
      </c>
      <c r="G788" s="47" t="inlineStr">
        <is>
          <t>LTE</t>
        </is>
      </c>
      <c r="H788" s="48" t="n">
        <v>34200</v>
      </c>
      <c r="I788" s="48" t="n"/>
      <c r="J788" s="48" t="n"/>
      <c r="K788" s="47">
        <f t="array" ref="K788">_xlfn.XLOOKUP(1,(참조!$B$2:$B$15=E788)*(참조!$D$2:$D$15=C788)*(참조!$E$2:$E$15=D788),참조!$C$2:$C$15,"")</f>
        <v/>
      </c>
    </row>
    <row r="789" hidden="1" s="27">
      <c r="A789" s="47" t="inlineStr">
        <is>
          <t>모빙</t>
        </is>
      </c>
      <c r="B789" s="47" t="inlineStr">
        <is>
          <t>[L] 5G 데이터 4.5GB+</t>
        </is>
      </c>
      <c r="C789" s="47" t="inlineStr">
        <is>
          <t>무제한</t>
        </is>
      </c>
      <c r="D789" s="47" t="inlineStr">
        <is>
          <t>100건</t>
        </is>
      </c>
      <c r="E789" s="47" t="inlineStr">
        <is>
          <t>월 4.5GB + 1Mbps</t>
        </is>
      </c>
      <c r="F789" s="47" t="inlineStr">
        <is>
          <t>LG U+</t>
        </is>
      </c>
      <c r="G789" s="47" t="inlineStr">
        <is>
          <t>5G</t>
        </is>
      </c>
      <c r="H789" s="48" t="n">
        <v>10</v>
      </c>
      <c r="I789" s="48" t="n">
        <v>6</v>
      </c>
      <c r="J789" s="48" t="n">
        <v>18000</v>
      </c>
      <c r="K789" s="47">
        <f t="array" ref="K789">_xlfn.XLOOKUP(1,(참조!$B$2:$B$15=E789)*(참조!$D$2:$D$15=C789)*(참조!$E$2:$E$15=D789),참조!$C$2:$C$15,"")</f>
        <v/>
      </c>
    </row>
    <row r="790" hidden="1" s="27">
      <c r="A790" s="47" t="inlineStr">
        <is>
          <t>아이즈모바일</t>
        </is>
      </c>
      <c r="B790" s="47" t="inlineStr">
        <is>
          <t>아이즈 100분 10GB</t>
        </is>
      </c>
      <c r="C790" s="47" t="inlineStr">
        <is>
          <t>100분</t>
        </is>
      </c>
      <c r="D790" s="47" t="inlineStr">
        <is>
          <t>100건</t>
        </is>
      </c>
      <c r="E790" s="47" t="inlineStr">
        <is>
          <t>월 10GB</t>
        </is>
      </c>
      <c r="F790" s="47" t="inlineStr">
        <is>
          <t>KT</t>
        </is>
      </c>
      <c r="G790" s="47" t="inlineStr">
        <is>
          <t>LTE</t>
        </is>
      </c>
      <c r="H790" s="48" t="n">
        <v>10</v>
      </c>
      <c r="I790" s="48" t="n">
        <v>7</v>
      </c>
      <c r="J790" s="48" t="n">
        <v>14300</v>
      </c>
      <c r="K790" s="47">
        <f t="array" ref="K790">_xlfn.XLOOKUP(1,(참조!$B$2:$B$15=E790)*(참조!$D$2:$D$15=C790)*(참조!$E$2:$E$15=D790),참조!$C$2:$C$15,"")</f>
        <v/>
      </c>
    </row>
    <row r="791" hidden="1" s="27">
      <c r="A791" s="47" t="inlineStr">
        <is>
          <t>슈가모바일</t>
        </is>
      </c>
      <c r="B791" s="47" t="inlineStr">
        <is>
          <t>5G Sugar 실속(300분/5GB)</t>
        </is>
      </c>
      <c r="C791" s="47" t="inlineStr">
        <is>
          <t>300분</t>
        </is>
      </c>
      <c r="D791" s="47" t="inlineStr">
        <is>
          <t>200건</t>
        </is>
      </c>
      <c r="E791" s="47" t="inlineStr">
        <is>
          <t>월 5GB</t>
        </is>
      </c>
      <c r="F791" s="47" t="inlineStr">
        <is>
          <t>LG U+</t>
        </is>
      </c>
      <c r="G791" s="47" t="inlineStr">
        <is>
          <t>5G</t>
        </is>
      </c>
      <c r="H791" s="48" t="n">
        <v>3300</v>
      </c>
      <c r="I791" s="48" t="n"/>
      <c r="J791" s="48" t="n"/>
      <c r="K791" s="47">
        <f t="array" ref="K791">_xlfn.XLOOKUP(1,(참조!$B$2:$B$15=E791)*(참조!$D$2:$D$15=C791)*(참조!$E$2:$E$15=D791),참조!$C$2:$C$15,"")</f>
        <v/>
      </c>
    </row>
    <row r="792" hidden="1" s="27">
      <c r="A792" s="47" t="inlineStr">
        <is>
          <t>KT스카이라이프</t>
        </is>
      </c>
      <c r="B792" s="47" t="inlineStr">
        <is>
          <t>통화 충분 2.5GB</t>
        </is>
      </c>
      <c r="C792" s="47" t="inlineStr">
        <is>
          <t>무제한</t>
        </is>
      </c>
      <c r="D792" s="47" t="inlineStr">
        <is>
          <t>무제한</t>
        </is>
      </c>
      <c r="E792" s="47" t="inlineStr">
        <is>
          <t>월 2.5GB</t>
        </is>
      </c>
      <c r="F792" s="47" t="inlineStr">
        <is>
          <t>KT</t>
        </is>
      </c>
      <c r="G792" s="47" t="inlineStr">
        <is>
          <t>LTE</t>
        </is>
      </c>
      <c r="H792" s="48" t="n">
        <v>7700</v>
      </c>
      <c r="I792" s="48" t="n"/>
      <c r="J792" s="48" t="n"/>
      <c r="K792" s="47">
        <f t="array" ref="K792">_xlfn.XLOOKUP(1,(참조!$B$2:$B$15=E792)*(참조!$D$2:$D$15=C792)*(참조!$E$2:$E$15=D792),참조!$C$2:$C$15,"")</f>
        <v/>
      </c>
    </row>
    <row r="793" hidden="1" s="27">
      <c r="A793" s="47" t="inlineStr">
        <is>
          <t>더원모바일</t>
        </is>
      </c>
      <c r="B793" s="47" t="inlineStr">
        <is>
          <t>TOP 7GB 기본 (올리브영)</t>
        </is>
      </c>
      <c r="C793" s="47" t="inlineStr">
        <is>
          <t>무제한</t>
        </is>
      </c>
      <c r="D793" s="47" t="inlineStr">
        <is>
          <t>무제한</t>
        </is>
      </c>
      <c r="E793" s="47" t="inlineStr">
        <is>
          <t>월 7GB + 1Mbps</t>
        </is>
      </c>
      <c r="F793" s="47" t="inlineStr">
        <is>
          <t>KT</t>
        </is>
      </c>
      <c r="G793" s="47" t="inlineStr">
        <is>
          <t>LTE</t>
        </is>
      </c>
      <c r="H793" s="48" t="n">
        <v>4400</v>
      </c>
      <c r="I793" s="48" t="n">
        <v>7</v>
      </c>
      <c r="J793" s="48" t="n">
        <v>26400</v>
      </c>
      <c r="K793" s="47">
        <f t="array" ref="K793">_xlfn.XLOOKUP(1,(참조!$B$2:$B$15=E793)*(참조!$D$2:$D$15=C793)*(참조!$E$2:$E$15=D793),참조!$C$2:$C$15,"")</f>
        <v/>
      </c>
    </row>
    <row r="794" hidden="1" s="27">
      <c r="A794" s="47" t="inlineStr">
        <is>
          <t>티플러스</t>
        </is>
      </c>
      <c r="B794" s="47" t="inlineStr">
        <is>
          <t>티플 7GB+(이디야커피)</t>
        </is>
      </c>
      <c r="C794" s="47" t="inlineStr">
        <is>
          <t>무제한</t>
        </is>
      </c>
      <c r="D794" s="47" t="inlineStr">
        <is>
          <t>무제한</t>
        </is>
      </c>
      <c r="E794" s="47" t="inlineStr">
        <is>
          <t>월 7GB + 1Mbps</t>
        </is>
      </c>
      <c r="F794" s="47" t="inlineStr">
        <is>
          <t>SKT</t>
        </is>
      </c>
      <c r="G794" s="47" t="inlineStr">
        <is>
          <t>LTE</t>
        </is>
      </c>
      <c r="H794" s="48" t="n">
        <v>3900</v>
      </c>
      <c r="I794" s="48" t="n">
        <v>7</v>
      </c>
      <c r="J794" s="48" t="n">
        <v>29700</v>
      </c>
      <c r="K794" s="47">
        <f t="array" ref="K794">_xlfn.XLOOKUP(1,(참조!$B$2:$B$15=E794)*(참조!$D$2:$D$15=C794)*(참조!$E$2:$E$15=D794),참조!$C$2:$C$15,"")</f>
        <v/>
      </c>
    </row>
    <row r="795" hidden="1" s="27">
      <c r="A795" s="47" t="inlineStr">
        <is>
          <t>스마텔</t>
        </is>
      </c>
      <c r="B795" s="47" t="inlineStr">
        <is>
          <t>스마트 300분/15GB+ (24개월)</t>
        </is>
      </c>
      <c r="C795" s="47" t="inlineStr">
        <is>
          <t>300분</t>
        </is>
      </c>
      <c r="D795" s="47" t="inlineStr">
        <is>
          <t>300건</t>
        </is>
      </c>
      <c r="E795" s="47" t="inlineStr">
        <is>
          <t>월 15GB + 3Mbps</t>
        </is>
      </c>
      <c r="F795" s="47" t="inlineStr">
        <is>
          <t>LG U+</t>
        </is>
      </c>
      <c r="G795" s="47" t="inlineStr">
        <is>
          <t>LTE</t>
        </is>
      </c>
      <c r="H795" s="48" t="n">
        <v>23000</v>
      </c>
      <c r="I795" s="48" t="n">
        <v>24</v>
      </c>
      <c r="J795" s="48" t="n">
        <v>34100</v>
      </c>
      <c r="K795" s="47">
        <f t="array" ref="K795">_xlfn.XLOOKUP(1,(참조!$B$2:$B$15=E795)*(참조!$D$2:$D$15=C795)*(참조!$E$2:$E$15=D795),참조!$C$2:$C$15,"")</f>
        <v/>
      </c>
    </row>
    <row r="796" hidden="1" s="27">
      <c r="A796" s="47" t="inlineStr">
        <is>
          <t>이지모바일</t>
        </is>
      </c>
      <c r="B796" s="47" t="inlineStr">
        <is>
          <t>이지 무한 71GB+3</t>
        </is>
      </c>
      <c r="C796" s="47" t="inlineStr">
        <is>
          <t>무제한</t>
        </is>
      </c>
      <c r="D796" s="47" t="inlineStr">
        <is>
          <t>무제한</t>
        </is>
      </c>
      <c r="E796" s="47" t="inlineStr">
        <is>
          <t>월 11GB + 매일 2GB + 3Mbps</t>
        </is>
      </c>
      <c r="F796" s="47" t="inlineStr">
        <is>
          <t>LG U+</t>
        </is>
      </c>
      <c r="G796" s="47" t="inlineStr">
        <is>
          <t>LTE</t>
        </is>
      </c>
      <c r="H796" s="48" t="n">
        <v>14850</v>
      </c>
      <c r="I796" s="48" t="n">
        <v>7</v>
      </c>
      <c r="J796" s="48" t="n">
        <v>39600</v>
      </c>
      <c r="K796" s="47">
        <f t="array" ref="K796">_xlfn.XLOOKUP(1,(참조!$B$2:$B$15=E796)*(참조!$D$2:$D$15=C796)*(참조!$E$2:$E$15=D796),참조!$C$2:$C$15,"")</f>
        <v/>
      </c>
    </row>
    <row r="797" hidden="1" s="27">
      <c r="A797" s="47" t="inlineStr">
        <is>
          <t>U+유모바일</t>
        </is>
      </c>
      <c r="B797" s="47" t="inlineStr">
        <is>
          <t>[평생할인] 5G 5GB/200분</t>
        </is>
      </c>
      <c r="C797" s="47" t="inlineStr">
        <is>
          <t>200분</t>
        </is>
      </c>
      <c r="D797" s="47" t="inlineStr">
        <is>
          <t>100건</t>
        </is>
      </c>
      <c r="E797" s="47" t="inlineStr">
        <is>
          <t>월 5GB</t>
        </is>
      </c>
      <c r="F797" s="47" t="inlineStr">
        <is>
          <t>LG U+</t>
        </is>
      </c>
      <c r="G797" s="47" t="inlineStr">
        <is>
          <t>5G</t>
        </is>
      </c>
      <c r="H797" s="48" t="n">
        <v>7900</v>
      </c>
      <c r="I797" s="48" t="n"/>
      <c r="J797" s="48" t="n"/>
      <c r="K797" s="47">
        <f t="array" ref="K797">_xlfn.XLOOKUP(1,(참조!$B$2:$B$15=E797)*(참조!$D$2:$D$15=C797)*(참조!$E$2:$E$15=D797),참조!$C$2:$C$15,"")</f>
        <v/>
      </c>
    </row>
    <row r="798" hidden="1" s="27">
      <c r="A798" s="47" t="inlineStr">
        <is>
          <t>티플러스</t>
        </is>
      </c>
      <c r="B798" s="47" t="inlineStr">
        <is>
          <t>The 완전마음껏7G+(다이소 매월 5000P)</t>
        </is>
      </c>
      <c r="C798" s="47" t="inlineStr">
        <is>
          <t>무제한</t>
        </is>
      </c>
      <c r="D798" s="47" t="inlineStr">
        <is>
          <t>무제한</t>
        </is>
      </c>
      <c r="E798" s="47" t="inlineStr">
        <is>
          <t>월 7GB + 1Mbps</t>
        </is>
      </c>
      <c r="F798" s="47" t="inlineStr">
        <is>
          <t>LG U+</t>
        </is>
      </c>
      <c r="G798" s="47" t="inlineStr">
        <is>
          <t>LTE</t>
        </is>
      </c>
      <c r="H798" s="48" t="n">
        <v>13900</v>
      </c>
      <c r="I798" s="48" t="n">
        <v>24</v>
      </c>
      <c r="J798" s="48" t="n">
        <v>22000</v>
      </c>
      <c r="K798" s="47">
        <f t="array" ref="K798">_xlfn.XLOOKUP(1,(참조!$B$2:$B$15=E798)*(참조!$D$2:$D$15=C798)*(참조!$E$2:$E$15=D798),참조!$C$2:$C$15,"")</f>
        <v/>
      </c>
    </row>
    <row r="799" hidden="1" s="27">
      <c r="A799" s="47" t="inlineStr">
        <is>
          <t>티플러스</t>
        </is>
      </c>
      <c r="B799" s="47" t="inlineStr">
        <is>
          <t>The 마음껏 매일5G+(다이소 매월 5000P)</t>
        </is>
      </c>
      <c r="C799" s="47" t="inlineStr">
        <is>
          <t>무제한</t>
        </is>
      </c>
      <c r="D799" s="47" t="inlineStr">
        <is>
          <t>무제한</t>
        </is>
      </c>
      <c r="E799" s="47" t="inlineStr">
        <is>
          <t>매일 5GB + 5Mbps</t>
        </is>
      </c>
      <c r="F799" s="47" t="inlineStr">
        <is>
          <t>LG U+</t>
        </is>
      </c>
      <c r="G799" s="47" t="inlineStr">
        <is>
          <t>LTE</t>
        </is>
      </c>
      <c r="H799" s="48" t="n">
        <v>30900</v>
      </c>
      <c r="I799" s="48" t="n">
        <v>24</v>
      </c>
      <c r="J799" s="48" t="n">
        <v>46200</v>
      </c>
      <c r="K799" s="47">
        <f t="array" ref="K799">_xlfn.XLOOKUP(1,(참조!$B$2:$B$15=E799)*(참조!$D$2:$D$15=C799)*(참조!$E$2:$E$15=D799),참조!$C$2:$C$15,"")</f>
        <v/>
      </c>
    </row>
    <row r="800" hidden="1" s="27">
      <c r="A800" s="47" t="inlineStr">
        <is>
          <t>티플러스</t>
        </is>
      </c>
      <c r="B800" s="47" t="inlineStr">
        <is>
          <t>티플 올리브영 15GB+(100분)(매월 5000P)</t>
        </is>
      </c>
      <c r="C800" s="47" t="inlineStr">
        <is>
          <t>100분</t>
        </is>
      </c>
      <c r="D800" s="47" t="inlineStr">
        <is>
          <t>100건</t>
        </is>
      </c>
      <c r="E800" s="47" t="inlineStr">
        <is>
          <t>월 15GB + 3Mbps</t>
        </is>
      </c>
      <c r="F800" s="47" t="inlineStr">
        <is>
          <t>SKT</t>
        </is>
      </c>
      <c r="G800" s="47" t="inlineStr">
        <is>
          <t>LTE</t>
        </is>
      </c>
      <c r="H800" s="48" t="n">
        <v>8900</v>
      </c>
      <c r="I800" s="48" t="n">
        <v>7</v>
      </c>
      <c r="J800" s="48" t="n">
        <v>35200</v>
      </c>
      <c r="K800" s="47">
        <f t="array" ref="K800">_xlfn.XLOOKUP(1,(참조!$B$2:$B$15=E800)*(참조!$D$2:$D$15=C800)*(참조!$E$2:$E$15=D800),참조!$C$2:$C$15,"")</f>
        <v/>
      </c>
    </row>
    <row r="801" hidden="1" s="27">
      <c r="A801" s="47" t="inlineStr">
        <is>
          <t>티플러스</t>
        </is>
      </c>
      <c r="B801" s="47" t="inlineStr">
        <is>
          <t>The 완전마음껏7G＋(올리브영 매월 5000P)</t>
        </is>
      </c>
      <c r="C801" s="47" t="inlineStr">
        <is>
          <t>무제한</t>
        </is>
      </c>
      <c r="D801" s="47" t="inlineStr">
        <is>
          <t>무제한</t>
        </is>
      </c>
      <c r="E801" s="47" t="inlineStr">
        <is>
          <t>월 7GB + 1Mbps</t>
        </is>
      </c>
      <c r="F801" s="47" t="inlineStr">
        <is>
          <t>LG U+</t>
        </is>
      </c>
      <c r="G801" s="47" t="inlineStr">
        <is>
          <t>LTE</t>
        </is>
      </c>
      <c r="H801" s="48" t="n">
        <v>14900</v>
      </c>
      <c r="I801" s="48" t="n">
        <v>24</v>
      </c>
      <c r="J801" s="48" t="n">
        <v>22000</v>
      </c>
      <c r="K801" s="47">
        <f t="array" ref="K801">_xlfn.XLOOKUP(1,(참조!$B$2:$B$15=E801)*(참조!$D$2:$D$15=C801)*(참조!$E$2:$E$15=D801),참조!$C$2:$C$15,"")</f>
        <v/>
      </c>
    </row>
    <row r="802" hidden="1" s="27">
      <c r="A802" s="47" t="inlineStr">
        <is>
          <t>핀다이렉트</t>
        </is>
      </c>
      <c r="B802" s="47" t="inlineStr">
        <is>
          <t>[L] 핀다이렉트Z Speed 150GB+</t>
        </is>
      </c>
      <c r="C802" s="47" t="inlineStr">
        <is>
          <t>무제한</t>
        </is>
      </c>
      <c r="D802" s="47" t="inlineStr">
        <is>
          <t>무제한</t>
        </is>
      </c>
      <c r="E802" s="47" t="inlineStr">
        <is>
          <t>월 150GB + 5Mbps</t>
        </is>
      </c>
      <c r="F802" s="47" t="inlineStr">
        <is>
          <t>LG U+</t>
        </is>
      </c>
      <c r="G802" s="47" t="inlineStr">
        <is>
          <t>5G</t>
        </is>
      </c>
      <c r="H802" s="48" t="n">
        <v>18000</v>
      </c>
      <c r="I802" s="48" t="n">
        <v>7</v>
      </c>
      <c r="J802" s="48" t="n">
        <v>51700</v>
      </c>
      <c r="K802" s="47">
        <f t="array" ref="K802">_xlfn.XLOOKUP(1,(참조!$B$2:$B$15=E802)*(참조!$D$2:$D$15=C802)*(참조!$E$2:$E$15=D802),참조!$C$2:$C$15,"")</f>
        <v/>
      </c>
    </row>
    <row r="803" hidden="1" s="27">
      <c r="A803" s="47" t="inlineStr">
        <is>
          <t>티플러스</t>
        </is>
      </c>
      <c r="B803" s="47" t="inlineStr">
        <is>
          <t>The 완전마음껏 100G+(카톡 이모티콘+예스24e북)</t>
        </is>
      </c>
      <c r="C803" s="47" t="inlineStr">
        <is>
          <t>무제한</t>
        </is>
      </c>
      <c r="D803" s="47" t="inlineStr">
        <is>
          <t>무제한</t>
        </is>
      </c>
      <c r="E803" s="47" t="inlineStr">
        <is>
          <t>월 100GB + 5Mbps</t>
        </is>
      </c>
      <c r="F803" s="47" t="inlineStr">
        <is>
          <t>LG U+</t>
        </is>
      </c>
      <c r="G803" s="47" t="inlineStr">
        <is>
          <t>LTE</t>
        </is>
      </c>
      <c r="H803" s="48" t="n">
        <v>30900</v>
      </c>
      <c r="I803" s="48" t="n">
        <v>24</v>
      </c>
      <c r="J803" s="48" t="n">
        <v>52800</v>
      </c>
      <c r="K803" s="47">
        <f t="array" ref="K803">_xlfn.XLOOKUP(1,(참조!$B$2:$B$15=E803)*(참조!$D$2:$D$15=C803)*(참조!$E$2:$E$15=D803),참조!$C$2:$C$15,"")</f>
        <v/>
      </c>
    </row>
    <row r="804" hidden="1" s="27">
      <c r="A804" s="47" t="inlineStr">
        <is>
          <t>티플러스</t>
        </is>
      </c>
      <c r="B804" s="47" t="inlineStr">
        <is>
          <t>The 완전마음껏7G＋(스타벅스 매월 5000P)</t>
        </is>
      </c>
      <c r="C804" s="47" t="inlineStr">
        <is>
          <t>무제한</t>
        </is>
      </c>
      <c r="D804" s="47" t="inlineStr">
        <is>
          <t>무제한</t>
        </is>
      </c>
      <c r="E804" s="47" t="inlineStr">
        <is>
          <t>월 7GB + 1Mbps</t>
        </is>
      </c>
      <c r="F804" s="47" t="inlineStr">
        <is>
          <t>LG U+</t>
        </is>
      </c>
      <c r="G804" s="47" t="inlineStr">
        <is>
          <t>LTE</t>
        </is>
      </c>
      <c r="H804" s="48" t="n">
        <v>14900</v>
      </c>
      <c r="I804" s="48" t="n">
        <v>24</v>
      </c>
      <c r="J804" s="48" t="n">
        <v>22000</v>
      </c>
      <c r="K804" s="47">
        <f t="array" ref="K804">_xlfn.XLOOKUP(1,(참조!$B$2:$B$15=E804)*(참조!$D$2:$D$15=C804)*(참조!$E$2:$E$15=D804),참조!$C$2:$C$15,"")</f>
        <v/>
      </c>
    </row>
    <row r="805" hidden="1" s="27">
      <c r="A805" s="47" t="inlineStr">
        <is>
          <t>티플러스</t>
        </is>
      </c>
      <c r="B805" s="47" t="inlineStr">
        <is>
          <t>The 완전마음껏7G+(컬쳐랜드 문화상품권 매월 5000P)</t>
        </is>
      </c>
      <c r="C805" s="47" t="inlineStr">
        <is>
          <t>무제한</t>
        </is>
      </c>
      <c r="D805" s="47" t="inlineStr">
        <is>
          <t>무제한</t>
        </is>
      </c>
      <c r="E805" s="47" t="inlineStr">
        <is>
          <t>월 7GB + 1Mbps</t>
        </is>
      </c>
      <c r="F805" s="47" t="inlineStr">
        <is>
          <t>LG U+</t>
        </is>
      </c>
      <c r="G805" s="47" t="inlineStr">
        <is>
          <t>LTE</t>
        </is>
      </c>
      <c r="H805" s="48" t="n">
        <v>14900</v>
      </c>
      <c r="I805" s="48" t="n">
        <v>24</v>
      </c>
      <c r="J805" s="48" t="n">
        <v>22000</v>
      </c>
      <c r="K805" s="47">
        <f t="array" ref="K805">_xlfn.XLOOKUP(1,(참조!$B$2:$B$15=E805)*(참조!$D$2:$D$15=C805)*(참조!$E$2:$E$15=D805),참조!$C$2:$C$15,"")</f>
        <v/>
      </c>
    </row>
    <row r="806" hidden="1" s="27">
      <c r="A806" s="47" t="inlineStr">
        <is>
          <t>모빙</t>
        </is>
      </c>
      <c r="B806" s="47" t="inlineStr">
        <is>
          <t>[L] 5G 300분15GB</t>
        </is>
      </c>
      <c r="C806" s="47" t="inlineStr">
        <is>
          <t>300분</t>
        </is>
      </c>
      <c r="D806" s="47" t="inlineStr">
        <is>
          <t>300건</t>
        </is>
      </c>
      <c r="E806" s="47" t="inlineStr">
        <is>
          <t>월 15GB</t>
        </is>
      </c>
      <c r="F806" s="47" t="inlineStr">
        <is>
          <t>LG U+</t>
        </is>
      </c>
      <c r="G806" s="47" t="inlineStr">
        <is>
          <t>5G</t>
        </is>
      </c>
      <c r="H806" s="48" t="n">
        <v>10</v>
      </c>
      <c r="I806" s="48" t="n">
        <v>6</v>
      </c>
      <c r="J806" s="48" t="n">
        <v>24200</v>
      </c>
      <c r="K806" s="47">
        <f t="array" ref="K806">_xlfn.XLOOKUP(1,(참조!$B$2:$B$15=E806)*(참조!$D$2:$D$15=C806)*(참조!$E$2:$E$15=D806),참조!$C$2:$C$15,"")</f>
        <v/>
      </c>
    </row>
    <row r="807" hidden="1" s="27">
      <c r="A807" s="47" t="inlineStr">
        <is>
          <t>아이즈모바일</t>
        </is>
      </c>
      <c r="B807" s="47" t="inlineStr">
        <is>
          <t>[S]음성자유/5GB</t>
        </is>
      </c>
      <c r="C807" s="47" t="inlineStr">
        <is>
          <t>무제한</t>
        </is>
      </c>
      <c r="D807" s="47" t="inlineStr">
        <is>
          <t>100건</t>
        </is>
      </c>
      <c r="E807" s="47" t="inlineStr">
        <is>
          <t>월 5GB</t>
        </is>
      </c>
      <c r="F807" s="47" t="inlineStr">
        <is>
          <t>SKT</t>
        </is>
      </c>
      <c r="G807" s="47" t="inlineStr">
        <is>
          <t>LTE</t>
        </is>
      </c>
      <c r="H807" s="48" t="n">
        <v>2390</v>
      </c>
      <c r="I807" s="48" t="n"/>
      <c r="J807" s="48" t="n"/>
      <c r="K807" s="47">
        <f t="array" ref="K807">_xlfn.XLOOKUP(1,(참조!$B$2:$B$15=E807)*(참조!$D$2:$D$15=C807)*(참조!$E$2:$E$15=D807),참조!$C$2:$C$15,"")</f>
        <v/>
      </c>
    </row>
    <row r="808" hidden="1" s="27">
      <c r="A808" s="47" t="inlineStr">
        <is>
          <t>이야기모바일</t>
        </is>
      </c>
      <c r="B808" s="47" t="inlineStr">
        <is>
          <t>내맘대로S(300+1GB)</t>
        </is>
      </c>
      <c r="C808" s="47" t="inlineStr">
        <is>
          <t>300분</t>
        </is>
      </c>
      <c r="D808" s="47" t="inlineStr">
        <is>
          <t>300건</t>
        </is>
      </c>
      <c r="E808" s="47" t="inlineStr">
        <is>
          <t>월 1GB</t>
        </is>
      </c>
      <c r="F808" s="47" t="inlineStr">
        <is>
          <t>SKT</t>
        </is>
      </c>
      <c r="G808" s="47" t="inlineStr">
        <is>
          <t>LTE</t>
        </is>
      </c>
      <c r="H808" s="48" t="n">
        <v>3300</v>
      </c>
      <c r="I808" s="48" t="n">
        <v>24</v>
      </c>
      <c r="J808" s="48" t="n">
        <v>4100</v>
      </c>
      <c r="K808" s="47">
        <f t="array" ref="K808">_xlfn.XLOOKUP(1,(참조!$B$2:$B$15=E808)*(참조!$D$2:$D$15=C808)*(참조!$E$2:$E$15=D808),참조!$C$2:$C$15,"")</f>
        <v/>
      </c>
    </row>
    <row r="809" hidden="1" s="27">
      <c r="A809" s="47" t="inlineStr">
        <is>
          <t>모빙</t>
        </is>
      </c>
      <c r="B809" s="47" t="inlineStr">
        <is>
          <t>모빙 300분15GB</t>
        </is>
      </c>
      <c r="C809" s="47" t="inlineStr">
        <is>
          <t>300분</t>
        </is>
      </c>
      <c r="D809" s="47" t="inlineStr">
        <is>
          <t>300건</t>
        </is>
      </c>
      <c r="E809" s="47" t="inlineStr">
        <is>
          <t>월 15GB</t>
        </is>
      </c>
      <c r="F809" s="47" t="inlineStr">
        <is>
          <t>SKT</t>
        </is>
      </c>
      <c r="G809" s="47" t="inlineStr">
        <is>
          <t>LTE</t>
        </is>
      </c>
      <c r="H809" s="48" t="n">
        <v>10</v>
      </c>
      <c r="I809" s="48" t="n">
        <v>7</v>
      </c>
      <c r="J809" s="48" t="n">
        <v>28600</v>
      </c>
      <c r="K809" s="47">
        <f t="array" ref="K809">_xlfn.XLOOKUP(1,(참조!$B$2:$B$15=E809)*(참조!$D$2:$D$15=C809)*(참조!$E$2:$E$15=D809),참조!$C$2:$C$15,"")</f>
        <v/>
      </c>
    </row>
    <row r="810" hidden="1" s="27">
      <c r="A810" s="47" t="inlineStr">
        <is>
          <t>티플러스</t>
        </is>
      </c>
      <c r="B810" s="47" t="inlineStr">
        <is>
          <t>The 완전마음껏 100G+(다이소 매월 5000P)</t>
        </is>
      </c>
      <c r="C810" s="47" t="inlineStr">
        <is>
          <t>무제한</t>
        </is>
      </c>
      <c r="D810" s="47" t="inlineStr">
        <is>
          <t>무제한</t>
        </is>
      </c>
      <c r="E810" s="47" t="inlineStr">
        <is>
          <t>월 100GB + 5Mbps</t>
        </is>
      </c>
      <c r="F810" s="47" t="inlineStr">
        <is>
          <t>LG U+</t>
        </is>
      </c>
      <c r="G810" s="47" t="inlineStr">
        <is>
          <t>LTE</t>
        </is>
      </c>
      <c r="H810" s="48" t="n">
        <v>30900</v>
      </c>
      <c r="I810" s="48" t="n">
        <v>24</v>
      </c>
      <c r="J810" s="48" t="n">
        <v>52800</v>
      </c>
      <c r="K810" s="47">
        <f t="array" ref="K810">_xlfn.XLOOKUP(1,(참조!$B$2:$B$15=E810)*(참조!$D$2:$D$15=C810)*(참조!$E$2:$E$15=D810),참조!$C$2:$C$15,"")</f>
        <v/>
      </c>
    </row>
    <row r="811" hidden="1" s="27">
      <c r="A811" s="47" t="inlineStr">
        <is>
          <t>티플러스</t>
        </is>
      </c>
      <c r="B811" s="47" t="inlineStr">
        <is>
          <t>티플 드림(1GB/200분)</t>
        </is>
      </c>
      <c r="C811" s="47" t="inlineStr">
        <is>
          <t>200분</t>
        </is>
      </c>
      <c r="D811" s="47" t="inlineStr">
        <is>
          <t>200건</t>
        </is>
      </c>
      <c r="E811" s="47" t="inlineStr">
        <is>
          <t>월 1GB</t>
        </is>
      </c>
      <c r="F811" s="47" t="inlineStr">
        <is>
          <t>SKT</t>
        </is>
      </c>
      <c r="G811" s="47" t="inlineStr">
        <is>
          <t>LTE</t>
        </is>
      </c>
      <c r="H811" s="48" t="n">
        <v>4950</v>
      </c>
      <c r="I811" s="48" t="n"/>
      <c r="J811" s="48" t="n"/>
      <c r="K811" s="47">
        <f t="array" ref="K811">_xlfn.XLOOKUP(1,(참조!$B$2:$B$15=E811)*(참조!$D$2:$D$15=C811)*(참조!$E$2:$E$15=D811),참조!$C$2:$C$15,"")</f>
        <v/>
      </c>
    </row>
    <row r="812" hidden="1" s="27">
      <c r="A812" s="47" t="inlineStr">
        <is>
          <t>티플러스</t>
        </is>
      </c>
      <c r="B812" s="47" t="inlineStr">
        <is>
          <t>티플 올리브영 15GB+(300분)(매월 5000P)</t>
        </is>
      </c>
      <c r="C812" s="47" t="inlineStr">
        <is>
          <t>300분</t>
        </is>
      </c>
      <c r="D812" s="47" t="inlineStr">
        <is>
          <t>300건</t>
        </is>
      </c>
      <c r="E812" s="47" t="inlineStr">
        <is>
          <t>월 15GB + 3Mbps</t>
        </is>
      </c>
      <c r="F812" s="47" t="inlineStr">
        <is>
          <t>SKT</t>
        </is>
      </c>
      <c r="G812" s="47" t="inlineStr">
        <is>
          <t>LTE</t>
        </is>
      </c>
      <c r="H812" s="48" t="n">
        <v>11900</v>
      </c>
      <c r="I812" s="48" t="n">
        <v>7</v>
      </c>
      <c r="J812" s="48" t="n">
        <v>38500</v>
      </c>
      <c r="K812" s="47">
        <f t="array" ref="K812">_xlfn.XLOOKUP(1,(참조!$B$2:$B$15=E812)*(참조!$D$2:$D$15=C812)*(참조!$E$2:$E$15=D812),참조!$C$2:$C$15,"")</f>
        <v/>
      </c>
    </row>
    <row r="813" hidden="1" s="27">
      <c r="A813" s="47" t="inlineStr">
        <is>
          <t>아이즈모바일</t>
        </is>
      </c>
      <c r="B813" s="47" t="inlineStr">
        <is>
          <t>아이즈 (10GB/400분)</t>
        </is>
      </c>
      <c r="C813" s="47" t="inlineStr">
        <is>
          <t>400분</t>
        </is>
      </c>
      <c r="D813" s="47" t="inlineStr">
        <is>
          <t>400건</t>
        </is>
      </c>
      <c r="E813" s="47" t="inlineStr">
        <is>
          <t>월 10GB</t>
        </is>
      </c>
      <c r="F813" s="47" t="inlineStr">
        <is>
          <t>SKT</t>
        </is>
      </c>
      <c r="G813" s="47" t="inlineStr">
        <is>
          <t>LTE</t>
        </is>
      </c>
      <c r="H813" s="48" t="n">
        <v>2900</v>
      </c>
      <c r="I813" s="48" t="n"/>
      <c r="J813" s="48" t="n"/>
      <c r="K813" s="47">
        <f t="array" ref="K813">_xlfn.XLOOKUP(1,(참조!$B$2:$B$15=E813)*(참조!$D$2:$D$15=C813)*(참조!$E$2:$E$15=D813),참조!$C$2:$C$15,"")</f>
        <v/>
      </c>
    </row>
    <row r="814" hidden="1" s="27">
      <c r="A814" s="47" t="inlineStr">
        <is>
          <t>더원모바일</t>
        </is>
      </c>
      <c r="B814" s="47" t="inlineStr">
        <is>
          <t>TOP 7GB 기본 (다이소)</t>
        </is>
      </c>
      <c r="C814" s="47" t="inlineStr">
        <is>
          <t>무제한</t>
        </is>
      </c>
      <c r="D814" s="47" t="inlineStr">
        <is>
          <t>무제한</t>
        </is>
      </c>
      <c r="E814" s="47" t="inlineStr">
        <is>
          <t>월 7GB + 1Mbps</t>
        </is>
      </c>
      <c r="F814" s="47" t="inlineStr">
        <is>
          <t>KT</t>
        </is>
      </c>
      <c r="G814" s="47" t="inlineStr">
        <is>
          <t>LTE</t>
        </is>
      </c>
      <c r="H814" s="48" t="n">
        <v>4400</v>
      </c>
      <c r="I814" s="48" t="n">
        <v>7</v>
      </c>
      <c r="J814" s="48" t="n">
        <v>26400</v>
      </c>
      <c r="K814" s="47">
        <f t="array" ref="K814">_xlfn.XLOOKUP(1,(참조!$B$2:$B$15=E814)*(참조!$D$2:$D$15=C814)*(참조!$E$2:$E$15=D814),참조!$C$2:$C$15,"")</f>
        <v/>
      </c>
    </row>
    <row r="815" hidden="1" s="27">
      <c r="A815" s="47" t="inlineStr">
        <is>
          <t>티플러스</t>
        </is>
      </c>
      <c r="B815" s="47" t="inlineStr">
        <is>
          <t>The 완전마음껏 100GB＋</t>
        </is>
      </c>
      <c r="C815" s="47" t="inlineStr">
        <is>
          <t>무제한</t>
        </is>
      </c>
      <c r="D815" s="47" t="inlineStr">
        <is>
          <t>무제한</t>
        </is>
      </c>
      <c r="E815" s="47" t="inlineStr">
        <is>
          <t>월 100GB + 5Mbps</t>
        </is>
      </c>
      <c r="F815" s="47" t="inlineStr">
        <is>
          <t>SKT</t>
        </is>
      </c>
      <c r="G815" s="47" t="inlineStr">
        <is>
          <t>LTE</t>
        </is>
      </c>
      <c r="H815" s="48" t="n">
        <v>18900</v>
      </c>
      <c r="I815" s="48" t="n">
        <v>7</v>
      </c>
      <c r="J815" s="48" t="n">
        <v>48400</v>
      </c>
      <c r="K815" s="47">
        <f t="array" ref="K815">_xlfn.XLOOKUP(1,(참조!$B$2:$B$15=E815)*(참조!$D$2:$D$15=C815)*(참조!$E$2:$E$15=D815),참조!$C$2:$C$15,"")</f>
        <v/>
      </c>
    </row>
    <row r="816" hidden="1" s="27">
      <c r="A816" s="47" t="inlineStr">
        <is>
          <t>핀다이렉트</t>
        </is>
      </c>
      <c r="B816" s="47" t="inlineStr">
        <is>
          <t>[L] 핀다이렉트Z Speed 95GB+</t>
        </is>
      </c>
      <c r="C816" s="47" t="inlineStr">
        <is>
          <t>무제한</t>
        </is>
      </c>
      <c r="D816" s="47" t="inlineStr">
        <is>
          <t>무제한</t>
        </is>
      </c>
      <c r="E816" s="47" t="inlineStr">
        <is>
          <t>월 95GB + 3Mbps</t>
        </is>
      </c>
      <c r="F816" s="47" t="inlineStr">
        <is>
          <t>LG U+</t>
        </is>
      </c>
      <c r="G816" s="47" t="inlineStr">
        <is>
          <t>5G</t>
        </is>
      </c>
      <c r="H816" s="48" t="n">
        <v>16000</v>
      </c>
      <c r="I816" s="48" t="n">
        <v>7</v>
      </c>
      <c r="J816" s="48" t="n">
        <v>45100</v>
      </c>
      <c r="K816" s="47">
        <f t="array" ref="K816">_xlfn.XLOOKUP(1,(참조!$B$2:$B$15=E816)*(참조!$D$2:$D$15=C816)*(참조!$E$2:$E$15=D816),참조!$C$2:$C$15,"")</f>
        <v/>
      </c>
    </row>
    <row r="817" hidden="1" s="27">
      <c r="A817" s="47" t="inlineStr">
        <is>
          <t>아이즈모바일</t>
        </is>
      </c>
      <c r="B817" s="47" t="inlineStr">
        <is>
          <t>[K]5G 울트라(100분/20GB)</t>
        </is>
      </c>
      <c r="C817" s="47" t="inlineStr">
        <is>
          <t>100분</t>
        </is>
      </c>
      <c r="D817" s="47" t="inlineStr">
        <is>
          <t>100건</t>
        </is>
      </c>
      <c r="E817" s="47" t="inlineStr">
        <is>
          <t>월 20GB</t>
        </is>
      </c>
      <c r="F817" s="47" t="inlineStr">
        <is>
          <t>KT</t>
        </is>
      </c>
      <c r="G817" s="47" t="inlineStr">
        <is>
          <t>5G</t>
        </is>
      </c>
      <c r="H817" s="48" t="n">
        <v>3900</v>
      </c>
      <c r="I817" s="48" t="n">
        <v>36</v>
      </c>
      <c r="J817" s="48" t="n">
        <v>28600</v>
      </c>
      <c r="K817" s="47">
        <f t="array" ref="K817">_xlfn.XLOOKUP(1,(참조!$B$2:$B$15=E817)*(참조!$D$2:$D$15=C817)*(참조!$E$2:$E$15=D817),참조!$C$2:$C$15,"")</f>
        <v/>
      </c>
    </row>
    <row r="818" hidden="1" s="27">
      <c r="A818" s="47" t="inlineStr">
        <is>
          <t>LG헬로모바일</t>
        </is>
      </c>
      <c r="B818" s="47" t="inlineStr">
        <is>
          <t>DATA 걱정없는 유심 일5GB</t>
        </is>
      </c>
      <c r="C818" s="47" t="inlineStr">
        <is>
          <t>무제한</t>
        </is>
      </c>
      <c r="D818" s="47" t="inlineStr">
        <is>
          <t>무제한</t>
        </is>
      </c>
      <c r="E818" s="47" t="inlineStr">
        <is>
          <t>매일 5GB + 5Mbps</t>
        </is>
      </c>
      <c r="F818" s="47" t="inlineStr">
        <is>
          <t>LG U+</t>
        </is>
      </c>
      <c r="G818" s="47" t="inlineStr">
        <is>
          <t>LTE</t>
        </is>
      </c>
      <c r="H818" s="48" t="n">
        <v>38990</v>
      </c>
      <c r="I818" s="48" t="n"/>
      <c r="J818" s="48" t="n"/>
      <c r="K818" s="47">
        <f t="array" ref="K818">_xlfn.XLOOKUP(1,(참조!$B$2:$B$15=E818)*(참조!$D$2:$D$15=C818)*(참조!$E$2:$E$15=D818),참조!$C$2:$C$15,"")</f>
        <v/>
      </c>
    </row>
    <row r="819" hidden="1" s="27">
      <c r="A819" s="47" t="inlineStr">
        <is>
          <t>KT엠모바일</t>
        </is>
      </c>
      <c r="B819" s="47" t="inlineStr">
        <is>
          <t>모두다 맘껏 15GB+(쿠팡캐시 5000원)</t>
        </is>
      </c>
      <c r="C819" s="47" t="inlineStr">
        <is>
          <t>무제한</t>
        </is>
      </c>
      <c r="D819" s="47" t="inlineStr">
        <is>
          <t>무제한</t>
        </is>
      </c>
      <c r="E819" s="47" t="inlineStr">
        <is>
          <t>월 15GB + 1Mbps</t>
        </is>
      </c>
      <c r="F819" s="47" t="inlineStr">
        <is>
          <t>KT</t>
        </is>
      </c>
      <c r="G819" s="47" t="inlineStr">
        <is>
          <t>LTE</t>
        </is>
      </c>
      <c r="H819" s="48" t="n">
        <v>23700</v>
      </c>
      <c r="I819" s="48" t="n"/>
      <c r="J819" s="48" t="n"/>
      <c r="K819" s="47">
        <f t="array" ref="K819">_xlfn.XLOOKUP(1,(참조!$B$2:$B$15=E819)*(참조!$D$2:$D$15=C819)*(참조!$E$2:$E$15=D819),참조!$C$2:$C$15,"")</f>
        <v/>
      </c>
    </row>
    <row r="820" hidden="1" s="27">
      <c r="A820" s="47" t="inlineStr">
        <is>
          <t>모빙</t>
        </is>
      </c>
      <c r="B820" s="47" t="inlineStr">
        <is>
          <t>[L] 5G 데이터 5GB+</t>
        </is>
      </c>
      <c r="C820" s="47" t="inlineStr">
        <is>
          <t>무제한</t>
        </is>
      </c>
      <c r="D820" s="47" t="inlineStr">
        <is>
          <t>100건</t>
        </is>
      </c>
      <c r="E820" s="47" t="inlineStr">
        <is>
          <t>월 5GB + 1Mbps</t>
        </is>
      </c>
      <c r="F820" s="47" t="inlineStr">
        <is>
          <t>LG U+</t>
        </is>
      </c>
      <c r="G820" s="47" t="inlineStr">
        <is>
          <t>5G</t>
        </is>
      </c>
      <c r="H820" s="48" t="n">
        <v>10</v>
      </c>
      <c r="I820" s="48" t="n">
        <v>6</v>
      </c>
      <c r="J820" s="48" t="n">
        <v>20000</v>
      </c>
      <c r="K820" s="47">
        <f t="array" ref="K820">_xlfn.XLOOKUP(1,(참조!$B$2:$B$15=E820)*(참조!$D$2:$D$15=C820)*(참조!$E$2:$E$15=D820),참조!$C$2:$C$15,"")</f>
        <v/>
      </c>
    </row>
    <row r="821" hidden="1" s="27">
      <c r="A821" s="47" t="inlineStr">
        <is>
          <t>KT스카이라이프</t>
        </is>
      </c>
      <c r="B821" s="47" t="inlineStr">
        <is>
          <t>모두 충분 100GB+(밀리의서재)</t>
        </is>
      </c>
      <c r="C821" s="47" t="inlineStr">
        <is>
          <t>무제한</t>
        </is>
      </c>
      <c r="D821" s="47" t="inlineStr">
        <is>
          <t>무제한</t>
        </is>
      </c>
      <c r="E821" s="47" t="inlineStr">
        <is>
          <t>월 100GB + 5Mbps</t>
        </is>
      </c>
      <c r="F821" s="47" t="inlineStr">
        <is>
          <t>KT</t>
        </is>
      </c>
      <c r="G821" s="47" t="inlineStr">
        <is>
          <t>LTE</t>
        </is>
      </c>
      <c r="H821" s="48" t="n">
        <v>39500</v>
      </c>
      <c r="I821" s="48" t="n"/>
      <c r="J821" s="48" t="n"/>
      <c r="K821" s="47">
        <f t="array" ref="K821">_xlfn.XLOOKUP(1,(참조!$B$2:$B$15=E821)*(참조!$D$2:$D$15=C821)*(참조!$E$2:$E$15=D821),참조!$C$2:$C$15,"")</f>
        <v/>
      </c>
    </row>
    <row r="822" hidden="1" s="27">
      <c r="A822" s="47" t="inlineStr">
        <is>
          <t>스마텔</t>
        </is>
      </c>
      <c r="B822" s="47" t="inlineStr">
        <is>
          <t>스마트 매일 5GB+ (24개월)</t>
        </is>
      </c>
      <c r="C822" s="47" t="inlineStr">
        <is>
          <t>무제한</t>
        </is>
      </c>
      <c r="D822" s="47" t="inlineStr">
        <is>
          <t>무제한</t>
        </is>
      </c>
      <c r="E822" s="47" t="inlineStr">
        <is>
          <t>매일 5GB + 5Mbps</t>
        </is>
      </c>
      <c r="F822" s="47" t="inlineStr">
        <is>
          <t>LG U+</t>
        </is>
      </c>
      <c r="G822" s="47" t="inlineStr">
        <is>
          <t>LTE</t>
        </is>
      </c>
      <c r="H822" s="48" t="n">
        <v>32000</v>
      </c>
      <c r="I822" s="48" t="n">
        <v>24</v>
      </c>
      <c r="J822" s="48" t="n">
        <v>47300</v>
      </c>
      <c r="K822" s="47">
        <f t="array" ref="K822">_xlfn.XLOOKUP(1,(참조!$B$2:$B$15=E822)*(참조!$D$2:$D$15=C822)*(참조!$E$2:$E$15=D822),참조!$C$2:$C$15,"")</f>
        <v/>
      </c>
    </row>
    <row r="823" hidden="1" s="27">
      <c r="A823" s="47" t="inlineStr">
        <is>
          <t>고고모바일</t>
        </is>
      </c>
      <c r="B823" s="47" t="inlineStr">
        <is>
          <t>LTE 200분/5GB_모요</t>
        </is>
      </c>
      <c r="C823" s="47" t="inlineStr">
        <is>
          <t>200분</t>
        </is>
      </c>
      <c r="D823" s="47" t="inlineStr">
        <is>
          <t>100건</t>
        </is>
      </c>
      <c r="E823" s="47" t="inlineStr">
        <is>
          <t>월 5GB</t>
        </is>
      </c>
      <c r="F823" s="47" t="inlineStr">
        <is>
          <t>SKT</t>
        </is>
      </c>
      <c r="G823" s="47" t="inlineStr">
        <is>
          <t>LTE</t>
        </is>
      </c>
      <c r="H823" s="48" t="n">
        <v>880</v>
      </c>
      <c r="I823" s="48" t="n">
        <v>7</v>
      </c>
      <c r="J823" s="48" t="n">
        <v>11220</v>
      </c>
      <c r="K823" s="47">
        <f t="array" ref="K823">_xlfn.XLOOKUP(1,(참조!$B$2:$B$15=E823)*(참조!$D$2:$D$15=C823)*(참조!$E$2:$E$15=D823),참조!$C$2:$C$15,"")</f>
        <v/>
      </c>
    </row>
    <row r="824" hidden="1" s="27">
      <c r="A824" s="47" t="inlineStr">
        <is>
          <t>아이즈모바일</t>
        </is>
      </c>
      <c r="B824" s="47" t="inlineStr">
        <is>
          <t>[L]5G 아이즈125GB+5Mbps</t>
        </is>
      </c>
      <c r="C824" s="47" t="inlineStr">
        <is>
          <t>무제한</t>
        </is>
      </c>
      <c r="D824" s="47" t="inlineStr">
        <is>
          <t>무제한</t>
        </is>
      </c>
      <c r="E824" s="47" t="inlineStr">
        <is>
          <t>월 125GB + 5Mbps</t>
        </is>
      </c>
      <c r="F824" s="47" t="inlineStr">
        <is>
          <t>LG U+</t>
        </is>
      </c>
      <c r="G824" s="47" t="inlineStr">
        <is>
          <t>5G</t>
        </is>
      </c>
      <c r="H824" s="48" t="n">
        <v>7100</v>
      </c>
      <c r="I824" s="48" t="n">
        <v>7</v>
      </c>
      <c r="J824" s="48" t="n">
        <v>58300</v>
      </c>
      <c r="K824" s="47">
        <f t="array" ref="K824">_xlfn.XLOOKUP(1,(참조!$B$2:$B$15=E824)*(참조!$D$2:$D$15=C824)*(참조!$E$2:$E$15=D824),참조!$C$2:$C$15,"")</f>
        <v/>
      </c>
    </row>
    <row r="825" hidden="1" s="27">
      <c r="A825" s="47" t="inlineStr">
        <is>
          <t>이야기모바일</t>
        </is>
      </c>
      <c r="B825" s="47" t="inlineStr">
        <is>
          <t>이야기 완전 무제한 100GB+</t>
        </is>
      </c>
      <c r="C825" s="47" t="inlineStr">
        <is>
          <t>무제한</t>
        </is>
      </c>
      <c r="D825" s="47" t="inlineStr">
        <is>
          <t>무제한</t>
        </is>
      </c>
      <c r="E825" s="47" t="inlineStr">
        <is>
          <t>월 100GB + 5Mbps</t>
        </is>
      </c>
      <c r="F825" s="47" t="inlineStr">
        <is>
          <t>SKT</t>
        </is>
      </c>
      <c r="G825" s="47" t="inlineStr">
        <is>
          <t>LTE</t>
        </is>
      </c>
      <c r="H825" s="48" t="n">
        <v>31900</v>
      </c>
      <c r="I825" s="48" t="n">
        <v>12</v>
      </c>
      <c r="J825" s="48" t="n">
        <v>49500</v>
      </c>
      <c r="K825" s="47">
        <f t="array" ref="K825">_xlfn.XLOOKUP(1,(참조!$B$2:$B$15=E825)*(참조!$D$2:$D$15=C825)*(참조!$E$2:$E$15=D825),참조!$C$2:$C$15,"")</f>
        <v/>
      </c>
    </row>
    <row r="826" hidden="1" s="27">
      <c r="A826" s="47" t="inlineStr">
        <is>
          <t>U+유모바일</t>
        </is>
      </c>
      <c r="B826" s="47" t="inlineStr">
        <is>
          <t>[평생할인] 100GB+/통화기본</t>
        </is>
      </c>
      <c r="C826" s="47" t="inlineStr">
        <is>
          <t>무제한</t>
        </is>
      </c>
      <c r="D826" s="47" t="inlineStr">
        <is>
          <t>무제한</t>
        </is>
      </c>
      <c r="E826" s="47" t="inlineStr">
        <is>
          <t>월 100GB + 5Mbps</t>
        </is>
      </c>
      <c r="F826" s="47" t="inlineStr">
        <is>
          <t>LG U+</t>
        </is>
      </c>
      <c r="G826" s="47" t="inlineStr">
        <is>
          <t>LTE</t>
        </is>
      </c>
      <c r="H826" s="48" t="n">
        <v>38200</v>
      </c>
      <c r="I826" s="48" t="n"/>
      <c r="J826" s="48" t="n"/>
      <c r="K826" s="47">
        <f t="array" ref="K826">_xlfn.XLOOKUP(1,(참조!$B$2:$B$15=E826)*(참조!$D$2:$D$15=C826)*(참조!$E$2:$E$15=D826),참조!$C$2:$C$15,"")</f>
        <v/>
      </c>
    </row>
    <row r="827" hidden="1" s="27">
      <c r="A827" s="47" t="inlineStr">
        <is>
          <t>LG U+</t>
        </is>
      </c>
      <c r="B827" s="47" t="inlineStr">
        <is>
          <t>너겟49</t>
        </is>
      </c>
      <c r="C827" s="47" t="inlineStr">
        <is>
          <t>무제한</t>
        </is>
      </c>
      <c r="D827" s="47" t="inlineStr">
        <is>
          <t>무제한</t>
        </is>
      </c>
      <c r="E827" s="47" t="inlineStr">
        <is>
          <t>월 120GB + 5Mbps</t>
        </is>
      </c>
      <c r="F827" s="47" t="inlineStr">
        <is>
          <t>LG U+</t>
        </is>
      </c>
      <c r="G827" s="47" t="inlineStr">
        <is>
          <t>5G</t>
        </is>
      </c>
      <c r="H827" s="48" t="n">
        <v>49000</v>
      </c>
      <c r="I827" s="48" t="n"/>
      <c r="J827" s="48" t="n"/>
      <c r="K827" s="47">
        <f t="array" ref="K827">_xlfn.XLOOKUP(1,(참조!$B$2:$B$15=E827)*(참조!$D$2:$D$15=C827)*(참조!$E$2:$E$15=D827),참조!$C$2:$C$15,"")</f>
        <v/>
      </c>
    </row>
    <row r="828" hidden="1" s="27">
      <c r="A828" s="47" t="inlineStr">
        <is>
          <t>아이즈모바일</t>
        </is>
      </c>
      <c r="B828" s="47" t="inlineStr">
        <is>
          <t>[K]CU&amp;롯시 100GB+</t>
        </is>
      </c>
      <c r="C828" s="47" t="inlineStr">
        <is>
          <t>무제한</t>
        </is>
      </c>
      <c r="D828" s="47" t="inlineStr">
        <is>
          <t>무제한</t>
        </is>
      </c>
      <c r="E828" s="47" t="inlineStr">
        <is>
          <t>월 100GB + 5Mbps</t>
        </is>
      </c>
      <c r="F828" s="47" t="inlineStr">
        <is>
          <t>KT</t>
        </is>
      </c>
      <c r="G828" s="47" t="inlineStr">
        <is>
          <t>LTE</t>
        </is>
      </c>
      <c r="H828" s="48" t="n">
        <v>8300</v>
      </c>
      <c r="I828" s="48" t="n">
        <v>7</v>
      </c>
      <c r="J828" s="48" t="n">
        <v>55000</v>
      </c>
      <c r="K828" s="47">
        <f t="array" ref="K828">_xlfn.XLOOKUP(1,(참조!$B$2:$B$15=E828)*(참조!$D$2:$D$15=C828)*(참조!$E$2:$E$15=D828),참조!$C$2:$C$15,"")</f>
        <v/>
      </c>
    </row>
    <row r="829" hidden="1" s="27">
      <c r="A829" s="47" t="inlineStr">
        <is>
          <t>쉐이크모바일</t>
        </is>
      </c>
      <c r="B829" s="47" t="inlineStr">
        <is>
          <t>[모요only] 쉐이크 LTE 7GB+_다이소 매 월 5,000원</t>
        </is>
      </c>
      <c r="C829" s="47" t="inlineStr">
        <is>
          <t>무제한</t>
        </is>
      </c>
      <c r="D829" s="47" t="inlineStr">
        <is>
          <t>무제한</t>
        </is>
      </c>
      <c r="E829" s="47" t="inlineStr">
        <is>
          <t>월 7GB + 1Mbps</t>
        </is>
      </c>
      <c r="F829" s="47" t="inlineStr">
        <is>
          <t>KT</t>
        </is>
      </c>
      <c r="G829" s="47" t="inlineStr">
        <is>
          <t>LTE</t>
        </is>
      </c>
      <c r="H829" s="48" t="n">
        <v>15000</v>
      </c>
      <c r="I829" s="48" t="n">
        <v>12</v>
      </c>
      <c r="J829" s="48" t="n">
        <v>25300</v>
      </c>
      <c r="K829" s="47">
        <f t="array" ref="K829">_xlfn.XLOOKUP(1,(참조!$B$2:$B$15=E829)*(참조!$D$2:$D$15=C829)*(참조!$E$2:$E$15=D829),참조!$C$2:$C$15,"")</f>
        <v/>
      </c>
    </row>
    <row r="830" hidden="1" s="27">
      <c r="A830" s="47" t="inlineStr">
        <is>
          <t>쉐이크모바일</t>
        </is>
      </c>
      <c r="B830" s="47" t="inlineStr">
        <is>
          <t>[모요only] 쉐이크 LTE 7GB+_올리브영 5000원</t>
        </is>
      </c>
      <c r="C830" s="47" t="inlineStr">
        <is>
          <t>무제한</t>
        </is>
      </c>
      <c r="D830" s="47" t="inlineStr">
        <is>
          <t>무제한</t>
        </is>
      </c>
      <c r="E830" s="47" t="inlineStr">
        <is>
          <t>월 7GB + 1Mbps</t>
        </is>
      </c>
      <c r="F830" s="47" t="inlineStr">
        <is>
          <t>KT</t>
        </is>
      </c>
      <c r="G830" s="47" t="inlineStr">
        <is>
          <t>LTE</t>
        </is>
      </c>
      <c r="H830" s="48" t="n">
        <v>15000</v>
      </c>
      <c r="I830" s="48" t="n">
        <v>12</v>
      </c>
      <c r="J830" s="48" t="n">
        <v>25300</v>
      </c>
      <c r="K830" s="47">
        <f t="array" ref="K830">_xlfn.XLOOKUP(1,(참조!$B$2:$B$15=E830)*(참조!$D$2:$D$15=C830)*(참조!$E$2:$E$15=D830),참조!$C$2:$C$15,"")</f>
        <v/>
      </c>
    </row>
    <row r="831" hidden="1" s="27">
      <c r="A831" s="47" t="inlineStr">
        <is>
          <t>KT엠모바일</t>
        </is>
      </c>
      <c r="B831" s="47" t="inlineStr">
        <is>
          <t>모두다 맘껏 7GB+(CU 20%할인)</t>
        </is>
      </c>
      <c r="C831" s="47" t="inlineStr">
        <is>
          <t>무제한</t>
        </is>
      </c>
      <c r="D831" s="47" t="inlineStr">
        <is>
          <t>무제한</t>
        </is>
      </c>
      <c r="E831" s="47" t="inlineStr">
        <is>
          <t>월 7GB + 1Mbps</t>
        </is>
      </c>
      <c r="F831" s="47" t="inlineStr">
        <is>
          <t>KT</t>
        </is>
      </c>
      <c r="G831" s="47" t="inlineStr">
        <is>
          <t>LTE</t>
        </is>
      </c>
      <c r="H831" s="48" t="n">
        <v>16700</v>
      </c>
      <c r="I831" s="48" t="n"/>
      <c r="J831" s="48" t="n"/>
      <c r="K831" s="47">
        <f t="array" ref="K831">_xlfn.XLOOKUP(1,(참조!$B$2:$B$15=E831)*(참조!$D$2:$D$15=C831)*(참조!$E$2:$E$15=D831),참조!$C$2:$C$15,"")</f>
        <v/>
      </c>
    </row>
    <row r="832" hidden="1" s="27">
      <c r="A832" s="47" t="inlineStr">
        <is>
          <t>아이즈모바일</t>
        </is>
      </c>
      <c r="B832" s="47" t="inlineStr">
        <is>
          <t>[L]5G 아이즈95GB+3Mbps</t>
        </is>
      </c>
      <c r="C832" s="47" t="inlineStr">
        <is>
          <t>무제한</t>
        </is>
      </c>
      <c r="D832" s="47" t="inlineStr">
        <is>
          <t>무제한</t>
        </is>
      </c>
      <c r="E832" s="47" t="inlineStr">
        <is>
          <t>월 95GB + 3Mbps</t>
        </is>
      </c>
      <c r="F832" s="47" t="inlineStr">
        <is>
          <t>LG U+</t>
        </is>
      </c>
      <c r="G832" s="47" t="inlineStr">
        <is>
          <t>5G</t>
        </is>
      </c>
      <c r="H832" s="48" t="n">
        <v>7100</v>
      </c>
      <c r="I832" s="48" t="n">
        <v>7</v>
      </c>
      <c r="J832" s="48" t="n">
        <v>53900</v>
      </c>
      <c r="K832" s="47">
        <f t="array" ref="K832">_xlfn.XLOOKUP(1,(참조!$B$2:$B$15=E832)*(참조!$D$2:$D$15=C832)*(참조!$E$2:$E$15=D832),참조!$C$2:$C$15,"")</f>
        <v/>
      </c>
    </row>
    <row r="833" hidden="1" s="27">
      <c r="A833" s="47" t="inlineStr">
        <is>
          <t>위너스텔</t>
        </is>
      </c>
      <c r="B833" s="47" t="inlineStr">
        <is>
          <t>[KT]WELL 250분+600MB</t>
        </is>
      </c>
      <c r="C833" s="47" t="inlineStr">
        <is>
          <t>250분</t>
        </is>
      </c>
      <c r="D833" s="47" t="inlineStr">
        <is>
          <t>50건</t>
        </is>
      </c>
      <c r="E833" s="47" t="inlineStr">
        <is>
          <t>월 600MB</t>
        </is>
      </c>
      <c r="F833" s="47" t="inlineStr">
        <is>
          <t>KT</t>
        </is>
      </c>
      <c r="G833" s="47" t="inlineStr">
        <is>
          <t>LTE</t>
        </is>
      </c>
      <c r="H833" s="48" t="n">
        <v>4400</v>
      </c>
      <c r="I833" s="48" t="n"/>
      <c r="J833" s="48" t="n"/>
      <c r="K833" s="47">
        <f t="array" ref="K833">_xlfn.XLOOKUP(1,(참조!$B$2:$B$15=E833)*(참조!$D$2:$D$15=C833)*(참조!$E$2:$E$15=D833),참조!$C$2:$C$15,"")</f>
        <v/>
      </c>
    </row>
    <row r="834" hidden="1" s="27">
      <c r="A834" s="47" t="inlineStr">
        <is>
          <t>U+유모바일</t>
        </is>
      </c>
      <c r="B834" s="47" t="inlineStr">
        <is>
          <t>[Npay 12만 기본제공] 71GB+/통화기본</t>
        </is>
      </c>
      <c r="C834" s="47" t="inlineStr">
        <is>
          <t>무제한</t>
        </is>
      </c>
      <c r="D834" s="47" t="inlineStr">
        <is>
          <t>무제한</t>
        </is>
      </c>
      <c r="E834" s="47" t="inlineStr">
        <is>
          <t>월 11GB + 매일 2GB + 3Mbps</t>
        </is>
      </c>
      <c r="F834" s="47" t="inlineStr">
        <is>
          <t>LG U+</t>
        </is>
      </c>
      <c r="G834" s="47" t="inlineStr">
        <is>
          <t>LTE</t>
        </is>
      </c>
      <c r="H834" s="48" t="n">
        <v>35390</v>
      </c>
      <c r="I834" s="48" t="n"/>
      <c r="J834" s="48" t="n"/>
      <c r="K834" s="47">
        <f t="array" ref="K834">_xlfn.XLOOKUP(1,(참조!$B$2:$B$15=E834)*(참조!$D$2:$D$15=C834)*(참조!$E$2:$E$15=D834),참조!$C$2:$C$15,"")</f>
        <v/>
      </c>
    </row>
    <row r="835" hidden="1" s="27">
      <c r="A835" s="47" t="inlineStr">
        <is>
          <t>이지모바일</t>
        </is>
      </c>
      <c r="B835" s="47" t="inlineStr">
        <is>
          <t>오래쓰는 데이터 7G+1</t>
        </is>
      </c>
      <c r="C835" s="47" t="inlineStr">
        <is>
          <t>무제한</t>
        </is>
      </c>
      <c r="D835" s="47" t="inlineStr">
        <is>
          <t>무제한</t>
        </is>
      </c>
      <c r="E835" s="47" t="inlineStr">
        <is>
          <t>월 7GB + 1Mbps</t>
        </is>
      </c>
      <c r="F835" s="47" t="inlineStr">
        <is>
          <t>LG U+</t>
        </is>
      </c>
      <c r="G835" s="47" t="inlineStr">
        <is>
          <t>LTE</t>
        </is>
      </c>
      <c r="H835" s="48" t="n">
        <v>12650</v>
      </c>
      <c r="I835" s="48" t="n">
        <v>12</v>
      </c>
      <c r="J835" s="48" t="n">
        <v>18700</v>
      </c>
      <c r="K835" s="47">
        <f t="array" ref="K835">_xlfn.XLOOKUP(1,(참조!$B$2:$B$15=E835)*(참조!$D$2:$D$15=C835)*(참조!$E$2:$E$15=D835),참조!$C$2:$C$15,"")</f>
        <v/>
      </c>
    </row>
    <row r="836" hidden="1" s="27">
      <c r="A836" s="47" t="inlineStr">
        <is>
          <t>U+유모바일</t>
        </is>
      </c>
      <c r="B836" s="47" t="inlineStr">
        <is>
          <t>[평생할인] 1GB+/100분</t>
        </is>
      </c>
      <c r="C836" s="47" t="inlineStr">
        <is>
          <t>100분</t>
        </is>
      </c>
      <c r="D836" s="47" t="inlineStr">
        <is>
          <t>100건</t>
        </is>
      </c>
      <c r="E836" s="47" t="inlineStr">
        <is>
          <t>월 1GB + 1Mbps</t>
        </is>
      </c>
      <c r="F836" s="47" t="inlineStr">
        <is>
          <t>LG U+</t>
        </is>
      </c>
      <c r="G836" s="47" t="inlineStr">
        <is>
          <t>LTE</t>
        </is>
      </c>
      <c r="H836" s="48" t="n">
        <v>7900</v>
      </c>
      <c r="I836" s="48" t="n"/>
      <c r="J836" s="48" t="n"/>
      <c r="K836" s="47">
        <f t="array" ref="K836">_xlfn.XLOOKUP(1,(참조!$B$2:$B$15=E836)*(참조!$D$2:$D$15=C836)*(참조!$E$2:$E$15=D836),참조!$C$2:$C$15,"")</f>
        <v/>
      </c>
    </row>
    <row r="837" hidden="1" s="27">
      <c r="A837" s="47" t="inlineStr">
        <is>
          <t>KT스카이라이프</t>
        </is>
      </c>
      <c r="B837" s="47" t="inlineStr">
        <is>
          <t>모두 충분 15GB+(다이소_5000)</t>
        </is>
      </c>
      <c r="C837" s="47" t="inlineStr">
        <is>
          <t>무제한</t>
        </is>
      </c>
      <c r="D837" s="47" t="inlineStr">
        <is>
          <t>무제한</t>
        </is>
      </c>
      <c r="E837" s="47" t="inlineStr">
        <is>
          <t>월 15GB + 1Mbps</t>
        </is>
      </c>
      <c r="F837" s="47" t="inlineStr">
        <is>
          <t>KT</t>
        </is>
      </c>
      <c r="G837" s="47" t="inlineStr">
        <is>
          <t>LTE</t>
        </is>
      </c>
      <c r="H837" s="48" t="n">
        <v>23700</v>
      </c>
      <c r="I837" s="48" t="n"/>
      <c r="J837" s="48" t="n"/>
      <c r="K837" s="47">
        <f t="array" ref="K837">_xlfn.XLOOKUP(1,(참조!$B$2:$B$15=E837)*(참조!$D$2:$D$15=C837)*(참조!$E$2:$E$15=D837),참조!$C$2:$C$15,"")</f>
        <v/>
      </c>
    </row>
    <row r="838" hidden="1" s="27">
      <c r="A838" s="47" t="inlineStr">
        <is>
          <t>티플러스</t>
        </is>
      </c>
      <c r="B838" s="47" t="inlineStr">
        <is>
          <t>The 완전마음껏15G+(300분)(컬쳐랜드 문화상품권 매월 5000P)</t>
        </is>
      </c>
      <c r="C838" s="47" t="inlineStr">
        <is>
          <t>300분</t>
        </is>
      </c>
      <c r="D838" s="47" t="inlineStr">
        <is>
          <t>300건</t>
        </is>
      </c>
      <c r="E838" s="47" t="inlineStr">
        <is>
          <t>월 15GB + 3Mbps</t>
        </is>
      </c>
      <c r="F838" s="47" t="inlineStr">
        <is>
          <t>LG U+</t>
        </is>
      </c>
      <c r="G838" s="47" t="inlineStr">
        <is>
          <t>LTE</t>
        </is>
      </c>
      <c r="H838" s="48" t="n">
        <v>23500</v>
      </c>
      <c r="I838" s="48" t="n">
        <v>24</v>
      </c>
      <c r="J838" s="48" t="n">
        <v>33000</v>
      </c>
      <c r="K838" s="47">
        <f t="array" ref="K838">_xlfn.XLOOKUP(1,(참조!$B$2:$B$15=E838)*(참조!$D$2:$D$15=C838)*(참조!$E$2:$E$15=D838),참조!$C$2:$C$15,"")</f>
        <v/>
      </c>
    </row>
    <row r="839" hidden="1" s="27">
      <c r="A839" s="47" t="inlineStr">
        <is>
          <t>아이즈모바일</t>
        </is>
      </c>
      <c r="B839" s="47" t="inlineStr">
        <is>
          <t>[L]5G 아이즈150GB+</t>
        </is>
      </c>
      <c r="C839" s="47" t="inlineStr">
        <is>
          <t>무제한</t>
        </is>
      </c>
      <c r="D839" s="47" t="inlineStr">
        <is>
          <t>무제한</t>
        </is>
      </c>
      <c r="E839" s="47" t="inlineStr">
        <is>
          <t>월 150GB + 5Mbps</t>
        </is>
      </c>
      <c r="F839" s="47" t="inlineStr">
        <is>
          <t>LG U+</t>
        </is>
      </c>
      <c r="G839" s="47" t="inlineStr">
        <is>
          <t>5G</t>
        </is>
      </c>
      <c r="H839" s="48" t="n">
        <v>8100</v>
      </c>
      <c r="I839" s="48" t="n">
        <v>7</v>
      </c>
      <c r="J839" s="48" t="n">
        <v>62700</v>
      </c>
      <c r="K839" s="47">
        <f t="array" ref="K839">_xlfn.XLOOKUP(1,(참조!$B$2:$B$15=E839)*(참조!$D$2:$D$15=C839)*(참조!$E$2:$E$15=D839),참조!$C$2:$C$15,"")</f>
        <v/>
      </c>
    </row>
    <row r="840" hidden="1" s="27">
      <c r="A840" s="47" t="inlineStr">
        <is>
          <t>KT스카이라이프</t>
        </is>
      </c>
      <c r="B840" s="47" t="inlineStr">
        <is>
          <t>모두 충분 15GB+(Pay_5000)</t>
        </is>
      </c>
      <c r="C840" s="47" t="inlineStr">
        <is>
          <t>무제한</t>
        </is>
      </c>
      <c r="D840" s="47" t="inlineStr">
        <is>
          <t>무제한</t>
        </is>
      </c>
      <c r="E840" s="47" t="inlineStr">
        <is>
          <t>월 15GB + 1Mbps</t>
        </is>
      </c>
      <c r="F840" s="47" t="inlineStr">
        <is>
          <t>KT</t>
        </is>
      </c>
      <c r="G840" s="47" t="inlineStr">
        <is>
          <t>LTE</t>
        </is>
      </c>
      <c r="H840" s="48" t="n">
        <v>23700</v>
      </c>
      <c r="I840" s="48" t="n"/>
      <c r="J840" s="48" t="n"/>
      <c r="K840" s="47">
        <f t="array" ref="K840">_xlfn.XLOOKUP(1,(참조!$B$2:$B$15=E840)*(참조!$D$2:$D$15=C840)*(참조!$E$2:$E$15=D840),참조!$C$2:$C$15,"")</f>
        <v/>
      </c>
    </row>
    <row r="841" hidden="1" s="27">
      <c r="A841" s="47" t="inlineStr">
        <is>
          <t>에이모바일</t>
        </is>
      </c>
      <c r="B841" s="47" t="inlineStr">
        <is>
          <t>A 5G 스페셜</t>
        </is>
      </c>
      <c r="C841" s="47" t="inlineStr">
        <is>
          <t>무제한</t>
        </is>
      </c>
      <c r="D841" s="47" t="inlineStr">
        <is>
          <t>무제한</t>
        </is>
      </c>
      <c r="E841" s="47" t="inlineStr">
        <is>
          <t>월 180GB + 10Mbps</t>
        </is>
      </c>
      <c r="F841" s="47" t="inlineStr">
        <is>
          <t>LG U+</t>
        </is>
      </c>
      <c r="G841" s="47" t="inlineStr">
        <is>
          <t>5G</t>
        </is>
      </c>
      <c r="H841" s="48" t="n">
        <v>8900</v>
      </c>
      <c r="I841" s="48" t="n">
        <v>7</v>
      </c>
      <c r="J841" s="48" t="n">
        <v>58300</v>
      </c>
      <c r="K841" s="47">
        <f t="array" ref="K841">_xlfn.XLOOKUP(1,(참조!$B$2:$B$15=E841)*(참조!$D$2:$D$15=C841)*(참조!$E$2:$E$15=D841),참조!$C$2:$C$15,"")</f>
        <v/>
      </c>
    </row>
    <row r="842" hidden="1" s="27">
      <c r="A842" s="47" t="inlineStr">
        <is>
          <t>티플러스</t>
        </is>
      </c>
      <c r="B842" s="47" t="inlineStr">
        <is>
          <t>The 데이터마음껏15G＋(300분)(올리브영 매월 5000P)</t>
        </is>
      </c>
      <c r="C842" s="47" t="inlineStr">
        <is>
          <t>300분</t>
        </is>
      </c>
      <c r="D842" s="47" t="inlineStr">
        <is>
          <t>300건</t>
        </is>
      </c>
      <c r="E842" s="47" t="inlineStr">
        <is>
          <t>월 15GB + 3Mbps</t>
        </is>
      </c>
      <c r="F842" s="47" t="inlineStr">
        <is>
          <t>LG U+</t>
        </is>
      </c>
      <c r="G842" s="47" t="inlineStr">
        <is>
          <t>LTE</t>
        </is>
      </c>
      <c r="H842" s="48" t="n">
        <v>23500</v>
      </c>
      <c r="I842" s="48" t="n">
        <v>24</v>
      </c>
      <c r="J842" s="48" t="n">
        <v>33000</v>
      </c>
      <c r="K842" s="47">
        <f t="array" ref="K842">_xlfn.XLOOKUP(1,(참조!$B$2:$B$15=E842)*(참조!$D$2:$D$15=C842)*(참조!$E$2:$E$15=D842),참조!$C$2:$C$15,"")</f>
        <v/>
      </c>
    </row>
    <row r="843" hidden="1" s="27">
      <c r="A843" s="47" t="inlineStr">
        <is>
          <t>티플러스</t>
        </is>
      </c>
      <c r="B843" s="47" t="inlineStr">
        <is>
          <t>티플 올리브영 7GB+(매월 5000P)</t>
        </is>
      </c>
      <c r="C843" s="47" t="inlineStr">
        <is>
          <t>무제한</t>
        </is>
      </c>
      <c r="D843" s="47" t="inlineStr">
        <is>
          <t>무제한</t>
        </is>
      </c>
      <c r="E843" s="47" t="inlineStr">
        <is>
          <t>월 7GB + 1Mbps</t>
        </is>
      </c>
      <c r="F843" s="47" t="inlineStr">
        <is>
          <t>SKT</t>
        </is>
      </c>
      <c r="G843" s="47" t="inlineStr">
        <is>
          <t>LTE</t>
        </is>
      </c>
      <c r="H843" s="48" t="n">
        <v>4900</v>
      </c>
      <c r="I843" s="48" t="n">
        <v>7</v>
      </c>
      <c r="J843" s="48" t="n">
        <v>28600</v>
      </c>
      <c r="K843" s="47">
        <f t="array" ref="K843">_xlfn.XLOOKUP(1,(참조!$B$2:$B$15=E843)*(참조!$D$2:$D$15=C843)*(참조!$E$2:$E$15=D843),참조!$C$2:$C$15,"")</f>
        <v/>
      </c>
    </row>
    <row r="844" hidden="1" s="27">
      <c r="A844" s="47" t="inlineStr">
        <is>
          <t>모빙</t>
        </is>
      </c>
      <c r="B844" s="47" t="inlineStr">
        <is>
          <t>[L] 5G 300분5GB</t>
        </is>
      </c>
      <c r="C844" s="47" t="inlineStr">
        <is>
          <t>300분</t>
        </is>
      </c>
      <c r="D844" s="47" t="inlineStr">
        <is>
          <t>100건</t>
        </is>
      </c>
      <c r="E844" s="47" t="inlineStr">
        <is>
          <t>월 5GB</t>
        </is>
      </c>
      <c r="F844" s="47" t="inlineStr">
        <is>
          <t>LG U+</t>
        </is>
      </c>
      <c r="G844" s="47" t="inlineStr">
        <is>
          <t>5G</t>
        </is>
      </c>
      <c r="H844" s="48" t="n">
        <v>200</v>
      </c>
      <c r="I844" s="48" t="n">
        <v>24</v>
      </c>
      <c r="J844" s="48" t="n">
        <v>22000</v>
      </c>
      <c r="K844" s="47">
        <f t="array" ref="K844">_xlfn.XLOOKUP(1,(참조!$B$2:$B$15=E844)*(참조!$D$2:$D$15=C844)*(참조!$E$2:$E$15=D844),참조!$C$2:$C$15,"")</f>
        <v/>
      </c>
    </row>
    <row r="845" hidden="1" s="27">
      <c r="A845" s="47" t="inlineStr">
        <is>
          <t>아이즈모바일</t>
        </is>
      </c>
      <c r="B845" s="47" t="inlineStr">
        <is>
          <t>[K]롯시&amp;밀리 100GB+</t>
        </is>
      </c>
      <c r="C845" s="47" t="inlineStr">
        <is>
          <t>무제한</t>
        </is>
      </c>
      <c r="D845" s="47" t="inlineStr">
        <is>
          <t>무제한</t>
        </is>
      </c>
      <c r="E845" s="47" t="inlineStr">
        <is>
          <t>월 100GB + 5Mbps</t>
        </is>
      </c>
      <c r="F845" s="47" t="inlineStr">
        <is>
          <t>KT</t>
        </is>
      </c>
      <c r="G845" s="47" t="inlineStr">
        <is>
          <t>LTE</t>
        </is>
      </c>
      <c r="H845" s="48" t="n">
        <v>8300</v>
      </c>
      <c r="I845" s="48" t="n">
        <v>7</v>
      </c>
      <c r="J845" s="48" t="n">
        <v>55000</v>
      </c>
      <c r="K845" s="47">
        <f t="array" ref="K845">_xlfn.XLOOKUP(1,(참조!$B$2:$B$15=E845)*(참조!$D$2:$D$15=C845)*(참조!$E$2:$E$15=D845),참조!$C$2:$C$15,"")</f>
        <v/>
      </c>
    </row>
    <row r="846" hidden="1" s="27">
      <c r="A846" s="47" t="inlineStr">
        <is>
          <t>아이즈모바일</t>
        </is>
      </c>
      <c r="B846" s="47" t="inlineStr">
        <is>
          <t>[K]5G 울트라(100분/30GB)</t>
        </is>
      </c>
      <c r="C846" s="47" t="inlineStr">
        <is>
          <t>100분</t>
        </is>
      </c>
      <c r="D846" s="47" t="inlineStr">
        <is>
          <t>100건</t>
        </is>
      </c>
      <c r="E846" s="47" t="inlineStr">
        <is>
          <t>월 30GB</t>
        </is>
      </c>
      <c r="F846" s="47" t="inlineStr">
        <is>
          <t>KT</t>
        </is>
      </c>
      <c r="G846" s="47" t="inlineStr">
        <is>
          <t>5G</t>
        </is>
      </c>
      <c r="H846" s="48" t="n">
        <v>990</v>
      </c>
      <c r="I846" s="48" t="n">
        <v>7</v>
      </c>
      <c r="J846" s="48" t="n">
        <v>41800</v>
      </c>
      <c r="K846" s="47">
        <f t="array" ref="K846">_xlfn.XLOOKUP(1,(참조!$B$2:$B$15=E846)*(참조!$D$2:$D$15=C846)*(참조!$E$2:$E$15=D846),참조!$C$2:$C$15,"")</f>
        <v/>
      </c>
    </row>
    <row r="847" hidden="1" s="27">
      <c r="A847" s="47" t="inlineStr">
        <is>
          <t>KG모바일</t>
        </is>
      </c>
      <c r="B847" s="47" t="inlineStr">
        <is>
          <t>[일반] 실속 (10GB/100분)</t>
        </is>
      </c>
      <c r="C847" s="47" t="inlineStr">
        <is>
          <t>100분</t>
        </is>
      </c>
      <c r="D847" s="47" t="inlineStr">
        <is>
          <t>100건</t>
        </is>
      </c>
      <c r="E847" s="47" t="inlineStr">
        <is>
          <t>월 10GB</t>
        </is>
      </c>
      <c r="F847" s="47" t="inlineStr">
        <is>
          <t>LG U+</t>
        </is>
      </c>
      <c r="G847" s="47" t="inlineStr">
        <is>
          <t>LTE</t>
        </is>
      </c>
      <c r="H847" s="48" t="n">
        <v>4100</v>
      </c>
      <c r="I847" s="48" t="n">
        <v>6</v>
      </c>
      <c r="J847" s="48" t="n">
        <v>17600</v>
      </c>
      <c r="K847" s="47">
        <f t="array" ref="K847">_xlfn.XLOOKUP(1,(참조!$B$2:$B$15=E847)*(참조!$D$2:$D$15=C847)*(참조!$E$2:$E$15=D847),참조!$C$2:$C$15,"")</f>
        <v/>
      </c>
    </row>
    <row r="848" hidden="1" s="27">
      <c r="A848" s="47" t="inlineStr">
        <is>
          <t>핀다이렉트</t>
        </is>
      </c>
      <c r="B848" s="47" t="inlineStr">
        <is>
          <t>[L] 핀다이렉트Z Speed 180GB+</t>
        </is>
      </c>
      <c r="C848" s="47" t="inlineStr">
        <is>
          <t>무제한</t>
        </is>
      </c>
      <c r="D848" s="47" t="inlineStr">
        <is>
          <t>무제한</t>
        </is>
      </c>
      <c r="E848" s="47" t="inlineStr">
        <is>
          <t>월 180GB + 10Mbps</t>
        </is>
      </c>
      <c r="F848" s="47" t="inlineStr">
        <is>
          <t>LG U+</t>
        </is>
      </c>
      <c r="G848" s="47" t="inlineStr">
        <is>
          <t>5G</t>
        </is>
      </c>
      <c r="H848" s="48" t="n">
        <v>19000</v>
      </c>
      <c r="I848" s="48" t="n">
        <v>7</v>
      </c>
      <c r="J848" s="48" t="n">
        <v>56100</v>
      </c>
      <c r="K848" s="47">
        <f t="array" ref="K848">_xlfn.XLOOKUP(1,(참조!$B$2:$B$15=E848)*(참조!$D$2:$D$15=C848)*(참조!$E$2:$E$15=D848),참조!$C$2:$C$15,"")</f>
        <v/>
      </c>
    </row>
    <row r="849" hidden="1" s="27">
      <c r="A849" s="47" t="inlineStr">
        <is>
          <t>아이즈모바일</t>
        </is>
      </c>
      <c r="B849" s="47" t="inlineStr">
        <is>
          <t>[L]5G 울트라(300분/15GB)</t>
        </is>
      </c>
      <c r="C849" s="47" t="inlineStr">
        <is>
          <t>300분</t>
        </is>
      </c>
      <c r="D849" s="47" t="inlineStr">
        <is>
          <t>300건</t>
        </is>
      </c>
      <c r="E849" s="47" t="inlineStr">
        <is>
          <t>월 15GB</t>
        </is>
      </c>
      <c r="F849" s="47" t="inlineStr">
        <is>
          <t>LG U+</t>
        </is>
      </c>
      <c r="G849" s="47" t="inlineStr">
        <is>
          <t>5G</t>
        </is>
      </c>
      <c r="H849" s="48" t="n">
        <v>990</v>
      </c>
      <c r="I849" s="48" t="n">
        <v>6</v>
      </c>
      <c r="J849" s="48" t="n">
        <v>25300</v>
      </c>
      <c r="K849" s="47">
        <f t="array" ref="K849">_xlfn.XLOOKUP(1,(참조!$B$2:$B$15=E849)*(참조!$D$2:$D$15=C849)*(참조!$E$2:$E$15=D849),참조!$C$2:$C$15,"")</f>
        <v/>
      </c>
    </row>
    <row r="850" hidden="1" s="27">
      <c r="A850" s="47" t="inlineStr">
        <is>
          <t>더원모바일</t>
        </is>
      </c>
      <c r="B850" s="47" t="inlineStr">
        <is>
          <t>ONE 5G 10GB 300분</t>
        </is>
      </c>
      <c r="C850" s="47" t="inlineStr">
        <is>
          <t>300분</t>
        </is>
      </c>
      <c r="D850" s="47" t="inlineStr">
        <is>
          <t>200건</t>
        </is>
      </c>
      <c r="E850" s="47" t="inlineStr">
        <is>
          <t>월 10GB</t>
        </is>
      </c>
      <c r="F850" s="47" t="inlineStr">
        <is>
          <t>KT</t>
        </is>
      </c>
      <c r="G850" s="47" t="inlineStr">
        <is>
          <t>5G</t>
        </is>
      </c>
      <c r="H850" s="48" t="n">
        <v>990</v>
      </c>
      <c r="I850" s="48" t="n">
        <v>6</v>
      </c>
      <c r="J850" s="48" t="n">
        <v>20900</v>
      </c>
      <c r="K850" s="47">
        <f t="array" ref="K850">_xlfn.XLOOKUP(1,(참조!$B$2:$B$15=E850)*(참조!$D$2:$D$15=C850)*(참조!$E$2:$E$15=D850),참조!$C$2:$C$15,"")</f>
        <v/>
      </c>
    </row>
    <row r="851" hidden="1" s="27">
      <c r="A851" s="47" t="inlineStr">
        <is>
          <t>스마텔</t>
        </is>
      </c>
      <c r="B851" s="47" t="inlineStr">
        <is>
          <t>5G 스마일플러스(350분+7GB)</t>
        </is>
      </c>
      <c r="C851" s="47" t="inlineStr">
        <is>
          <t>350분</t>
        </is>
      </c>
      <c r="D851" s="47" t="inlineStr">
        <is>
          <t>100건</t>
        </is>
      </c>
      <c r="E851" s="47" t="inlineStr">
        <is>
          <t>월 7GB</t>
        </is>
      </c>
      <c r="F851" s="47" t="inlineStr">
        <is>
          <t>SKT</t>
        </is>
      </c>
      <c r="G851" s="47" t="inlineStr">
        <is>
          <t>5G</t>
        </is>
      </c>
      <c r="H851" s="48" t="n">
        <v>4400</v>
      </c>
      <c r="I851" s="48" t="n">
        <v>5</v>
      </c>
      <c r="J851" s="48" t="n">
        <v>17600</v>
      </c>
      <c r="K851" s="47">
        <f t="array" ref="K851">_xlfn.XLOOKUP(1,(참조!$B$2:$B$15=E851)*(참조!$D$2:$D$15=C851)*(참조!$E$2:$E$15=D851),참조!$C$2:$C$15,"")</f>
        <v/>
      </c>
    </row>
    <row r="852" hidden="1" s="27">
      <c r="A852" s="47" t="inlineStr">
        <is>
          <t>티플러스</t>
        </is>
      </c>
      <c r="B852" s="47" t="inlineStr">
        <is>
          <t>티플 11G＋(CU멤버십＋매월 5000P)</t>
        </is>
      </c>
      <c r="C852" s="47" t="inlineStr">
        <is>
          <t>무제한</t>
        </is>
      </c>
      <c r="D852" s="47" t="inlineStr">
        <is>
          <t>무제한</t>
        </is>
      </c>
      <c r="E852" s="47" t="inlineStr">
        <is>
          <t>월 11GB + 매일 2GB + 3Mbps</t>
        </is>
      </c>
      <c r="F852" s="47" t="inlineStr">
        <is>
          <t>SKT</t>
        </is>
      </c>
      <c r="G852" s="47" t="inlineStr">
        <is>
          <t>LTE</t>
        </is>
      </c>
      <c r="H852" s="48" t="n">
        <v>14900</v>
      </c>
      <c r="I852" s="48" t="n">
        <v>7</v>
      </c>
      <c r="J852" s="48" t="n">
        <v>48400</v>
      </c>
      <c r="K852" s="47">
        <f t="array" ref="K852">_xlfn.XLOOKUP(1,(참조!$B$2:$B$15=E852)*(참조!$D$2:$D$15=C852)*(참조!$E$2:$E$15=D852),참조!$C$2:$C$15,"")</f>
        <v/>
      </c>
    </row>
    <row r="853" hidden="1" s="27">
      <c r="A853" s="47" t="inlineStr">
        <is>
          <t>티플러스</t>
        </is>
      </c>
      <c r="B853" s="47" t="inlineStr">
        <is>
          <t>The 데이터마음껏15G＋(100분)(스타벅스 매월 5000P)</t>
        </is>
      </c>
      <c r="C853" s="47" t="inlineStr">
        <is>
          <t>100분</t>
        </is>
      </c>
      <c r="D853" s="47" t="inlineStr">
        <is>
          <t>100건</t>
        </is>
      </c>
      <c r="E853" s="47" t="inlineStr">
        <is>
          <t>월 15GB + 3Mbps</t>
        </is>
      </c>
      <c r="F853" s="47" t="inlineStr">
        <is>
          <t>LG U+</t>
        </is>
      </c>
      <c r="G853" s="47" t="inlineStr">
        <is>
          <t>LTE</t>
        </is>
      </c>
      <c r="H853" s="48" t="n">
        <v>21500</v>
      </c>
      <c r="I853" s="48" t="n">
        <v>24</v>
      </c>
      <c r="J853" s="48" t="n">
        <v>35090</v>
      </c>
      <c r="K853" s="47">
        <f t="array" ref="K853">_xlfn.XLOOKUP(1,(참조!$B$2:$B$15=E853)*(참조!$D$2:$D$15=C853)*(참조!$E$2:$E$15=D853),참조!$C$2:$C$15,"")</f>
        <v/>
      </c>
    </row>
    <row r="854" hidden="1" s="27">
      <c r="A854" s="47" t="inlineStr">
        <is>
          <t>U+유모바일</t>
        </is>
      </c>
      <c r="B854" s="47" t="inlineStr">
        <is>
          <t>교보문고 북 플러스알파 15GB+</t>
        </is>
      </c>
      <c r="C854" s="47" t="inlineStr">
        <is>
          <t>무제한</t>
        </is>
      </c>
      <c r="D854" s="47" t="inlineStr">
        <is>
          <t>무제한</t>
        </is>
      </c>
      <c r="E854" s="47" t="inlineStr">
        <is>
          <t>월 15GB + 1Mbps</t>
        </is>
      </c>
      <c r="F854" s="47" t="inlineStr">
        <is>
          <t>LG U+</t>
        </is>
      </c>
      <c r="G854" s="47" t="inlineStr">
        <is>
          <t>LTE</t>
        </is>
      </c>
      <c r="H854" s="48" t="n">
        <v>22400</v>
      </c>
      <c r="I854" s="48" t="n"/>
      <c r="J854" s="48" t="n"/>
      <c r="K854" s="47">
        <f t="array" ref="K854">_xlfn.XLOOKUP(1,(참조!$B$2:$B$15=E854)*(참조!$D$2:$D$15=C854)*(참조!$E$2:$E$15=D854),참조!$C$2:$C$15,"")</f>
        <v/>
      </c>
    </row>
    <row r="855" hidden="1" s="27">
      <c r="A855" s="47" t="inlineStr">
        <is>
          <t>티플러스</t>
        </is>
      </c>
      <c r="B855" s="47" t="inlineStr">
        <is>
          <t>The 완전마음껏15G+(100분)(컬쳐랜드 문화상품권 매월 5000P)</t>
        </is>
      </c>
      <c r="C855" s="47" t="inlineStr">
        <is>
          <t>100분</t>
        </is>
      </c>
      <c r="D855" s="47" t="inlineStr">
        <is>
          <t>100건</t>
        </is>
      </c>
      <c r="E855" s="47" t="inlineStr">
        <is>
          <t>월 15GB + 3Mbps</t>
        </is>
      </c>
      <c r="F855" s="47" t="inlineStr">
        <is>
          <t>LG U+</t>
        </is>
      </c>
      <c r="G855" s="47" t="inlineStr">
        <is>
          <t>LTE</t>
        </is>
      </c>
      <c r="H855" s="48" t="n">
        <v>21500</v>
      </c>
      <c r="I855" s="48" t="n">
        <v>24</v>
      </c>
      <c r="J855" s="48" t="n">
        <v>35090</v>
      </c>
      <c r="K855" s="47">
        <f t="array" ref="K855">_xlfn.XLOOKUP(1,(참조!$B$2:$B$15=E855)*(참조!$D$2:$D$15=C855)*(참조!$E$2:$E$15=D855),참조!$C$2:$C$15,"")</f>
        <v/>
      </c>
    </row>
    <row r="856" hidden="1" s="27">
      <c r="A856" s="47" t="inlineStr">
        <is>
          <t>더원모바일</t>
        </is>
      </c>
      <c r="B856" s="47" t="inlineStr">
        <is>
          <t>TOP 5G 200GB 기본 (쿠팡캐시)</t>
        </is>
      </c>
      <c r="C856" s="47" t="inlineStr">
        <is>
          <t>무제한</t>
        </is>
      </c>
      <c r="D856" s="47" t="inlineStr">
        <is>
          <t>무제한</t>
        </is>
      </c>
      <c r="E856" s="47" t="inlineStr">
        <is>
          <t>월 200GB + 10Mbps</t>
        </is>
      </c>
      <c r="F856" s="47" t="inlineStr">
        <is>
          <t>KT</t>
        </is>
      </c>
      <c r="G856" s="47" t="inlineStr">
        <is>
          <t>5G</t>
        </is>
      </c>
      <c r="H856" s="48" t="n">
        <v>33000</v>
      </c>
      <c r="I856" s="48" t="n">
        <v>12</v>
      </c>
      <c r="J856" s="48" t="n">
        <v>55000</v>
      </c>
      <c r="K856" s="47">
        <f t="array" ref="K856">_xlfn.XLOOKUP(1,(참조!$B$2:$B$15=E856)*(참조!$D$2:$D$15=C856)*(참조!$E$2:$E$15=D856),참조!$C$2:$C$15,"")</f>
        <v/>
      </c>
    </row>
    <row r="857" hidden="1" s="27">
      <c r="A857" s="47" t="inlineStr">
        <is>
          <t>이야기모바일</t>
        </is>
      </c>
      <c r="B857" s="47" t="inlineStr">
        <is>
          <t>이야기S 쇼핑케어 100GB+</t>
        </is>
      </c>
      <c r="C857" s="47" t="inlineStr">
        <is>
          <t>무제한</t>
        </is>
      </c>
      <c r="D857" s="47" t="inlineStr">
        <is>
          <t>무제한</t>
        </is>
      </c>
      <c r="E857" s="47" t="inlineStr">
        <is>
          <t>월 100GB + 5Mbps</t>
        </is>
      </c>
      <c r="F857" s="47" t="inlineStr">
        <is>
          <t>SKT</t>
        </is>
      </c>
      <c r="G857" s="47" t="inlineStr">
        <is>
          <t>LTE</t>
        </is>
      </c>
      <c r="H857" s="48" t="n">
        <v>18700</v>
      </c>
      <c r="I857" s="48" t="n">
        <v>7</v>
      </c>
      <c r="J857" s="48" t="n">
        <v>49500</v>
      </c>
      <c r="K857" s="47">
        <f t="array" ref="K857">_xlfn.XLOOKUP(1,(참조!$B$2:$B$15=E857)*(참조!$D$2:$D$15=C857)*(참조!$E$2:$E$15=D857),참조!$C$2:$C$15,"")</f>
        <v/>
      </c>
    </row>
    <row r="858" hidden="1" s="27">
      <c r="A858" s="47" t="inlineStr">
        <is>
          <t>에이모바일</t>
        </is>
      </c>
      <c r="B858" s="47" t="inlineStr">
        <is>
          <t>A 5G 스마트 15GB/300분</t>
        </is>
      </c>
      <c r="C858" s="47" t="inlineStr">
        <is>
          <t>300분</t>
        </is>
      </c>
      <c r="D858" s="47" t="inlineStr">
        <is>
          <t>100건</t>
        </is>
      </c>
      <c r="E858" s="47" t="inlineStr">
        <is>
          <t>월 15GB</t>
        </is>
      </c>
      <c r="F858" s="47" t="inlineStr">
        <is>
          <t>SKT</t>
        </is>
      </c>
      <c r="G858" s="47" t="inlineStr">
        <is>
          <t>5G</t>
        </is>
      </c>
      <c r="H858" s="48" t="n">
        <v>990</v>
      </c>
      <c r="I858" s="48" t="n">
        <v>7</v>
      </c>
      <c r="J858" s="48" t="n">
        <v>19470</v>
      </c>
      <c r="K858" s="47">
        <f t="array" ref="K858">_xlfn.XLOOKUP(1,(참조!$B$2:$B$15=E858)*(참조!$D$2:$D$15=C858)*(참조!$E$2:$E$15=D858),참조!$C$2:$C$15,"")</f>
        <v/>
      </c>
    </row>
    <row r="859" hidden="1" s="27">
      <c r="A859" s="47" t="inlineStr">
        <is>
          <t>스마텔</t>
        </is>
      </c>
      <c r="B859" s="47" t="inlineStr">
        <is>
          <t>스위트 15GB+(후후) (+10GB 24개월간 추가 제공)</t>
        </is>
      </c>
      <c r="C859" s="47" t="inlineStr">
        <is>
          <t>무제한</t>
        </is>
      </c>
      <c r="D859" s="47" t="inlineStr">
        <is>
          <t>무제한</t>
        </is>
      </c>
      <c r="E859" s="47" t="inlineStr">
        <is>
          <t>월 15GB + 1Mbps</t>
        </is>
      </c>
      <c r="F859" s="47" t="inlineStr">
        <is>
          <t>KT</t>
        </is>
      </c>
      <c r="G859" s="47" t="inlineStr">
        <is>
          <t>LTE</t>
        </is>
      </c>
      <c r="H859" s="48" t="n">
        <v>23100</v>
      </c>
      <c r="I859" s="48" t="n">
        <v>36</v>
      </c>
      <c r="J859" s="48" t="n">
        <v>30800</v>
      </c>
      <c r="K859" s="47">
        <f t="array" ref="K859">_xlfn.XLOOKUP(1,(참조!$B$2:$B$15=E859)*(참조!$D$2:$D$15=C859)*(참조!$E$2:$E$15=D859),참조!$C$2:$C$15,"")</f>
        <v/>
      </c>
    </row>
    <row r="860" hidden="1" s="27">
      <c r="A860" s="47" t="inlineStr">
        <is>
          <t>U+유모바일</t>
        </is>
      </c>
      <c r="B860" s="47" t="inlineStr">
        <is>
          <t>[윌 240개] 플러스 알파 15GB+</t>
        </is>
      </c>
      <c r="C860" s="47" t="inlineStr">
        <is>
          <t>무제한</t>
        </is>
      </c>
      <c r="D860" s="47" t="inlineStr">
        <is>
          <t>무제한</t>
        </is>
      </c>
      <c r="E860" s="47" t="inlineStr">
        <is>
          <t>월 15GB + 1Mbps</t>
        </is>
      </c>
      <c r="F860" s="47" t="inlineStr">
        <is>
          <t>LG U+</t>
        </is>
      </c>
      <c r="G860" s="47" t="inlineStr">
        <is>
          <t>LTE</t>
        </is>
      </c>
      <c r="H860" s="48" t="n">
        <v>22500</v>
      </c>
      <c r="I860" s="48" t="n"/>
      <c r="J860" s="48" t="n"/>
      <c r="K860" s="47">
        <f t="array" ref="K860">_xlfn.XLOOKUP(1,(참조!$B$2:$B$15=E860)*(참조!$D$2:$D$15=C860)*(참조!$E$2:$E$15=D860),참조!$C$2:$C$15,"")</f>
        <v/>
      </c>
    </row>
    <row r="861" hidden="1" s="27">
      <c r="A861" s="47" t="inlineStr">
        <is>
          <t>이야기모바일</t>
        </is>
      </c>
      <c r="B861" s="47" t="inlineStr">
        <is>
          <t>함께이야기해S 무한 30GB</t>
        </is>
      </c>
      <c r="C861" s="47" t="inlineStr">
        <is>
          <t>무제한</t>
        </is>
      </c>
      <c r="D861" s="47" t="inlineStr">
        <is>
          <t>무제한</t>
        </is>
      </c>
      <c r="E861" s="47" t="inlineStr">
        <is>
          <t>월 30GB</t>
        </is>
      </c>
      <c r="F861" s="47" t="inlineStr">
        <is>
          <t>SKT</t>
        </is>
      </c>
      <c r="G861" s="47" t="inlineStr">
        <is>
          <t>LTE</t>
        </is>
      </c>
      <c r="H861" s="48" t="n">
        <v>25400</v>
      </c>
      <c r="I861" s="48" t="n">
        <v>12</v>
      </c>
      <c r="J861" s="48" t="n">
        <v>29700</v>
      </c>
      <c r="K861" s="47">
        <f t="array" ref="K861">_xlfn.XLOOKUP(1,(참조!$B$2:$B$15=E861)*(참조!$D$2:$D$15=C861)*(참조!$E$2:$E$15=D861),참조!$C$2:$C$15,"")</f>
        <v/>
      </c>
    </row>
    <row r="862" hidden="1" s="27">
      <c r="A862" s="47" t="inlineStr">
        <is>
          <t>KG모바일</t>
        </is>
      </c>
      <c r="B862" s="47" t="inlineStr">
        <is>
          <t>[일반] 실속 (5GB/300분)</t>
        </is>
      </c>
      <c r="C862" s="47" t="inlineStr">
        <is>
          <t>300분</t>
        </is>
      </c>
      <c r="D862" s="47" t="inlineStr">
        <is>
          <t>100건</t>
        </is>
      </c>
      <c r="E862" s="47" t="inlineStr">
        <is>
          <t>월 5GB</t>
        </is>
      </c>
      <c r="F862" s="47" t="inlineStr">
        <is>
          <t>LG U+</t>
        </is>
      </c>
      <c r="G862" s="47" t="inlineStr">
        <is>
          <t>LTE</t>
        </is>
      </c>
      <c r="H862" s="48" t="n">
        <v>1600</v>
      </c>
      <c r="I862" s="48" t="n">
        <v>6</v>
      </c>
      <c r="J862" s="48" t="n">
        <v>12100</v>
      </c>
      <c r="K862" s="47">
        <f t="array" ref="K862">_xlfn.XLOOKUP(1,(참조!$B$2:$B$15=E862)*(참조!$D$2:$D$15=C862)*(참조!$E$2:$E$15=D862),참조!$C$2:$C$15,"")</f>
        <v/>
      </c>
    </row>
    <row r="863" hidden="1" s="27">
      <c r="A863" s="47" t="inlineStr">
        <is>
          <t>스마텔</t>
        </is>
      </c>
      <c r="B863" s="47" t="inlineStr">
        <is>
          <t>스마트 7GB+ (24개월)</t>
        </is>
      </c>
      <c r="C863" s="47" t="inlineStr">
        <is>
          <t>무제한</t>
        </is>
      </c>
      <c r="D863" s="47" t="inlineStr">
        <is>
          <t>무제한</t>
        </is>
      </c>
      <c r="E863" s="47" t="inlineStr">
        <is>
          <t>월 7GB + 1Mbps</t>
        </is>
      </c>
      <c r="F863" s="47" t="inlineStr">
        <is>
          <t>LG U+</t>
        </is>
      </c>
      <c r="G863" s="47" t="inlineStr">
        <is>
          <t>LTE</t>
        </is>
      </c>
      <c r="H863" s="48" t="n">
        <v>15000</v>
      </c>
      <c r="I863" s="48" t="n">
        <v>24</v>
      </c>
      <c r="J863" s="48" t="n">
        <v>24200</v>
      </c>
      <c r="K863" s="47">
        <f t="array" ref="K863">_xlfn.XLOOKUP(1,(참조!$B$2:$B$15=E863)*(참조!$D$2:$D$15=C863)*(참조!$E$2:$E$15=D863),참조!$C$2:$C$15,"")</f>
        <v/>
      </c>
    </row>
    <row r="864" hidden="1" s="27">
      <c r="A864" s="47" t="inlineStr">
        <is>
          <t>U+유모바일</t>
        </is>
      </c>
      <c r="B864" s="47" t="inlineStr">
        <is>
          <t>[쿠팡이츠 12만] 100GB+/통화기본</t>
        </is>
      </c>
      <c r="C864" s="47" t="inlineStr">
        <is>
          <t>무제한</t>
        </is>
      </c>
      <c r="D864" s="47" t="inlineStr">
        <is>
          <t>무제한</t>
        </is>
      </c>
      <c r="E864" s="47" t="inlineStr">
        <is>
          <t>월 100GB + 5Mbps</t>
        </is>
      </c>
      <c r="F864" s="47" t="inlineStr">
        <is>
          <t>LG U+</t>
        </is>
      </c>
      <c r="G864" s="47" t="inlineStr">
        <is>
          <t>LTE</t>
        </is>
      </c>
      <c r="H864" s="48" t="n">
        <v>40700</v>
      </c>
      <c r="I864" s="48" t="n"/>
      <c r="J864" s="48" t="n"/>
      <c r="K864" s="47">
        <f t="array" ref="K864">_xlfn.XLOOKUP(1,(참조!$B$2:$B$15=E864)*(참조!$D$2:$D$15=C864)*(참조!$E$2:$E$15=D864),참조!$C$2:$C$15,"")</f>
        <v/>
      </c>
    </row>
    <row r="865" hidden="1" s="27">
      <c r="A865" s="47" t="inlineStr">
        <is>
          <t>티플러스</t>
        </is>
      </c>
      <c r="B865" s="47" t="inlineStr">
        <is>
          <t>티플온 7G＋</t>
        </is>
      </c>
      <c r="C865" s="47" t="inlineStr">
        <is>
          <t>무제한</t>
        </is>
      </c>
      <c r="D865" s="47" t="inlineStr">
        <is>
          <t>무제한</t>
        </is>
      </c>
      <c r="E865" s="47" t="inlineStr">
        <is>
          <t>월 7GB + 1Mbps</t>
        </is>
      </c>
      <c r="F865" s="47" t="inlineStr">
        <is>
          <t>LG U+</t>
        </is>
      </c>
      <c r="G865" s="47" t="inlineStr">
        <is>
          <t>LTE</t>
        </is>
      </c>
      <c r="H865" s="48" t="n">
        <v>3900</v>
      </c>
      <c r="I865" s="48" t="n">
        <v>7</v>
      </c>
      <c r="J865" s="48" t="n">
        <v>29700</v>
      </c>
      <c r="K865" s="47">
        <f t="array" ref="K865">_xlfn.XLOOKUP(1,(참조!$B$2:$B$15=E865)*(참조!$D$2:$D$15=C865)*(참조!$E$2:$E$15=D865),참조!$C$2:$C$15,"")</f>
        <v/>
      </c>
    </row>
    <row r="866" hidden="1" s="27">
      <c r="A866" s="47" t="inlineStr">
        <is>
          <t>고고모바일</t>
        </is>
      </c>
      <c r="B866" s="47" t="inlineStr">
        <is>
          <t>무제한 15GB+1M(다이소 매월 5000원)</t>
        </is>
      </c>
      <c r="C866" s="47" t="inlineStr">
        <is>
          <t>무제한</t>
        </is>
      </c>
      <c r="D866" s="47" t="inlineStr">
        <is>
          <t>무제한</t>
        </is>
      </c>
      <c r="E866" s="47" t="inlineStr">
        <is>
          <t>월 15GB + 1Mbps</t>
        </is>
      </c>
      <c r="F866" s="47" t="inlineStr">
        <is>
          <t>KT</t>
        </is>
      </c>
      <c r="G866" s="47" t="inlineStr">
        <is>
          <t>LTE</t>
        </is>
      </c>
      <c r="H866" s="48" t="n">
        <v>25960</v>
      </c>
      <c r="I866" s="48" t="n"/>
      <c r="J866" s="48" t="n"/>
      <c r="K866" s="47">
        <f t="array" ref="K866">_xlfn.XLOOKUP(1,(참조!$B$2:$B$15=E866)*(참조!$D$2:$D$15=C866)*(참조!$E$2:$E$15=D866),참조!$C$2:$C$15,"")</f>
        <v/>
      </c>
    </row>
    <row r="867" hidden="1" s="27">
      <c r="A867" s="47" t="inlineStr">
        <is>
          <t>모빙</t>
        </is>
      </c>
      <c r="B867" s="47" t="inlineStr">
        <is>
          <t>실속 200분6GB+</t>
        </is>
      </c>
      <c r="C867" s="47" t="inlineStr">
        <is>
          <t>200분</t>
        </is>
      </c>
      <c r="D867" s="47" t="inlineStr">
        <is>
          <t>100건</t>
        </is>
      </c>
      <c r="E867" s="47" t="inlineStr">
        <is>
          <t>월 6GB + 1Mbps</t>
        </is>
      </c>
      <c r="F867" s="47" t="inlineStr">
        <is>
          <t>LG U+</t>
        </is>
      </c>
      <c r="G867" s="47" t="inlineStr">
        <is>
          <t>LTE</t>
        </is>
      </c>
      <c r="H867" s="48" t="n">
        <v>10</v>
      </c>
      <c r="I867" s="48" t="n">
        <v>6</v>
      </c>
      <c r="J867" s="48" t="n">
        <v>16000</v>
      </c>
      <c r="K867" s="47">
        <f t="array" ref="K867">_xlfn.XLOOKUP(1,(참조!$B$2:$B$15=E867)*(참조!$D$2:$D$15=C867)*(참조!$E$2:$E$15=D867),참조!$C$2:$C$15,"")</f>
        <v/>
      </c>
    </row>
    <row r="868" hidden="1" s="27">
      <c r="A868" s="47" t="inlineStr">
        <is>
          <t>더원모바일</t>
        </is>
      </c>
      <c r="B868" s="47" t="inlineStr">
        <is>
          <t>TOP 7GB 기본 (쿠팡캐시)</t>
        </is>
      </c>
      <c r="C868" s="47" t="inlineStr">
        <is>
          <t>무제한</t>
        </is>
      </c>
      <c r="D868" s="47" t="inlineStr">
        <is>
          <t>무제한</t>
        </is>
      </c>
      <c r="E868" s="47" t="inlineStr">
        <is>
          <t>월 7GB + 1Mbps</t>
        </is>
      </c>
      <c r="F868" s="47" t="inlineStr">
        <is>
          <t>KT</t>
        </is>
      </c>
      <c r="G868" s="47" t="inlineStr">
        <is>
          <t>LTE</t>
        </is>
      </c>
      <c r="H868" s="48" t="n">
        <v>4400</v>
      </c>
      <c r="I868" s="48" t="n">
        <v>7</v>
      </c>
      <c r="J868" s="48" t="n">
        <v>26400</v>
      </c>
      <c r="K868" s="47">
        <f t="array" ref="K868">_xlfn.XLOOKUP(1,(참조!$B$2:$B$15=E868)*(참조!$D$2:$D$15=C868)*(참조!$E$2:$E$15=D868),참조!$C$2:$C$15,"")</f>
        <v/>
      </c>
    </row>
    <row r="869" hidden="1" s="27">
      <c r="A869" s="47" t="inlineStr">
        <is>
          <t>LG헬로모바일</t>
        </is>
      </c>
      <c r="B869" s="47" t="inlineStr">
        <is>
          <t>쿠폰팩 유심 일5GB</t>
        </is>
      </c>
      <c r="C869" s="47" t="inlineStr">
        <is>
          <t>무제한</t>
        </is>
      </c>
      <c r="D869" s="47" t="inlineStr">
        <is>
          <t>무제한</t>
        </is>
      </c>
      <c r="E869" s="47" t="inlineStr">
        <is>
          <t>매일 5GB + 5Mbps</t>
        </is>
      </c>
      <c r="F869" s="47" t="inlineStr">
        <is>
          <t>LG U+</t>
        </is>
      </c>
      <c r="G869" s="47" t="inlineStr">
        <is>
          <t>LTE</t>
        </is>
      </c>
      <c r="H869" s="48" t="n">
        <v>41390</v>
      </c>
      <c r="I869" s="48" t="n"/>
      <c r="J869" s="48" t="n"/>
      <c r="K869" s="47">
        <f t="array" ref="K869">_xlfn.XLOOKUP(1,(참조!$B$2:$B$15=E869)*(참조!$D$2:$D$15=C869)*(참조!$E$2:$E$15=D869),참조!$C$2:$C$15,"")</f>
        <v/>
      </c>
    </row>
    <row r="870" hidden="1" s="27">
      <c r="A870" s="47" t="inlineStr">
        <is>
          <t>모빙</t>
        </is>
      </c>
      <c r="B870" s="47" t="inlineStr">
        <is>
          <t>5G 쏙쏙 300분15GB</t>
        </is>
      </c>
      <c r="C870" s="47" t="inlineStr">
        <is>
          <t>300분</t>
        </is>
      </c>
      <c r="D870" s="47" t="inlineStr">
        <is>
          <t>100건</t>
        </is>
      </c>
      <c r="E870" s="47" t="inlineStr">
        <is>
          <t>월 15GB</t>
        </is>
      </c>
      <c r="F870" s="47" t="inlineStr">
        <is>
          <t>KT</t>
        </is>
      </c>
      <c r="G870" s="47" t="inlineStr">
        <is>
          <t>5G</t>
        </is>
      </c>
      <c r="H870" s="48" t="n">
        <v>110</v>
      </c>
      <c r="I870" s="48" t="n">
        <v>7</v>
      </c>
      <c r="J870" s="48" t="n">
        <v>31900</v>
      </c>
      <c r="K870" s="47">
        <f t="array" ref="K870">_xlfn.XLOOKUP(1,(참조!$B$2:$B$15=E870)*(참조!$D$2:$D$15=C870)*(참조!$E$2:$E$15=D870),참조!$C$2:$C$15,"")</f>
        <v/>
      </c>
    </row>
    <row r="871" hidden="1" s="27">
      <c r="A871" s="47" t="inlineStr">
        <is>
          <t>더원모바일</t>
        </is>
      </c>
      <c r="B871" s="47" t="inlineStr">
        <is>
          <t>TOP 5G 200GB 기본 (네이버페이)</t>
        </is>
      </c>
      <c r="C871" s="47" t="inlineStr">
        <is>
          <t>무제한</t>
        </is>
      </c>
      <c r="D871" s="47" t="inlineStr">
        <is>
          <t>무제한</t>
        </is>
      </c>
      <c r="E871" s="47" t="inlineStr">
        <is>
          <t>월 200GB + 10Mbps</t>
        </is>
      </c>
      <c r="F871" s="47" t="inlineStr">
        <is>
          <t>KT</t>
        </is>
      </c>
      <c r="G871" s="47" t="inlineStr">
        <is>
          <t>5G</t>
        </is>
      </c>
      <c r="H871" s="48" t="n">
        <v>33000</v>
      </c>
      <c r="I871" s="48" t="n">
        <v>12</v>
      </c>
      <c r="J871" s="48" t="n">
        <v>55000</v>
      </c>
      <c r="K871" s="47">
        <f t="array" ref="K871">_xlfn.XLOOKUP(1,(참조!$B$2:$B$15=E871)*(참조!$D$2:$D$15=C871)*(참조!$E$2:$E$15=D871),참조!$C$2:$C$15,"")</f>
        <v/>
      </c>
    </row>
    <row r="872" hidden="1" s="27">
      <c r="A872" s="47" t="inlineStr">
        <is>
          <t>찬스모바일</t>
        </is>
      </c>
      <c r="B872" s="47" t="inlineStr">
        <is>
          <t>[5G] 250분9G</t>
        </is>
      </c>
      <c r="C872" s="47" t="inlineStr">
        <is>
          <t>250분</t>
        </is>
      </c>
      <c r="D872" s="47" t="inlineStr">
        <is>
          <t>50건</t>
        </is>
      </c>
      <c r="E872" s="47" t="inlineStr">
        <is>
          <t>월 9GB</t>
        </is>
      </c>
      <c r="F872" s="47" t="inlineStr">
        <is>
          <t>LG U+</t>
        </is>
      </c>
      <c r="G872" s="47" t="inlineStr">
        <is>
          <t>5G</t>
        </is>
      </c>
      <c r="H872" s="48" t="n">
        <v>2280</v>
      </c>
      <c r="I872" s="48" t="n">
        <v>6</v>
      </c>
      <c r="J872" s="48" t="n">
        <v>13200</v>
      </c>
      <c r="K872" s="47">
        <f t="array" ref="K872">_xlfn.XLOOKUP(1,(참조!$B$2:$B$15=E872)*(참조!$D$2:$D$15=C872)*(참조!$E$2:$E$15=D872),참조!$C$2:$C$15,"")</f>
        <v/>
      </c>
    </row>
    <row r="873" hidden="1" s="27">
      <c r="A873" s="47" t="inlineStr">
        <is>
          <t>티플러스</t>
        </is>
      </c>
      <c r="B873" s="47" t="inlineStr">
        <is>
          <t>티플 100G＋(CU멤버십＋매월 5000P)</t>
        </is>
      </c>
      <c r="C873" s="47" t="inlineStr">
        <is>
          <t>무제한</t>
        </is>
      </c>
      <c r="D873" s="47" t="inlineStr">
        <is>
          <t>무제한</t>
        </is>
      </c>
      <c r="E873" s="47" t="inlineStr">
        <is>
          <t>월 100GB + 5Mbps</t>
        </is>
      </c>
      <c r="F873" s="47" t="inlineStr">
        <is>
          <t>SKT</t>
        </is>
      </c>
      <c r="G873" s="47" t="inlineStr">
        <is>
          <t>LTE</t>
        </is>
      </c>
      <c r="H873" s="48" t="n">
        <v>17900</v>
      </c>
      <c r="I873" s="48" t="n">
        <v>7</v>
      </c>
      <c r="J873" s="48" t="n">
        <v>55000</v>
      </c>
      <c r="K873" s="47">
        <f t="array" ref="K873">_xlfn.XLOOKUP(1,(참조!$B$2:$B$15=E873)*(참조!$D$2:$D$15=C873)*(참조!$E$2:$E$15=D873),참조!$C$2:$C$15,"")</f>
        <v/>
      </c>
    </row>
    <row r="874" hidden="1" s="27">
      <c r="A874" s="47" t="inlineStr">
        <is>
          <t>아이즈모바일</t>
        </is>
      </c>
      <c r="B874" s="47" t="inlineStr">
        <is>
          <t>[K]울트라(300분/20GB)</t>
        </is>
      </c>
      <c r="C874" s="47" t="inlineStr">
        <is>
          <t>300분</t>
        </is>
      </c>
      <c r="D874" s="47" t="inlineStr">
        <is>
          <t>200건</t>
        </is>
      </c>
      <c r="E874" s="47" t="inlineStr">
        <is>
          <t>월 20GB</t>
        </is>
      </c>
      <c r="F874" s="47" t="inlineStr">
        <is>
          <t>KT</t>
        </is>
      </c>
      <c r="G874" s="47" t="inlineStr">
        <is>
          <t>LTE</t>
        </is>
      </c>
      <c r="H874" s="48" t="n">
        <v>100</v>
      </c>
      <c r="I874" s="48" t="n">
        <v>7</v>
      </c>
      <c r="J874" s="48" t="n">
        <v>30800</v>
      </c>
      <c r="K874" s="47">
        <f t="array" ref="K874">_xlfn.XLOOKUP(1,(참조!$B$2:$B$15=E874)*(참조!$D$2:$D$15=C874)*(참조!$E$2:$E$15=D874),참조!$C$2:$C$15,"")</f>
        <v/>
      </c>
    </row>
    <row r="875" hidden="1" s="27">
      <c r="A875" s="47" t="inlineStr">
        <is>
          <t>U+유모바일</t>
        </is>
      </c>
      <c r="B875" s="47" t="inlineStr">
        <is>
          <t>[GS25 12만] 71GB+/통화기본</t>
        </is>
      </c>
      <c r="C875" s="47" t="inlineStr">
        <is>
          <t>무제한</t>
        </is>
      </c>
      <c r="D875" s="47" t="inlineStr">
        <is>
          <t>무제한</t>
        </is>
      </c>
      <c r="E875" s="47" t="inlineStr">
        <is>
          <t>월 11GB + 매일 2GB + 3Mbps</t>
        </is>
      </c>
      <c r="F875" s="47" t="inlineStr">
        <is>
          <t>LG U+</t>
        </is>
      </c>
      <c r="G875" s="47" t="inlineStr">
        <is>
          <t>LTE</t>
        </is>
      </c>
      <c r="H875" s="48" t="n">
        <v>35300</v>
      </c>
      <c r="I875" s="48" t="n"/>
      <c r="J875" s="48" t="n"/>
      <c r="K875" s="47">
        <f t="array" ref="K875">_xlfn.XLOOKUP(1,(참조!$B$2:$B$15=E875)*(참조!$D$2:$D$15=C875)*(참조!$E$2:$E$15=D875),참조!$C$2:$C$15,"")</f>
        <v/>
      </c>
    </row>
    <row r="876" hidden="1" s="27">
      <c r="A876" s="47" t="inlineStr">
        <is>
          <t>KG모바일</t>
        </is>
      </c>
      <c r="B876" s="47" t="inlineStr">
        <is>
          <t>[일반] 통화, 데이터 마음대로 100GB+_24개월</t>
        </is>
      </c>
      <c r="C876" s="47" t="inlineStr">
        <is>
          <t>무제한</t>
        </is>
      </c>
      <c r="D876" s="47" t="inlineStr">
        <is>
          <t>무제한</t>
        </is>
      </c>
      <c r="E876" s="47" t="inlineStr">
        <is>
          <t>월 100GB + 5Mbps</t>
        </is>
      </c>
      <c r="F876" s="47" t="inlineStr">
        <is>
          <t>LG U+</t>
        </is>
      </c>
      <c r="G876" s="47" t="inlineStr">
        <is>
          <t>LTE</t>
        </is>
      </c>
      <c r="H876" s="48" t="n">
        <v>31000</v>
      </c>
      <c r="I876" s="48" t="n">
        <v>24</v>
      </c>
      <c r="J876" s="48" t="n">
        <v>47300</v>
      </c>
      <c r="K876" s="47">
        <f t="array" ref="K876">_xlfn.XLOOKUP(1,(참조!$B$2:$B$15=E876)*(참조!$D$2:$D$15=C876)*(참조!$E$2:$E$15=D876),참조!$C$2:$C$15,"")</f>
        <v/>
      </c>
    </row>
    <row r="877" hidden="1" s="27">
      <c r="A877" s="47" t="inlineStr">
        <is>
          <t>인스모바일</t>
        </is>
      </c>
      <c r="B877" s="47" t="inlineStr">
        <is>
          <t>데이터 안심 100분+5GB+(USIM)</t>
        </is>
      </c>
      <c r="C877" s="47" t="inlineStr">
        <is>
          <t>100분</t>
        </is>
      </c>
      <c r="D877" s="47" t="inlineStr">
        <is>
          <t>100건</t>
        </is>
      </c>
      <c r="E877" s="47" t="inlineStr">
        <is>
          <t>월 5GB + 1Mbps</t>
        </is>
      </c>
      <c r="F877" s="47" t="inlineStr">
        <is>
          <t>LG U+</t>
        </is>
      </c>
      <c r="G877" s="47" t="inlineStr">
        <is>
          <t>LTE</t>
        </is>
      </c>
      <c r="H877" s="48" t="n">
        <v>1320</v>
      </c>
      <c r="I877" s="48" t="n">
        <v>6</v>
      </c>
      <c r="J877" s="48" t="n">
        <v>23100</v>
      </c>
      <c r="K877" s="47">
        <f t="array" ref="K877">_xlfn.XLOOKUP(1,(참조!$B$2:$B$15=E877)*(참조!$D$2:$D$15=C877)*(참조!$E$2:$E$15=D877),참조!$C$2:$C$15,"")</f>
        <v/>
      </c>
    </row>
    <row r="878" hidden="1" s="27">
      <c r="A878" s="47" t="inlineStr">
        <is>
          <t>이야기모바일</t>
        </is>
      </c>
      <c r="B878" s="47" t="inlineStr">
        <is>
          <t>이야기S 피싱케어 100GB+</t>
        </is>
      </c>
      <c r="C878" s="47" t="inlineStr">
        <is>
          <t>무제한</t>
        </is>
      </c>
      <c r="D878" s="47" t="inlineStr">
        <is>
          <t>무제한</t>
        </is>
      </c>
      <c r="E878" s="47" t="inlineStr">
        <is>
          <t>월 100GB + 5Mbps</t>
        </is>
      </c>
      <c r="F878" s="47" t="inlineStr">
        <is>
          <t>SKT</t>
        </is>
      </c>
      <c r="G878" s="47" t="inlineStr">
        <is>
          <t>LTE</t>
        </is>
      </c>
      <c r="H878" s="48" t="n">
        <v>18700</v>
      </c>
      <c r="I878" s="48" t="n">
        <v>7</v>
      </c>
      <c r="J878" s="48" t="n">
        <v>49500</v>
      </c>
      <c r="K878" s="47">
        <f t="array" ref="K878">_xlfn.XLOOKUP(1,(참조!$B$2:$B$15=E878)*(참조!$D$2:$D$15=C878)*(참조!$E$2:$E$15=D878),참조!$C$2:$C$15,"")</f>
        <v/>
      </c>
    </row>
    <row r="879" hidden="1" s="27">
      <c r="A879" s="47" t="inlineStr">
        <is>
          <t>고고모바일</t>
        </is>
      </c>
      <c r="B879" s="47" t="inlineStr">
        <is>
          <t>LTE200분/ 10GB</t>
        </is>
      </c>
      <c r="C879" s="47" t="inlineStr">
        <is>
          <t>200분</t>
        </is>
      </c>
      <c r="D879" s="47" t="inlineStr">
        <is>
          <t>100건</t>
        </is>
      </c>
      <c r="E879" s="47" t="inlineStr">
        <is>
          <t>월 10GB</t>
        </is>
      </c>
      <c r="F879" s="47" t="inlineStr">
        <is>
          <t>KT</t>
        </is>
      </c>
      <c r="G879" s="47" t="inlineStr">
        <is>
          <t>LTE</t>
        </is>
      </c>
      <c r="H879" s="48" t="n">
        <v>16170</v>
      </c>
      <c r="I879" s="48" t="n"/>
      <c r="J879" s="48" t="n"/>
      <c r="K879" s="47">
        <f t="array" ref="K879">_xlfn.XLOOKUP(1,(참조!$B$2:$B$15=E879)*(참조!$D$2:$D$15=C879)*(참조!$E$2:$E$15=D879),참조!$C$2:$C$15,"")</f>
        <v/>
      </c>
    </row>
    <row r="880" hidden="1" s="27">
      <c r="A880" s="47" t="inlineStr">
        <is>
          <t>KT스카이라이프</t>
        </is>
      </c>
      <c r="B880" s="47" t="inlineStr">
        <is>
          <t>모두 충분 15GB+(올리브영_5000)</t>
        </is>
      </c>
      <c r="C880" s="47" t="inlineStr">
        <is>
          <t>무제한</t>
        </is>
      </c>
      <c r="D880" s="47" t="inlineStr">
        <is>
          <t>무제한</t>
        </is>
      </c>
      <c r="E880" s="47" t="inlineStr">
        <is>
          <t>월 15GB + 1Mbps</t>
        </is>
      </c>
      <c r="F880" s="47" t="inlineStr">
        <is>
          <t>KT</t>
        </is>
      </c>
      <c r="G880" s="47" t="inlineStr">
        <is>
          <t>LTE</t>
        </is>
      </c>
      <c r="H880" s="48" t="n">
        <v>23700</v>
      </c>
      <c r="I880" s="48" t="n"/>
      <c r="J880" s="48" t="n"/>
      <c r="K880" s="47">
        <f t="array" ref="K880">_xlfn.XLOOKUP(1,(참조!$B$2:$B$15=E880)*(참조!$D$2:$D$15=C880)*(참조!$E$2:$E$15=D880),참조!$C$2:$C$15,"")</f>
        <v/>
      </c>
    </row>
    <row r="881" hidden="1" s="27">
      <c r="A881" s="47" t="inlineStr">
        <is>
          <t>이야기모바일</t>
        </is>
      </c>
      <c r="B881" s="47" t="inlineStr">
        <is>
          <t>이야기S 라이프케어 100GB+</t>
        </is>
      </c>
      <c r="C881" s="47" t="inlineStr">
        <is>
          <t>무제한</t>
        </is>
      </c>
      <c r="D881" s="47" t="inlineStr">
        <is>
          <t>무제한</t>
        </is>
      </c>
      <c r="E881" s="47" t="inlineStr">
        <is>
          <t>월 100GB + 5Mbps</t>
        </is>
      </c>
      <c r="F881" s="47" t="inlineStr">
        <is>
          <t>SKT</t>
        </is>
      </c>
      <c r="G881" s="47" t="inlineStr">
        <is>
          <t>LTE</t>
        </is>
      </c>
      <c r="H881" s="48" t="n">
        <v>18700</v>
      </c>
      <c r="I881" s="48" t="n">
        <v>7</v>
      </c>
      <c r="J881" s="48" t="n">
        <v>49500</v>
      </c>
      <c r="K881" s="47">
        <f t="array" ref="K881">_xlfn.XLOOKUP(1,(참조!$B$2:$B$15=E881)*(참조!$D$2:$D$15=C881)*(참조!$E$2:$E$15=D881),참조!$C$2:$C$15,"")</f>
        <v/>
      </c>
    </row>
    <row r="882" hidden="1" s="27">
      <c r="A882" s="47" t="inlineStr">
        <is>
          <t>찬스모바일</t>
        </is>
      </c>
      <c r="B882" s="47" t="inlineStr">
        <is>
          <t>실속데이터 250분 10GB</t>
        </is>
      </c>
      <c r="C882" s="47" t="inlineStr">
        <is>
          <t>250분</t>
        </is>
      </c>
      <c r="D882" s="47" t="inlineStr">
        <is>
          <t>100건</t>
        </is>
      </c>
      <c r="E882" s="47" t="inlineStr">
        <is>
          <t>월 10GB</t>
        </is>
      </c>
      <c r="F882" s="47" t="inlineStr">
        <is>
          <t>LG U+</t>
        </is>
      </c>
      <c r="G882" s="47" t="inlineStr">
        <is>
          <t>LTE</t>
        </is>
      </c>
      <c r="H882" s="48" t="n">
        <v>2580</v>
      </c>
      <c r="I882" s="48" t="n">
        <v>6</v>
      </c>
      <c r="J882" s="48" t="n">
        <v>14300</v>
      </c>
      <c r="K882" s="47">
        <f t="array" ref="K882">_xlfn.XLOOKUP(1,(참조!$B$2:$B$15=E882)*(참조!$D$2:$D$15=C882)*(참조!$E$2:$E$15=D882),참조!$C$2:$C$15,"")</f>
        <v/>
      </c>
    </row>
    <row r="883" hidden="1" s="27">
      <c r="A883" s="47" t="inlineStr">
        <is>
          <t>아이즈모바일</t>
        </is>
      </c>
      <c r="B883" s="47" t="inlineStr">
        <is>
          <t>아이즈(100분/5GB)</t>
        </is>
      </c>
      <c r="C883" s="47" t="inlineStr">
        <is>
          <t>100분</t>
        </is>
      </c>
      <c r="D883" s="47" t="inlineStr">
        <is>
          <t>50건</t>
        </is>
      </c>
      <c r="E883" s="47" t="inlineStr">
        <is>
          <t>월 5GB</t>
        </is>
      </c>
      <c r="F883" s="47" t="inlineStr">
        <is>
          <t>SKT</t>
        </is>
      </c>
      <c r="G883" s="47" t="inlineStr">
        <is>
          <t>LTE</t>
        </is>
      </c>
      <c r="H883" s="48" t="n">
        <v>1490</v>
      </c>
      <c r="I883" s="48" t="n"/>
      <c r="J883" s="48" t="n"/>
      <c r="K883" s="47">
        <f t="array" ref="K883">_xlfn.XLOOKUP(1,(참조!$B$2:$B$15=E883)*(참조!$D$2:$D$15=C883)*(참조!$E$2:$E$15=D883),참조!$C$2:$C$15,"")</f>
        <v/>
      </c>
    </row>
    <row r="884" hidden="1" s="27">
      <c r="A884" s="47" t="inlineStr">
        <is>
          <t>아이즈모바일</t>
        </is>
      </c>
      <c r="B884" s="47" t="inlineStr">
        <is>
          <t>아이즈우정(300분/6G)</t>
        </is>
      </c>
      <c r="C884" s="47" t="inlineStr">
        <is>
          <t>300분</t>
        </is>
      </c>
      <c r="D884" s="47" t="inlineStr">
        <is>
          <t>100건</t>
        </is>
      </c>
      <c r="E884" s="47" t="inlineStr">
        <is>
          <t>월 6GB</t>
        </is>
      </c>
      <c r="F884" s="47" t="inlineStr">
        <is>
          <t>SKT</t>
        </is>
      </c>
      <c r="G884" s="47" t="inlineStr">
        <is>
          <t>LTE</t>
        </is>
      </c>
      <c r="H884" s="48" t="n">
        <v>10</v>
      </c>
      <c r="I884" s="48" t="n">
        <v>12</v>
      </c>
      <c r="J884" s="48" t="n">
        <v>8000</v>
      </c>
      <c r="K884" s="47">
        <f t="array" ref="K884">_xlfn.XLOOKUP(1,(참조!$B$2:$B$15=E884)*(참조!$D$2:$D$15=C884)*(참조!$E$2:$E$15=D884),참조!$C$2:$C$15,"")</f>
        <v/>
      </c>
    </row>
    <row r="885" hidden="1" s="27">
      <c r="A885" s="47" t="inlineStr">
        <is>
          <t>에이모바일</t>
        </is>
      </c>
      <c r="B885" s="47" t="inlineStr">
        <is>
          <t>A 스페셜 11GB+ (24개월)</t>
        </is>
      </c>
      <c r="C885" s="47" t="inlineStr">
        <is>
          <t>무제한</t>
        </is>
      </c>
      <c r="D885" s="47" t="inlineStr">
        <is>
          <t>무제한</t>
        </is>
      </c>
      <c r="E885" s="47" t="inlineStr">
        <is>
          <t>월 11GB + 매일 2GB + 3Mbps</t>
        </is>
      </c>
      <c r="F885" s="47" t="inlineStr">
        <is>
          <t>LG U+</t>
        </is>
      </c>
      <c r="G885" s="47" t="inlineStr">
        <is>
          <t>LTE</t>
        </is>
      </c>
      <c r="H885" s="48" t="n">
        <v>23990</v>
      </c>
      <c r="I885" s="48" t="n">
        <v>24</v>
      </c>
      <c r="J885" s="48" t="n">
        <v>36300</v>
      </c>
      <c r="K885" s="47">
        <f t="array" ref="K885">_xlfn.XLOOKUP(1,(참조!$B$2:$B$15=E885)*(참조!$D$2:$D$15=C885)*(참조!$E$2:$E$15=D885),참조!$C$2:$C$15,"")</f>
        <v/>
      </c>
    </row>
    <row r="886" hidden="1" s="27">
      <c r="A886" s="47" t="inlineStr">
        <is>
          <t>티플러스</t>
        </is>
      </c>
      <c r="B886" s="47" t="inlineStr">
        <is>
          <t>The 데이터마음껏 15GB＋(100분)</t>
        </is>
      </c>
      <c r="C886" s="47" t="inlineStr">
        <is>
          <t>100분</t>
        </is>
      </c>
      <c r="D886" s="47" t="inlineStr">
        <is>
          <t>100건</t>
        </is>
      </c>
      <c r="E886" s="47" t="inlineStr">
        <is>
          <t>월 15GB + 3Mbps</t>
        </is>
      </c>
      <c r="F886" s="47" t="inlineStr">
        <is>
          <t>SKT</t>
        </is>
      </c>
      <c r="G886" s="47" t="inlineStr">
        <is>
          <t>LTE</t>
        </is>
      </c>
      <c r="H886" s="48" t="n">
        <v>10900</v>
      </c>
      <c r="I886" s="48" t="n">
        <v>7</v>
      </c>
      <c r="J886" s="48" t="n">
        <v>31900</v>
      </c>
      <c r="K886" s="47">
        <f t="array" ref="K886">_xlfn.XLOOKUP(1,(참조!$B$2:$B$15=E886)*(참조!$D$2:$D$15=C886)*(참조!$E$2:$E$15=D886),참조!$C$2:$C$15,"")</f>
        <v/>
      </c>
    </row>
    <row r="887" hidden="1" s="27">
      <c r="A887" s="47" t="inlineStr">
        <is>
          <t>티플러스</t>
        </is>
      </c>
      <c r="B887" s="47" t="inlineStr">
        <is>
          <t>티플북 15G+(300분)(도서문화상품권 매월 5000P)</t>
        </is>
      </c>
      <c r="C887" s="47" t="inlineStr">
        <is>
          <t>300분</t>
        </is>
      </c>
      <c r="D887" s="47" t="inlineStr">
        <is>
          <t>300건</t>
        </is>
      </c>
      <c r="E887" s="47" t="inlineStr">
        <is>
          <t>월 15GB + 3Mbps</t>
        </is>
      </c>
      <c r="F887" s="47" t="inlineStr">
        <is>
          <t>SKT</t>
        </is>
      </c>
      <c r="G887" s="47" t="inlineStr">
        <is>
          <t>LTE</t>
        </is>
      </c>
      <c r="H887" s="48" t="n">
        <v>12900</v>
      </c>
      <c r="I887" s="48" t="n">
        <v>7</v>
      </c>
      <c r="J887" s="48" t="n">
        <v>41800</v>
      </c>
      <c r="K887" s="47">
        <f t="array" ref="K887">_xlfn.XLOOKUP(1,(참조!$B$2:$B$15=E887)*(참조!$D$2:$D$15=C887)*(참조!$E$2:$E$15=D887),참조!$C$2:$C$15,"")</f>
        <v/>
      </c>
    </row>
    <row r="888" hidden="1" s="27">
      <c r="A888" s="47" t="inlineStr">
        <is>
          <t>아이즈모바일</t>
        </is>
      </c>
      <c r="B888" s="47" t="inlineStr">
        <is>
          <t>[S]올리브영11GB+</t>
        </is>
      </c>
      <c r="C888" s="47" t="inlineStr">
        <is>
          <t>무제한</t>
        </is>
      </c>
      <c r="D888" s="47" t="inlineStr">
        <is>
          <t>무제한</t>
        </is>
      </c>
      <c r="E888" s="47" t="inlineStr">
        <is>
          <t>월 11GB + 매일 2GB + 3Mbps</t>
        </is>
      </c>
      <c r="F888" s="47" t="inlineStr">
        <is>
          <t>SKT</t>
        </is>
      </c>
      <c r="G888" s="47" t="inlineStr">
        <is>
          <t>LTE</t>
        </is>
      </c>
      <c r="H888" s="48" t="n">
        <v>7900</v>
      </c>
      <c r="I888" s="48" t="n">
        <v>7</v>
      </c>
      <c r="J888" s="48" t="n">
        <v>48400</v>
      </c>
      <c r="K888" s="47">
        <f t="array" ref="K888">_xlfn.XLOOKUP(1,(참조!$B$2:$B$15=E888)*(참조!$D$2:$D$15=C888)*(참조!$E$2:$E$15=D888),참조!$C$2:$C$15,"")</f>
        <v/>
      </c>
    </row>
    <row r="889" hidden="1" s="27">
      <c r="A889" s="47" t="inlineStr">
        <is>
          <t>아이즈모바일</t>
        </is>
      </c>
      <c r="B889" s="47" t="inlineStr">
        <is>
          <t>[S]울트라(300분/15GB)</t>
        </is>
      </c>
      <c r="C889" s="47" t="inlineStr">
        <is>
          <t>300분</t>
        </is>
      </c>
      <c r="D889" s="47" t="inlineStr">
        <is>
          <t>100건</t>
        </is>
      </c>
      <c r="E889" s="47" t="inlineStr">
        <is>
          <t>월 15GB</t>
        </is>
      </c>
      <c r="F889" s="47" t="inlineStr">
        <is>
          <t>SKT</t>
        </is>
      </c>
      <c r="G889" s="47" t="inlineStr">
        <is>
          <t>LTE</t>
        </is>
      </c>
      <c r="H889" s="48" t="n">
        <v>10</v>
      </c>
      <c r="I889" s="48" t="n">
        <v>7</v>
      </c>
      <c r="J889" s="48" t="n">
        <v>25300</v>
      </c>
      <c r="K889" s="47">
        <f t="array" ref="K889">_xlfn.XLOOKUP(1,(참조!$B$2:$B$15=E889)*(참조!$D$2:$D$15=C889)*(참조!$E$2:$E$15=D889),참조!$C$2:$C$15,"")</f>
        <v/>
      </c>
    </row>
    <row r="890" hidden="1" s="27">
      <c r="A890" s="47" t="inlineStr">
        <is>
          <t>티플러스</t>
        </is>
      </c>
      <c r="B890" s="47" t="inlineStr">
        <is>
          <t>티플 위드유 11GB+(G car+세차클링)</t>
        </is>
      </c>
      <c r="C890" s="47" t="inlineStr">
        <is>
          <t>무제한</t>
        </is>
      </c>
      <c r="D890" s="47" t="inlineStr">
        <is>
          <t>무제한</t>
        </is>
      </c>
      <c r="E890" s="47" t="inlineStr">
        <is>
          <t>월 11GB + 매일 2GB + 3Mbps</t>
        </is>
      </c>
      <c r="F890" s="47" t="inlineStr">
        <is>
          <t>SKT</t>
        </is>
      </c>
      <c r="G890" s="47" t="inlineStr">
        <is>
          <t>LTE</t>
        </is>
      </c>
      <c r="H890" s="48" t="n">
        <v>14900</v>
      </c>
      <c r="I890" s="48" t="n">
        <v>7</v>
      </c>
      <c r="J890" s="48" t="n">
        <v>39600</v>
      </c>
      <c r="K890" s="47">
        <f t="array" ref="K890">_xlfn.XLOOKUP(1,(참조!$B$2:$B$15=E890)*(참조!$D$2:$D$15=C890)*(참조!$E$2:$E$15=D890),참조!$C$2:$C$15,"")</f>
        <v/>
      </c>
    </row>
    <row r="891" hidden="1" s="27">
      <c r="A891" s="47" t="inlineStr">
        <is>
          <t>핀다이렉트</t>
        </is>
      </c>
      <c r="B891" s="47" t="inlineStr">
        <is>
          <t>[L] 핀다이렉트Z 100GB+</t>
        </is>
      </c>
      <c r="C891" s="47" t="inlineStr">
        <is>
          <t>무제한</t>
        </is>
      </c>
      <c r="D891" s="47" t="inlineStr">
        <is>
          <t>무제한</t>
        </is>
      </c>
      <c r="E891" s="47" t="inlineStr">
        <is>
          <t>월 100GB + 5Mbps</t>
        </is>
      </c>
      <c r="F891" s="47" t="inlineStr">
        <is>
          <t>LG U+</t>
        </is>
      </c>
      <c r="G891" s="47" t="inlineStr">
        <is>
          <t>LTE</t>
        </is>
      </c>
      <c r="H891" s="48" t="n">
        <v>17000</v>
      </c>
      <c r="I891" s="48" t="n">
        <v>7</v>
      </c>
      <c r="J891" s="48" t="n">
        <v>44000</v>
      </c>
      <c r="K891" s="47">
        <f t="array" ref="K891">_xlfn.XLOOKUP(1,(참조!$B$2:$B$15=E891)*(참조!$D$2:$D$15=C891)*(참조!$E$2:$E$15=D891),참조!$C$2:$C$15,"")</f>
        <v/>
      </c>
    </row>
    <row r="892" hidden="1" s="27">
      <c r="A892" s="47" t="inlineStr">
        <is>
          <t>아이즈모바일</t>
        </is>
      </c>
      <c r="B892" s="47" t="inlineStr">
        <is>
          <t>[L]아이즈팩 11GB+일2GB</t>
        </is>
      </c>
      <c r="C892" s="47" t="inlineStr">
        <is>
          <t>무제한</t>
        </is>
      </c>
      <c r="D892" s="47" t="inlineStr">
        <is>
          <t>무제한</t>
        </is>
      </c>
      <c r="E892" s="47" t="inlineStr">
        <is>
          <t>월 11GB + 매일 2GB + 3Mbps</t>
        </is>
      </c>
      <c r="F892" s="47" t="inlineStr">
        <is>
          <t>LG U+</t>
        </is>
      </c>
      <c r="G892" s="47" t="inlineStr">
        <is>
          <t>LTE</t>
        </is>
      </c>
      <c r="H892" s="48" t="n">
        <v>22900</v>
      </c>
      <c r="I892" s="48" t="n"/>
      <c r="J892" s="48" t="n"/>
      <c r="K892" s="47">
        <f t="array" ref="K892">_xlfn.XLOOKUP(1,(참조!$B$2:$B$15=E892)*(참조!$D$2:$D$15=C892)*(참조!$E$2:$E$15=D892),참조!$C$2:$C$15,"")</f>
        <v/>
      </c>
    </row>
    <row r="893" hidden="1" s="27">
      <c r="A893" s="47" t="inlineStr">
        <is>
          <t>아이즈모바일</t>
        </is>
      </c>
      <c r="B893" s="47" t="inlineStr">
        <is>
          <t>[S]울트라(500분/20GB)</t>
        </is>
      </c>
      <c r="C893" s="47" t="inlineStr">
        <is>
          <t>500분</t>
        </is>
      </c>
      <c r="D893" s="47" t="inlineStr">
        <is>
          <t>100건</t>
        </is>
      </c>
      <c r="E893" s="47" t="inlineStr">
        <is>
          <t>월 20GB</t>
        </is>
      </c>
      <c r="F893" s="47" t="inlineStr">
        <is>
          <t>SKT</t>
        </is>
      </c>
      <c r="G893" s="47" t="inlineStr">
        <is>
          <t>LTE</t>
        </is>
      </c>
      <c r="H893" s="48" t="n">
        <v>8900</v>
      </c>
      <c r="I893" s="48" t="n"/>
      <c r="J893" s="48" t="n"/>
      <c r="K893" s="47">
        <f t="array" ref="K893">_xlfn.XLOOKUP(1,(참조!$B$2:$B$15=E893)*(참조!$D$2:$D$15=C893)*(참조!$E$2:$E$15=D893),참조!$C$2:$C$15,"")</f>
        <v/>
      </c>
    </row>
    <row r="894" hidden="1" s="27">
      <c r="A894" s="47" t="inlineStr">
        <is>
          <t>아이즈모바일</t>
        </is>
      </c>
      <c r="B894" s="47" t="inlineStr">
        <is>
          <t>[K]CU&amp;롯시 11GB+일2GB</t>
        </is>
      </c>
      <c r="C894" s="47" t="inlineStr">
        <is>
          <t>무제한</t>
        </is>
      </c>
      <c r="D894" s="47" t="inlineStr">
        <is>
          <t>무제한</t>
        </is>
      </c>
      <c r="E894" s="47" t="inlineStr">
        <is>
          <t>월 11GB + 매일 2GB + 3Mbps</t>
        </is>
      </c>
      <c r="F894" s="47" t="inlineStr">
        <is>
          <t>KT</t>
        </is>
      </c>
      <c r="G894" s="47" t="inlineStr">
        <is>
          <t>LTE</t>
        </is>
      </c>
      <c r="H894" s="48" t="n">
        <v>7700</v>
      </c>
      <c r="I894" s="48" t="n">
        <v>7</v>
      </c>
      <c r="J894" s="48" t="n">
        <v>48400</v>
      </c>
      <c r="K894" s="47">
        <f t="array" ref="K894">_xlfn.XLOOKUP(1,(참조!$B$2:$B$15=E894)*(참조!$D$2:$D$15=C894)*(참조!$E$2:$E$15=D894),참조!$C$2:$C$15,"")</f>
        <v/>
      </c>
    </row>
    <row r="895" hidden="1" s="27">
      <c r="A895" s="47" t="inlineStr">
        <is>
          <t>더원모바일</t>
        </is>
      </c>
      <c r="B895" s="47" t="inlineStr">
        <is>
          <t>TOP 7GB 기본 (웨이브 광고형)</t>
        </is>
      </c>
      <c r="C895" s="47" t="inlineStr">
        <is>
          <t>무제한</t>
        </is>
      </c>
      <c r="D895" s="47" t="inlineStr">
        <is>
          <t>무제한</t>
        </is>
      </c>
      <c r="E895" s="47" t="inlineStr">
        <is>
          <t>월 7GB + 1Mbps</t>
        </is>
      </c>
      <c r="F895" s="47" t="inlineStr">
        <is>
          <t>KT</t>
        </is>
      </c>
      <c r="G895" s="47" t="inlineStr">
        <is>
          <t>LTE</t>
        </is>
      </c>
      <c r="H895" s="48" t="n">
        <v>4400</v>
      </c>
      <c r="I895" s="48" t="n">
        <v>7</v>
      </c>
      <c r="J895" s="48" t="n">
        <v>26400</v>
      </c>
      <c r="K895" s="47">
        <f t="array" ref="K895">_xlfn.XLOOKUP(1,(참조!$B$2:$B$15=E895)*(참조!$D$2:$D$15=C895)*(참조!$E$2:$E$15=D895),참조!$C$2:$C$15,"")</f>
        <v/>
      </c>
    </row>
    <row r="896" hidden="1" s="27">
      <c r="A896" s="47" t="inlineStr">
        <is>
          <t>모빙</t>
        </is>
      </c>
      <c r="B896" s="47" t="inlineStr">
        <is>
          <t>[L] 5G 300분15GB+</t>
        </is>
      </c>
      <c r="C896" s="47" t="inlineStr">
        <is>
          <t>300분</t>
        </is>
      </c>
      <c r="D896" s="47" t="inlineStr">
        <is>
          <t>300건</t>
        </is>
      </c>
      <c r="E896" s="47" t="inlineStr">
        <is>
          <t>월 15GB + 1Mbps</t>
        </is>
      </c>
      <c r="F896" s="47" t="inlineStr">
        <is>
          <t>LG U+</t>
        </is>
      </c>
      <c r="G896" s="47" t="inlineStr">
        <is>
          <t>5G</t>
        </is>
      </c>
      <c r="H896" s="48" t="n">
        <v>3300</v>
      </c>
      <c r="I896" s="48" t="n">
        <v>6</v>
      </c>
      <c r="J896" s="48" t="n">
        <v>33000</v>
      </c>
      <c r="K896" s="47">
        <f t="array" ref="K896">_xlfn.XLOOKUP(1,(참조!$B$2:$B$15=E896)*(참조!$D$2:$D$15=C896)*(참조!$E$2:$E$15=D896),참조!$C$2:$C$15,"")</f>
        <v/>
      </c>
    </row>
    <row r="897" hidden="1" s="27">
      <c r="A897" s="47" t="inlineStr">
        <is>
          <t>아이즈모바일</t>
        </is>
      </c>
      <c r="B897" s="47" t="inlineStr">
        <is>
          <t>[K]울트라(100분/20GB)</t>
        </is>
      </c>
      <c r="C897" s="47" t="inlineStr">
        <is>
          <t>100분</t>
        </is>
      </c>
      <c r="D897" s="47" t="inlineStr">
        <is>
          <t>100건</t>
        </is>
      </c>
      <c r="E897" s="47" t="inlineStr">
        <is>
          <t>월 20GB</t>
        </is>
      </c>
      <c r="F897" s="47" t="inlineStr">
        <is>
          <t>KT</t>
        </is>
      </c>
      <c r="G897" s="47" t="inlineStr">
        <is>
          <t>LTE</t>
        </is>
      </c>
      <c r="H897" s="48" t="n">
        <v>10</v>
      </c>
      <c r="I897" s="48" t="n">
        <v>7</v>
      </c>
      <c r="J897" s="48" t="n">
        <v>28600</v>
      </c>
      <c r="K897" s="47">
        <f t="array" ref="K897">_xlfn.XLOOKUP(1,(참조!$B$2:$B$15=E897)*(참조!$D$2:$D$15=C897)*(참조!$E$2:$E$15=D897),참조!$C$2:$C$15,"")</f>
        <v/>
      </c>
    </row>
    <row r="898" hidden="1" s="27">
      <c r="A898" s="47" t="inlineStr">
        <is>
          <t>에이모바일</t>
        </is>
      </c>
      <c r="B898" s="47" t="inlineStr">
        <is>
          <t>A 5G 스페셜 150GB+</t>
        </is>
      </c>
      <c r="C898" s="47" t="inlineStr">
        <is>
          <t>무제한</t>
        </is>
      </c>
      <c r="D898" s="47" t="inlineStr">
        <is>
          <t>무제한</t>
        </is>
      </c>
      <c r="E898" s="47" t="inlineStr">
        <is>
          <t>월 150GB + 5Mbps</t>
        </is>
      </c>
      <c r="F898" s="47" t="inlineStr">
        <is>
          <t>LG U+</t>
        </is>
      </c>
      <c r="G898" s="47" t="inlineStr">
        <is>
          <t>5G</t>
        </is>
      </c>
      <c r="H898" s="48" t="n">
        <v>7401</v>
      </c>
      <c r="I898" s="48" t="n">
        <v>7</v>
      </c>
      <c r="J898" s="48" t="n">
        <v>49001</v>
      </c>
      <c r="K898" s="47">
        <f t="array" ref="K898">_xlfn.XLOOKUP(1,(참조!$B$2:$B$15=E898)*(참조!$D$2:$D$15=C898)*(참조!$E$2:$E$15=D898),참조!$C$2:$C$15,"")</f>
        <v/>
      </c>
    </row>
    <row r="899" hidden="1" s="27">
      <c r="A899" s="47" t="inlineStr">
        <is>
          <t>티플러스</t>
        </is>
      </c>
      <c r="B899" s="47" t="inlineStr">
        <is>
          <t>The 완전마음껏 11GB＋</t>
        </is>
      </c>
      <c r="C899" s="47" t="inlineStr">
        <is>
          <t>무제한</t>
        </is>
      </c>
      <c r="D899" s="47" t="inlineStr">
        <is>
          <t>무제한</t>
        </is>
      </c>
      <c r="E899" s="47" t="inlineStr">
        <is>
          <t>월 11GB + 매일 2GB + 3Mbps</t>
        </is>
      </c>
      <c r="F899" s="47" t="inlineStr">
        <is>
          <t>SKT</t>
        </is>
      </c>
      <c r="G899" s="47" t="inlineStr">
        <is>
          <t>LTE</t>
        </is>
      </c>
      <c r="H899" s="48" t="n">
        <v>14900</v>
      </c>
      <c r="I899" s="48" t="n">
        <v>7</v>
      </c>
      <c r="J899" s="48" t="n">
        <v>39600</v>
      </c>
      <c r="K899" s="47">
        <f t="array" ref="K899">_xlfn.XLOOKUP(1,(참조!$B$2:$B$15=E899)*(참조!$D$2:$D$15=C899)*(참조!$E$2:$E$15=D899),참조!$C$2:$C$15,"")</f>
        <v/>
      </c>
    </row>
    <row r="900" hidden="1" s="27">
      <c r="A900" s="47" t="inlineStr">
        <is>
          <t>고고모바일</t>
        </is>
      </c>
      <c r="B900" s="47" t="inlineStr">
        <is>
          <t>[모요only] 무제한 100GB+5M(올리브영 5000원)</t>
        </is>
      </c>
      <c r="C900" s="47" t="inlineStr">
        <is>
          <t>무제한</t>
        </is>
      </c>
      <c r="D900" s="47" t="inlineStr">
        <is>
          <t>무제한</t>
        </is>
      </c>
      <c r="E900" s="47" t="inlineStr">
        <is>
          <t>월 100GB + 5Mbps</t>
        </is>
      </c>
      <c r="F900" s="47" t="inlineStr">
        <is>
          <t>KT</t>
        </is>
      </c>
      <c r="G900" s="47" t="inlineStr">
        <is>
          <t>LTE</t>
        </is>
      </c>
      <c r="H900" s="48" t="n">
        <v>18000</v>
      </c>
      <c r="I900" s="48" t="n">
        <v>7</v>
      </c>
      <c r="J900" s="48" t="n">
        <v>47300</v>
      </c>
      <c r="K900" s="47">
        <f t="array" ref="K900">_xlfn.XLOOKUP(1,(참조!$B$2:$B$15=E900)*(참조!$D$2:$D$15=C900)*(참조!$E$2:$E$15=D900),참조!$C$2:$C$15,"")</f>
        <v/>
      </c>
    </row>
    <row r="901" hidden="1" s="27">
      <c r="A901" s="47" t="inlineStr">
        <is>
          <t>모나</t>
        </is>
      </c>
      <c r="B901" s="47" t="inlineStr">
        <is>
          <t>더중앙+모나_11G+일2G</t>
        </is>
      </c>
      <c r="C901" s="47" t="inlineStr">
        <is>
          <t>무제한</t>
        </is>
      </c>
      <c r="D901" s="47" t="inlineStr">
        <is>
          <t>무제한</t>
        </is>
      </c>
      <c r="E901" s="47" t="inlineStr">
        <is>
          <t>월 11GB + 매일 2GB + 3Mbps</t>
        </is>
      </c>
      <c r="F901" s="47" t="inlineStr">
        <is>
          <t>LG U+</t>
        </is>
      </c>
      <c r="G901" s="47" t="inlineStr">
        <is>
          <t>LTE</t>
        </is>
      </c>
      <c r="H901" s="48" t="n">
        <v>16700</v>
      </c>
      <c r="I901" s="48" t="n">
        <v>7</v>
      </c>
      <c r="J901" s="48" t="n">
        <v>39600</v>
      </c>
      <c r="K901" s="47">
        <f t="array" ref="K901">_xlfn.XLOOKUP(1,(참조!$B$2:$B$15=E901)*(참조!$D$2:$D$15=C901)*(참조!$E$2:$E$15=D901),참조!$C$2:$C$15,"")</f>
        <v/>
      </c>
    </row>
    <row r="902" hidden="1" s="27">
      <c r="A902" s="47" t="inlineStr">
        <is>
          <t>스마텔</t>
        </is>
      </c>
      <c r="B902" s="47" t="inlineStr">
        <is>
          <t>후후 스마일 15GB+</t>
        </is>
      </c>
      <c r="C902" s="47" t="inlineStr">
        <is>
          <t>100분</t>
        </is>
      </c>
      <c r="D902" s="47" t="inlineStr">
        <is>
          <t>100건</t>
        </is>
      </c>
      <c r="E902" s="47" t="inlineStr">
        <is>
          <t>월 15GB + 3Mbps</t>
        </is>
      </c>
      <c r="F902" s="47" t="inlineStr">
        <is>
          <t>SKT</t>
        </is>
      </c>
      <c r="G902" s="47" t="inlineStr">
        <is>
          <t>LTE</t>
        </is>
      </c>
      <c r="H902" s="48" t="n">
        <v>12830</v>
      </c>
      <c r="I902" s="48" t="n">
        <v>7</v>
      </c>
      <c r="J902" s="48" t="n">
        <v>33330</v>
      </c>
      <c r="K902" s="47">
        <f t="array" ref="K902">_xlfn.XLOOKUP(1,(참조!$B$2:$B$15=E902)*(참조!$D$2:$D$15=C902)*(참조!$E$2:$E$15=D902),참조!$C$2:$C$15,"")</f>
        <v/>
      </c>
    </row>
    <row r="903" hidden="1" s="27">
      <c r="A903" s="47" t="inlineStr">
        <is>
          <t>티플러스</t>
        </is>
      </c>
      <c r="B903" s="47" t="inlineStr">
        <is>
          <t>티플 7G＋(CU멤버십＋매월 5000P)</t>
        </is>
      </c>
      <c r="C903" s="47" t="inlineStr">
        <is>
          <t>무제한</t>
        </is>
      </c>
      <c r="D903" s="47" t="inlineStr">
        <is>
          <t>무제한</t>
        </is>
      </c>
      <c r="E903" s="47" t="inlineStr">
        <is>
          <t>월 7GB + 1Mbps</t>
        </is>
      </c>
      <c r="F903" s="47" t="inlineStr">
        <is>
          <t>SKT</t>
        </is>
      </c>
      <c r="G903" s="47" t="inlineStr">
        <is>
          <t>LTE</t>
        </is>
      </c>
      <c r="H903" s="48" t="n">
        <v>6900</v>
      </c>
      <c r="I903" s="48" t="n">
        <v>7</v>
      </c>
      <c r="J903" s="48" t="n">
        <v>29700</v>
      </c>
      <c r="K903" s="47">
        <f t="array" ref="K903">_xlfn.XLOOKUP(1,(참조!$B$2:$B$15=E903)*(참조!$D$2:$D$15=C903)*(참조!$E$2:$E$15=D903),참조!$C$2:$C$15,"")</f>
        <v/>
      </c>
    </row>
    <row r="904" hidden="1" s="27">
      <c r="A904" s="47" t="inlineStr">
        <is>
          <t>고고모바일</t>
        </is>
      </c>
      <c r="B904" s="47" t="inlineStr">
        <is>
          <t>고고 LTE 무제한 10GB+1M_모요</t>
        </is>
      </c>
      <c r="C904" s="47" t="inlineStr">
        <is>
          <t>무제한</t>
        </is>
      </c>
      <c r="D904" s="47" t="inlineStr">
        <is>
          <t>무제한</t>
        </is>
      </c>
      <c r="E904" s="47" t="inlineStr">
        <is>
          <t>월 10GB + 1Mbps</t>
        </is>
      </c>
      <c r="F904" s="47" t="inlineStr">
        <is>
          <t>SKT</t>
        </is>
      </c>
      <c r="G904" s="47" t="inlineStr">
        <is>
          <t>LTE</t>
        </is>
      </c>
      <c r="H904" s="48" t="n">
        <v>6000</v>
      </c>
      <c r="I904" s="48" t="n">
        <v>7</v>
      </c>
      <c r="J904" s="48" t="n">
        <v>28600</v>
      </c>
      <c r="K904" s="47">
        <f t="array" ref="K904">_xlfn.XLOOKUP(1,(참조!$B$2:$B$15=E904)*(참조!$D$2:$D$15=C904)*(참조!$E$2:$E$15=D904),참조!$C$2:$C$15,"")</f>
        <v/>
      </c>
    </row>
    <row r="905" hidden="1" s="27">
      <c r="A905" s="47" t="inlineStr">
        <is>
          <t>이야기모바일</t>
        </is>
      </c>
      <c r="B905" s="47" t="inlineStr">
        <is>
          <t>내맘대로S(200+2GB)</t>
        </is>
      </c>
      <c r="C905" s="47" t="inlineStr">
        <is>
          <t>200분</t>
        </is>
      </c>
      <c r="D905" s="47" t="inlineStr">
        <is>
          <t>50건</t>
        </is>
      </c>
      <c r="E905" s="47" t="inlineStr">
        <is>
          <t>월 2GB</t>
        </is>
      </c>
      <c r="F905" s="47" t="inlineStr">
        <is>
          <t>SKT</t>
        </is>
      </c>
      <c r="G905" s="47" t="inlineStr">
        <is>
          <t>LTE</t>
        </is>
      </c>
      <c r="H905" s="48" t="n">
        <v>3300</v>
      </c>
      <c r="I905" s="48" t="n">
        <v>24</v>
      </c>
      <c r="J905" s="48" t="n">
        <v>4100</v>
      </c>
      <c r="K905" s="47">
        <f t="array" ref="K905">_xlfn.XLOOKUP(1,(참조!$B$2:$B$15=E905)*(참조!$D$2:$D$15=C905)*(참조!$E$2:$E$15=D905),참조!$C$2:$C$15,"")</f>
        <v/>
      </c>
    </row>
    <row r="906" hidden="1" s="27">
      <c r="A906" s="47" t="inlineStr">
        <is>
          <t>이야기모바일</t>
        </is>
      </c>
      <c r="B906" s="47" t="inlineStr">
        <is>
          <t>이야기 300분+7GB(5G)</t>
        </is>
      </c>
      <c r="C906" s="47" t="inlineStr">
        <is>
          <t>300분</t>
        </is>
      </c>
      <c r="D906" s="47" t="inlineStr">
        <is>
          <t>50건</t>
        </is>
      </c>
      <c r="E906" s="47" t="inlineStr">
        <is>
          <t>월 7GB</t>
        </is>
      </c>
      <c r="F906" s="47" t="inlineStr">
        <is>
          <t>SKT</t>
        </is>
      </c>
      <c r="G906" s="47" t="inlineStr">
        <is>
          <t>5G</t>
        </is>
      </c>
      <c r="H906" s="48" t="n">
        <v>9900</v>
      </c>
      <c r="I906" s="48" t="n"/>
      <c r="J906" s="48" t="n"/>
      <c r="K906" s="47">
        <f t="array" ref="K906">_xlfn.XLOOKUP(1,(참조!$B$2:$B$15=E906)*(참조!$D$2:$D$15=C906)*(참조!$E$2:$E$15=D906),참조!$C$2:$C$15,"")</f>
        <v/>
      </c>
    </row>
    <row r="907" hidden="1" s="27">
      <c r="A907" s="47" t="inlineStr">
        <is>
          <t>인스모바일</t>
        </is>
      </c>
      <c r="B907" s="47" t="inlineStr">
        <is>
          <t>[평생할인]올프리 1GB+(USIM)</t>
        </is>
      </c>
      <c r="C907" s="47" t="inlineStr">
        <is>
          <t>무제한</t>
        </is>
      </c>
      <c r="D907" s="47" t="inlineStr">
        <is>
          <t>무제한</t>
        </is>
      </c>
      <c r="E907" s="47" t="inlineStr">
        <is>
          <t>월 1GB + 1Mbps</t>
        </is>
      </c>
      <c r="F907" s="47" t="inlineStr">
        <is>
          <t>LG U+</t>
        </is>
      </c>
      <c r="G907" s="47" t="inlineStr">
        <is>
          <t>LTE</t>
        </is>
      </c>
      <c r="H907" s="48" t="n">
        <v>8140</v>
      </c>
      <c r="I907" s="48" t="n"/>
      <c r="J907" s="48" t="n"/>
      <c r="K907" s="47">
        <f t="array" ref="K907">_xlfn.XLOOKUP(1,(참조!$B$2:$B$15=E907)*(참조!$D$2:$D$15=C907)*(참조!$E$2:$E$15=D907),참조!$C$2:$C$15,"")</f>
        <v/>
      </c>
    </row>
    <row r="908" hidden="1" s="27">
      <c r="A908" s="47" t="inlineStr">
        <is>
          <t>모빙</t>
        </is>
      </c>
      <c r="B908" s="47" t="inlineStr">
        <is>
          <t>[S] 200분10GB</t>
        </is>
      </c>
      <c r="C908" s="47" t="inlineStr">
        <is>
          <t>200분</t>
        </is>
      </c>
      <c r="D908" s="47" t="inlineStr">
        <is>
          <t>200건</t>
        </is>
      </c>
      <c r="E908" s="47" t="inlineStr">
        <is>
          <t>월 10GB</t>
        </is>
      </c>
      <c r="F908" s="47" t="inlineStr">
        <is>
          <t>SKT</t>
        </is>
      </c>
      <c r="G908" s="47" t="inlineStr">
        <is>
          <t>LTE</t>
        </is>
      </c>
      <c r="H908" s="48" t="n">
        <v>1990</v>
      </c>
      <c r="I908" s="48" t="n">
        <v>12</v>
      </c>
      <c r="J908" s="48" t="n">
        <v>21000</v>
      </c>
      <c r="K908" s="47">
        <f t="array" ref="K908">_xlfn.XLOOKUP(1,(참조!$B$2:$B$15=E908)*(참조!$D$2:$D$15=C908)*(참조!$E$2:$E$15=D908),참조!$C$2:$C$15,"")</f>
        <v/>
      </c>
    </row>
    <row r="909" hidden="1" s="27">
      <c r="A909" s="47" t="inlineStr">
        <is>
          <t>찬스모바일</t>
        </is>
      </c>
      <c r="B909" s="47" t="inlineStr">
        <is>
          <t>[5G] 300분9G</t>
        </is>
      </c>
      <c r="C909" s="47" t="inlineStr">
        <is>
          <t>300분</t>
        </is>
      </c>
      <c r="D909" s="47" t="inlineStr">
        <is>
          <t>100건</t>
        </is>
      </c>
      <c r="E909" s="47" t="inlineStr">
        <is>
          <t>월 9GB</t>
        </is>
      </c>
      <c r="F909" s="47" t="inlineStr">
        <is>
          <t>LG U+</t>
        </is>
      </c>
      <c r="G909" s="47" t="inlineStr">
        <is>
          <t>5G</t>
        </is>
      </c>
      <c r="H909" s="48" t="n">
        <v>2950</v>
      </c>
      <c r="I909" s="48" t="n">
        <v>6</v>
      </c>
      <c r="J909" s="48" t="n">
        <v>15400</v>
      </c>
      <c r="K909" s="47">
        <f t="array" ref="K909">_xlfn.XLOOKUP(1,(참조!$B$2:$B$15=E909)*(참조!$D$2:$D$15=C909)*(참조!$E$2:$E$15=D909),참조!$C$2:$C$15,"")</f>
        <v/>
      </c>
    </row>
    <row r="910" hidden="1" s="27">
      <c r="A910" s="47" t="inlineStr">
        <is>
          <t>아이즈모바일</t>
        </is>
      </c>
      <c r="B910" s="47" t="inlineStr">
        <is>
          <t>[S]올리브영100GB+</t>
        </is>
      </c>
      <c r="C910" s="47" t="inlineStr">
        <is>
          <t>무제한</t>
        </is>
      </c>
      <c r="D910" s="47" t="inlineStr">
        <is>
          <t>무제한</t>
        </is>
      </c>
      <c r="E910" s="47" t="inlineStr">
        <is>
          <t>월 100GB + 5Mbps</t>
        </is>
      </c>
      <c r="F910" s="47" t="inlineStr">
        <is>
          <t>SKT</t>
        </is>
      </c>
      <c r="G910" s="47" t="inlineStr">
        <is>
          <t>LTE</t>
        </is>
      </c>
      <c r="H910" s="48" t="n">
        <v>9900</v>
      </c>
      <c r="I910" s="48" t="n">
        <v>7</v>
      </c>
      <c r="J910" s="48" t="n">
        <v>55000</v>
      </c>
      <c r="K910" s="47">
        <f t="array" ref="K910">_xlfn.XLOOKUP(1,(참조!$B$2:$B$15=E910)*(참조!$D$2:$D$15=C910)*(참조!$E$2:$E$15=D910),참조!$C$2:$C$15,"")</f>
        <v/>
      </c>
    </row>
    <row r="911" hidden="1" s="27">
      <c r="A911" s="47" t="inlineStr">
        <is>
          <t>핀다이렉트</t>
        </is>
      </c>
      <c r="B911" s="47" t="inlineStr">
        <is>
          <t>[L] 핀다이렉트Z 11GB+</t>
        </is>
      </c>
      <c r="C911" s="47" t="inlineStr">
        <is>
          <t>무제한</t>
        </is>
      </c>
      <c r="D911" s="47" t="inlineStr">
        <is>
          <t>무제한</t>
        </is>
      </c>
      <c r="E911" s="47" t="inlineStr">
        <is>
          <t>월 11GB + 매일 2GB + 3Mbps</t>
        </is>
      </c>
      <c r="F911" s="47" t="inlineStr">
        <is>
          <t>LG U+</t>
        </is>
      </c>
      <c r="G911" s="47" t="inlineStr">
        <is>
          <t>LTE</t>
        </is>
      </c>
      <c r="H911" s="48" t="n">
        <v>15000</v>
      </c>
      <c r="I911" s="48" t="n">
        <v>7</v>
      </c>
      <c r="J911" s="48" t="n">
        <v>39600</v>
      </c>
      <c r="K911" s="47">
        <f t="array" ref="K911">_xlfn.XLOOKUP(1,(참조!$B$2:$B$15=E911)*(참조!$D$2:$D$15=C911)*(참조!$E$2:$E$15=D911),참조!$C$2:$C$15,"")</f>
        <v/>
      </c>
    </row>
    <row r="912" hidden="1" s="27">
      <c r="A912" s="47" t="inlineStr">
        <is>
          <t>더원모바일</t>
        </is>
      </c>
      <c r="B912" s="47" t="inlineStr">
        <is>
          <t>TOP 10GB 기본 (다이소)</t>
        </is>
      </c>
      <c r="C912" s="47" t="inlineStr">
        <is>
          <t>무제한</t>
        </is>
      </c>
      <c r="D912" s="47" t="inlineStr">
        <is>
          <t>무제한</t>
        </is>
      </c>
      <c r="E912" s="47" t="inlineStr">
        <is>
          <t>월 10GB + 1Mbps</t>
        </is>
      </c>
      <c r="F912" s="47" t="inlineStr">
        <is>
          <t>KT</t>
        </is>
      </c>
      <c r="G912" s="47" t="inlineStr">
        <is>
          <t>LTE</t>
        </is>
      </c>
      <c r="H912" s="48" t="n">
        <v>5500</v>
      </c>
      <c r="I912" s="48" t="n">
        <v>7</v>
      </c>
      <c r="J912" s="48" t="n">
        <v>28600</v>
      </c>
      <c r="K912" s="47">
        <f t="array" ref="K912">_xlfn.XLOOKUP(1,(참조!$B$2:$B$15=E912)*(참조!$D$2:$D$15=C912)*(참조!$E$2:$E$15=D912),참조!$C$2:$C$15,"")</f>
        <v/>
      </c>
    </row>
    <row r="913" hidden="1" s="27">
      <c r="A913" s="47" t="inlineStr">
        <is>
          <t>스마텔</t>
        </is>
      </c>
      <c r="B913" s="47" t="inlineStr">
        <is>
          <t>후후 스마일 100GB+</t>
        </is>
      </c>
      <c r="C913" s="47" t="inlineStr">
        <is>
          <t>무제한</t>
        </is>
      </c>
      <c r="D913" s="47" t="inlineStr">
        <is>
          <t>무제한</t>
        </is>
      </c>
      <c r="E913" s="47" t="inlineStr">
        <is>
          <t>월 100GB + 5Mbps</t>
        </is>
      </c>
      <c r="F913" s="47" t="inlineStr">
        <is>
          <t>SKT</t>
        </is>
      </c>
      <c r="G913" s="47" t="inlineStr">
        <is>
          <t>LTE</t>
        </is>
      </c>
      <c r="H913" s="48" t="n">
        <v>19830</v>
      </c>
      <c r="I913" s="48" t="n">
        <v>7</v>
      </c>
      <c r="J913" s="48" t="n">
        <v>47630</v>
      </c>
      <c r="K913" s="47">
        <f t="array" ref="K913">_xlfn.XLOOKUP(1,(참조!$B$2:$B$15=E913)*(참조!$D$2:$D$15=C913)*(참조!$E$2:$E$15=D913),참조!$C$2:$C$15,"")</f>
        <v/>
      </c>
    </row>
    <row r="914" hidden="1" s="27">
      <c r="A914" s="47" t="inlineStr">
        <is>
          <t>LG헬로모바일</t>
        </is>
      </c>
      <c r="B914" s="47" t="inlineStr">
        <is>
          <t>보편 안심 유심 10GB 200분</t>
        </is>
      </c>
      <c r="C914" s="47" t="inlineStr">
        <is>
          <t>200분</t>
        </is>
      </c>
      <c r="D914" s="47" t="inlineStr">
        <is>
          <t>100건</t>
        </is>
      </c>
      <c r="E914" s="47" t="inlineStr">
        <is>
          <t>월 10GB + 1Mbps</t>
        </is>
      </c>
      <c r="F914" s="47" t="inlineStr">
        <is>
          <t>LG U+</t>
        </is>
      </c>
      <c r="G914" s="47" t="inlineStr">
        <is>
          <t>LTE</t>
        </is>
      </c>
      <c r="H914" s="48" t="n">
        <v>18900</v>
      </c>
      <c r="I914" s="48" t="n"/>
      <c r="J914" s="48" t="n"/>
      <c r="K914" s="47">
        <f t="array" ref="K914">_xlfn.XLOOKUP(1,(참조!$B$2:$B$15=E914)*(참조!$D$2:$D$15=C914)*(참조!$E$2:$E$15=D914),참조!$C$2:$C$15,"")</f>
        <v/>
      </c>
    </row>
    <row r="915" hidden="1" s="27">
      <c r="A915" s="47" t="inlineStr">
        <is>
          <t>더원모바일</t>
        </is>
      </c>
      <c r="B915" s="47" t="inlineStr">
        <is>
          <t>TOP 5G 200GB 기본 (다이소)</t>
        </is>
      </c>
      <c r="C915" s="47" t="inlineStr">
        <is>
          <t>무제한</t>
        </is>
      </c>
      <c r="D915" s="47" t="inlineStr">
        <is>
          <t>무제한</t>
        </is>
      </c>
      <c r="E915" s="47" t="inlineStr">
        <is>
          <t>월 200GB + 10Mbps</t>
        </is>
      </c>
      <c r="F915" s="47" t="inlineStr">
        <is>
          <t>KT</t>
        </is>
      </c>
      <c r="G915" s="47" t="inlineStr">
        <is>
          <t>5G</t>
        </is>
      </c>
      <c r="H915" s="48" t="n">
        <v>33000</v>
      </c>
      <c r="I915" s="48" t="n">
        <v>12</v>
      </c>
      <c r="J915" s="48" t="n">
        <v>55000</v>
      </c>
      <c r="K915" s="47">
        <f t="array" ref="K915">_xlfn.XLOOKUP(1,(참조!$B$2:$B$15=E915)*(참조!$D$2:$D$15=C915)*(참조!$E$2:$E$15=D915),참조!$C$2:$C$15,"")</f>
        <v/>
      </c>
    </row>
    <row r="916" hidden="1" s="27">
      <c r="A916" s="47" t="inlineStr">
        <is>
          <t>모빙</t>
        </is>
      </c>
      <c r="B916" s="47" t="inlineStr">
        <is>
          <t>[S] 300분5GB</t>
        </is>
      </c>
      <c r="C916" s="47" t="inlineStr">
        <is>
          <t>300분</t>
        </is>
      </c>
      <c r="D916" s="47" t="inlineStr">
        <is>
          <t>300건</t>
        </is>
      </c>
      <c r="E916" s="47" t="inlineStr">
        <is>
          <t>월 5GB</t>
        </is>
      </c>
      <c r="F916" s="47" t="inlineStr">
        <is>
          <t>SKT</t>
        </is>
      </c>
      <c r="G916" s="47" t="inlineStr">
        <is>
          <t>LTE</t>
        </is>
      </c>
      <c r="H916" s="48" t="n">
        <v>990</v>
      </c>
      <c r="I916" s="48" t="n">
        <v>12</v>
      </c>
      <c r="J916" s="48" t="n">
        <v>20000</v>
      </c>
      <c r="K916" s="47">
        <f t="array" ref="K916">_xlfn.XLOOKUP(1,(참조!$B$2:$B$15=E916)*(참조!$D$2:$D$15=C916)*(참조!$E$2:$E$15=D916),참조!$C$2:$C$15,"")</f>
        <v/>
      </c>
    </row>
    <row r="917" hidden="1" s="27">
      <c r="A917" s="47" t="inlineStr">
        <is>
          <t>스마텔</t>
        </is>
      </c>
      <c r="B917" s="47" t="inlineStr">
        <is>
          <t>LTE 음성무제한 8GB</t>
        </is>
      </c>
      <c r="C917" s="47" t="inlineStr">
        <is>
          <t>무제한</t>
        </is>
      </c>
      <c r="D917" s="47" t="inlineStr">
        <is>
          <t>200건</t>
        </is>
      </c>
      <c r="E917" s="47" t="inlineStr">
        <is>
          <t>월 8GB</t>
        </is>
      </c>
      <c r="F917" s="47" t="inlineStr">
        <is>
          <t>SKT</t>
        </is>
      </c>
      <c r="G917" s="47" t="inlineStr">
        <is>
          <t>LTE</t>
        </is>
      </c>
      <c r="H917" s="48" t="n">
        <v>1200</v>
      </c>
      <c r="I917" s="48" t="n">
        <v>7</v>
      </c>
      <c r="J917" s="48" t="n">
        <v>18700</v>
      </c>
      <c r="K917" s="47">
        <f t="array" ref="K917">_xlfn.XLOOKUP(1,(참조!$B$2:$B$15=E917)*(참조!$D$2:$D$15=C917)*(참조!$E$2:$E$15=D917),참조!$C$2:$C$15,"")</f>
        <v/>
      </c>
    </row>
    <row r="918" hidden="1" s="27">
      <c r="A918" s="47" t="inlineStr">
        <is>
          <t>스마텔</t>
        </is>
      </c>
      <c r="B918" s="47" t="inlineStr">
        <is>
          <t>5G 스마트 125GB+</t>
        </is>
      </c>
      <c r="C918" s="47" t="inlineStr">
        <is>
          <t>무제한</t>
        </is>
      </c>
      <c r="D918" s="47" t="inlineStr">
        <is>
          <t>무제한</t>
        </is>
      </c>
      <c r="E918" s="47" t="inlineStr">
        <is>
          <t>월 125GB + 5Mbps</t>
        </is>
      </c>
      <c r="F918" s="47" t="inlineStr">
        <is>
          <t>LG U+</t>
        </is>
      </c>
      <c r="G918" s="47" t="inlineStr">
        <is>
          <t>5G</t>
        </is>
      </c>
      <c r="H918" s="48" t="n">
        <v>17500</v>
      </c>
      <c r="I918" s="48" t="n">
        <v>7</v>
      </c>
      <c r="J918" s="48" t="n">
        <v>52800</v>
      </c>
      <c r="K918" s="47">
        <f t="array" ref="K918">_xlfn.XLOOKUP(1,(참조!$B$2:$B$15=E918)*(참조!$D$2:$D$15=C918)*(참조!$E$2:$E$15=D918),참조!$C$2:$C$15,"")</f>
        <v/>
      </c>
    </row>
    <row r="919" hidden="1" s="27">
      <c r="A919" s="47" t="inlineStr">
        <is>
          <t>에이모바일</t>
        </is>
      </c>
      <c r="B919" s="47" t="inlineStr">
        <is>
          <t>A 5G 스페셜 에센셜 (24개월)</t>
        </is>
      </c>
      <c r="C919" s="47" t="inlineStr">
        <is>
          <t>무제한</t>
        </is>
      </c>
      <c r="D919" s="47" t="inlineStr">
        <is>
          <t>무제한</t>
        </is>
      </c>
      <c r="E919" s="47" t="inlineStr">
        <is>
          <t>월 125GB + 5Mbps</t>
        </is>
      </c>
      <c r="F919" s="47" t="inlineStr">
        <is>
          <t>LG U+</t>
        </is>
      </c>
      <c r="G919" s="47" t="inlineStr">
        <is>
          <t>5G</t>
        </is>
      </c>
      <c r="H919" s="48" t="n">
        <v>25500</v>
      </c>
      <c r="I919" s="48" t="n">
        <v>24</v>
      </c>
      <c r="J919" s="48" t="n">
        <v>50600</v>
      </c>
      <c r="K919" s="47">
        <f t="array" ref="K919">_xlfn.XLOOKUP(1,(참조!$B$2:$B$15=E919)*(참조!$D$2:$D$15=C919)*(참조!$E$2:$E$15=D919),참조!$C$2:$C$15,"")</f>
        <v/>
      </c>
    </row>
    <row r="920" hidden="1" s="27">
      <c r="A920" s="47" t="inlineStr">
        <is>
          <t>스마텔</t>
        </is>
      </c>
      <c r="B920" s="47" t="inlineStr">
        <is>
          <t>USIM 스마트 4.5GB+</t>
        </is>
      </c>
      <c r="C920" s="47" t="inlineStr">
        <is>
          <t>무제한</t>
        </is>
      </c>
      <c r="D920" s="47" t="inlineStr">
        <is>
          <t>무제한</t>
        </is>
      </c>
      <c r="E920" s="47" t="inlineStr">
        <is>
          <t>월 4.5GB + 1Mbps</t>
        </is>
      </c>
      <c r="F920" s="47" t="inlineStr">
        <is>
          <t>LG U+</t>
        </is>
      </c>
      <c r="G920" s="47" t="inlineStr">
        <is>
          <t>LTE</t>
        </is>
      </c>
      <c r="H920" s="48" t="n">
        <v>5000</v>
      </c>
      <c r="I920" s="48" t="n">
        <v>12</v>
      </c>
      <c r="J920" s="48" t="n">
        <v>16500</v>
      </c>
      <c r="K920" s="47">
        <f t="array" ref="K920">_xlfn.XLOOKUP(1,(참조!$B$2:$B$15=E920)*(참조!$D$2:$D$15=C920)*(참조!$E$2:$E$15=D920),참조!$C$2:$C$15,"")</f>
        <v/>
      </c>
    </row>
    <row r="921" hidden="1" s="27">
      <c r="A921" s="47" t="inlineStr">
        <is>
          <t>모빙</t>
        </is>
      </c>
      <c r="B921" s="47" t="inlineStr">
        <is>
          <t>[L] 5G 데이터 125GB+</t>
        </is>
      </c>
      <c r="C921" s="47" t="inlineStr">
        <is>
          <t>무제한</t>
        </is>
      </c>
      <c r="D921" s="47" t="inlineStr">
        <is>
          <t>무제한</t>
        </is>
      </c>
      <c r="E921" s="47" t="inlineStr">
        <is>
          <t>월 125GB + 5Mbps</t>
        </is>
      </c>
      <c r="F921" s="47" t="inlineStr">
        <is>
          <t>LG U+</t>
        </is>
      </c>
      <c r="G921" s="47" t="inlineStr">
        <is>
          <t>5G</t>
        </is>
      </c>
      <c r="H921" s="48" t="n">
        <v>11000</v>
      </c>
      <c r="I921" s="48" t="n">
        <v>7</v>
      </c>
      <c r="J921" s="48" t="n">
        <v>53900</v>
      </c>
      <c r="K921" s="47">
        <f t="array" ref="K921">_xlfn.XLOOKUP(1,(참조!$B$2:$B$15=E921)*(참조!$D$2:$D$15=C921)*(참조!$E$2:$E$15=D921),참조!$C$2:$C$15,"")</f>
        <v/>
      </c>
    </row>
    <row r="922" hidden="1" s="27">
      <c r="A922" s="47" t="inlineStr">
        <is>
          <t>이야기모바일</t>
        </is>
      </c>
      <c r="B922" s="47" t="inlineStr">
        <is>
          <t>이야기 라이트 7GB+(24개월)</t>
        </is>
      </c>
      <c r="C922" s="47" t="inlineStr">
        <is>
          <t>무제한</t>
        </is>
      </c>
      <c r="D922" s="47" t="inlineStr">
        <is>
          <t>무제한</t>
        </is>
      </c>
      <c r="E922" s="47" t="inlineStr">
        <is>
          <t>월 7GB + 1Mbps</t>
        </is>
      </c>
      <c r="F922" s="47" t="inlineStr">
        <is>
          <t>LG U+</t>
        </is>
      </c>
      <c r="G922" s="47" t="inlineStr">
        <is>
          <t>LTE</t>
        </is>
      </c>
      <c r="H922" s="48" t="n">
        <v>16000</v>
      </c>
      <c r="I922" s="48" t="n">
        <v>24</v>
      </c>
      <c r="J922" s="48" t="n">
        <v>23100</v>
      </c>
      <c r="K922" s="47">
        <f t="array" ref="K922">_xlfn.XLOOKUP(1,(참조!$B$2:$B$15=E922)*(참조!$D$2:$D$15=C922)*(참조!$E$2:$E$15=D922),참조!$C$2:$C$15,"")</f>
        <v/>
      </c>
    </row>
    <row r="923" hidden="1" s="27">
      <c r="A923" s="47" t="inlineStr">
        <is>
          <t>고고모바일</t>
        </is>
      </c>
      <c r="B923" s="47" t="inlineStr">
        <is>
          <t>5G100분/1GB-데이터소진후 자동차단</t>
        </is>
      </c>
      <c r="C923" s="47" t="inlineStr">
        <is>
          <t>100분</t>
        </is>
      </c>
      <c r="D923" s="47" t="inlineStr">
        <is>
          <t>100건</t>
        </is>
      </c>
      <c r="E923" s="47" t="inlineStr">
        <is>
          <t>월 1GB</t>
        </is>
      </c>
      <c r="F923" s="47" t="inlineStr">
        <is>
          <t>KT</t>
        </is>
      </c>
      <c r="G923" s="47" t="inlineStr">
        <is>
          <t>5G</t>
        </is>
      </c>
      <c r="H923" s="48" t="n">
        <v>7260</v>
      </c>
      <c r="I923" s="48" t="n"/>
      <c r="J923" s="48" t="n"/>
      <c r="K923" s="47">
        <f t="array" ref="K923">_xlfn.XLOOKUP(1,(참조!$B$2:$B$15=E923)*(참조!$D$2:$D$15=C923)*(참조!$E$2:$E$15=D923),참조!$C$2:$C$15,"")</f>
        <v/>
      </c>
    </row>
    <row r="924" hidden="1" s="27">
      <c r="A924" s="47" t="inlineStr">
        <is>
          <t>KT스카이라이프</t>
        </is>
      </c>
      <c r="B924" s="47" t="inlineStr">
        <is>
          <t>모두 충분 11.0GB+(지니뮤직)</t>
        </is>
      </c>
      <c r="C924" s="47" t="inlineStr">
        <is>
          <t>무제한</t>
        </is>
      </c>
      <c r="D924" s="47" t="inlineStr">
        <is>
          <t>무제한</t>
        </is>
      </c>
      <c r="E924" s="47" t="inlineStr">
        <is>
          <t>월 11GB + 매일 2GB + 3Mbps</t>
        </is>
      </c>
      <c r="F924" s="47" t="inlineStr">
        <is>
          <t>KT</t>
        </is>
      </c>
      <c r="G924" s="47" t="inlineStr">
        <is>
          <t>LTE</t>
        </is>
      </c>
      <c r="H924" s="48" t="n">
        <v>35800</v>
      </c>
      <c r="I924" s="48" t="n"/>
      <c r="J924" s="48" t="n"/>
      <c r="K924" s="47">
        <f t="array" ref="K924">_xlfn.XLOOKUP(1,(참조!$B$2:$B$15=E924)*(참조!$D$2:$D$15=C924)*(참조!$E$2:$E$15=D924),참조!$C$2:$C$15,"")</f>
        <v/>
      </c>
    </row>
    <row r="925" hidden="1" s="27">
      <c r="A925" s="47" t="inlineStr">
        <is>
          <t>이야기모바일</t>
        </is>
      </c>
      <c r="B925" s="47" t="inlineStr">
        <is>
          <t>함께이야기해S(500분+20GB)</t>
        </is>
      </c>
      <c r="C925" s="47" t="inlineStr">
        <is>
          <t>500분</t>
        </is>
      </c>
      <c r="D925" s="47" t="inlineStr">
        <is>
          <t>200건</t>
        </is>
      </c>
      <c r="E925" s="47" t="inlineStr">
        <is>
          <t>월 20GB</t>
        </is>
      </c>
      <c r="F925" s="47" t="inlineStr">
        <is>
          <t>SKT</t>
        </is>
      </c>
      <c r="G925" s="47" t="inlineStr">
        <is>
          <t>LTE</t>
        </is>
      </c>
      <c r="H925" s="48" t="n">
        <v>19800</v>
      </c>
      <c r="I925" s="48" t="n"/>
      <c r="J925" s="48" t="n"/>
      <c r="K925" s="47">
        <f t="array" ref="K925">_xlfn.XLOOKUP(1,(참조!$B$2:$B$15=E925)*(참조!$D$2:$D$15=C925)*(참조!$E$2:$E$15=D925),참조!$C$2:$C$15,"")</f>
        <v/>
      </c>
    </row>
    <row r="926" hidden="1" s="27">
      <c r="A926" s="47" t="inlineStr">
        <is>
          <t>찬스모바일</t>
        </is>
      </c>
      <c r="B926" s="47" t="inlineStr">
        <is>
          <t>[모요only] 알찬 100분 15GB+3Mbps</t>
        </is>
      </c>
      <c r="C926" s="47" t="inlineStr">
        <is>
          <t>100분</t>
        </is>
      </c>
      <c r="D926" s="47" t="inlineStr">
        <is>
          <t>100건</t>
        </is>
      </c>
      <c r="E926" s="47" t="inlineStr">
        <is>
          <t>월 15GB + 3Mbps</t>
        </is>
      </c>
      <c r="F926" s="47" t="inlineStr">
        <is>
          <t>LG U+</t>
        </is>
      </c>
      <c r="G926" s="47" t="inlineStr">
        <is>
          <t>LTE</t>
        </is>
      </c>
      <c r="H926" s="48" t="n">
        <v>14000</v>
      </c>
      <c r="I926" s="48" t="n">
        <v>7</v>
      </c>
      <c r="J926" s="48" t="n">
        <v>28600</v>
      </c>
      <c r="K926" s="47">
        <f t="array" ref="K926">_xlfn.XLOOKUP(1,(참조!$B$2:$B$15=E926)*(참조!$D$2:$D$15=C926)*(참조!$E$2:$E$15=D926),참조!$C$2:$C$15,"")</f>
        <v/>
      </c>
    </row>
    <row r="927" hidden="1" s="27">
      <c r="A927" s="47" t="inlineStr">
        <is>
          <t>모빙</t>
        </is>
      </c>
      <c r="B927" s="47" t="inlineStr">
        <is>
          <t>[S] 5G 모빙 300분20GB</t>
        </is>
      </c>
      <c r="C927" s="47" t="inlineStr">
        <is>
          <t>300분</t>
        </is>
      </c>
      <c r="D927" s="47" t="inlineStr">
        <is>
          <t>100건</t>
        </is>
      </c>
      <c r="E927" s="47" t="inlineStr">
        <is>
          <t>월 20GB</t>
        </is>
      </c>
      <c r="F927" s="47" t="inlineStr">
        <is>
          <t>SKT</t>
        </is>
      </c>
      <c r="G927" s="47" t="inlineStr">
        <is>
          <t>5G</t>
        </is>
      </c>
      <c r="H927" s="48" t="n">
        <v>15000</v>
      </c>
      <c r="I927" s="48" t="n"/>
      <c r="J927" s="48" t="n"/>
      <c r="K927" s="47">
        <f t="array" ref="K927">_xlfn.XLOOKUP(1,(참조!$B$2:$B$15=E927)*(참조!$D$2:$D$15=C927)*(참조!$E$2:$E$15=D927),참조!$C$2:$C$15,"")</f>
        <v/>
      </c>
    </row>
    <row r="928" hidden="1" s="27">
      <c r="A928" s="47" t="inlineStr">
        <is>
          <t>U+유모바일</t>
        </is>
      </c>
      <c r="B928" s="47" t="inlineStr">
        <is>
          <t>[평생할인] 15GB+/100분</t>
        </is>
      </c>
      <c r="C928" s="47" t="inlineStr">
        <is>
          <t>100분</t>
        </is>
      </c>
      <c r="D928" s="47" t="inlineStr">
        <is>
          <t>100건</t>
        </is>
      </c>
      <c r="E928" s="47" t="inlineStr">
        <is>
          <t>월 15GB + 3Mbps</t>
        </is>
      </c>
      <c r="F928" s="47" t="inlineStr">
        <is>
          <t>LG U+</t>
        </is>
      </c>
      <c r="G928" s="47" t="inlineStr">
        <is>
          <t>LTE</t>
        </is>
      </c>
      <c r="H928" s="48" t="n">
        <v>25250</v>
      </c>
      <c r="I928" s="48" t="n"/>
      <c r="J928" s="48" t="n"/>
      <c r="K928" s="47">
        <f t="array" ref="K928">_xlfn.XLOOKUP(1,(참조!$B$2:$B$15=E928)*(참조!$D$2:$D$15=C928)*(참조!$E$2:$E$15=D928),참조!$C$2:$C$15,"")</f>
        <v/>
      </c>
    </row>
    <row r="929" hidden="1" s="27">
      <c r="A929" s="47" t="inlineStr">
        <is>
          <t>KT스카이라이프</t>
        </is>
      </c>
      <c r="B929" s="47" t="inlineStr">
        <is>
          <t>모두 충분 100GB+(CU)</t>
        </is>
      </c>
      <c r="C929" s="47" t="inlineStr">
        <is>
          <t>무제한</t>
        </is>
      </c>
      <c r="D929" s="47" t="inlineStr">
        <is>
          <t>무제한</t>
        </is>
      </c>
      <c r="E929" s="47" t="inlineStr">
        <is>
          <t>월 100GB + 5Mbps</t>
        </is>
      </c>
      <c r="F929" s="47" t="inlineStr">
        <is>
          <t>KT</t>
        </is>
      </c>
      <c r="G929" s="47" t="inlineStr">
        <is>
          <t>LTE</t>
        </is>
      </c>
      <c r="H929" s="48" t="n">
        <v>39400</v>
      </c>
      <c r="I929" s="48" t="n"/>
      <c r="J929" s="48" t="n"/>
      <c r="K929" s="47">
        <f t="array" ref="K929">_xlfn.XLOOKUP(1,(참조!$B$2:$B$15=E929)*(참조!$D$2:$D$15=C929)*(참조!$E$2:$E$15=D929),참조!$C$2:$C$15,"")</f>
        <v/>
      </c>
    </row>
    <row r="930" hidden="1" s="27">
      <c r="A930" s="47" t="inlineStr">
        <is>
          <t>KT스카이라이프</t>
        </is>
      </c>
      <c r="B930" s="47" t="inlineStr">
        <is>
          <t>웨어러블 Watch</t>
        </is>
      </c>
      <c r="C930" s="47" t="inlineStr">
        <is>
          <t>50분</t>
        </is>
      </c>
      <c r="D930" s="47" t="inlineStr">
        <is>
          <t>250건</t>
        </is>
      </c>
      <c r="E930" s="47" t="inlineStr">
        <is>
          <t>월 250MB + 200Kbps</t>
        </is>
      </c>
      <c r="F930" s="47" t="inlineStr">
        <is>
          <t>KT</t>
        </is>
      </c>
      <c r="G930" s="47" t="inlineStr">
        <is>
          <t>LTE</t>
        </is>
      </c>
      <c r="H930" s="48" t="n">
        <v>6600</v>
      </c>
      <c r="I930" s="48" t="n"/>
      <c r="J930" s="48" t="n"/>
      <c r="K930" s="47">
        <f t="array" ref="K930">_xlfn.XLOOKUP(1,(참조!$B$2:$B$15=E930)*(참조!$D$2:$D$15=C930)*(참조!$E$2:$E$15=D930),참조!$C$2:$C$15,"")</f>
        <v/>
      </c>
    </row>
    <row r="931" hidden="1" s="27">
      <c r="A931" s="47" t="inlineStr">
        <is>
          <t>아이즈모바일</t>
        </is>
      </c>
      <c r="B931" s="47" t="inlineStr">
        <is>
          <t>[S]음성자유/10GB</t>
        </is>
      </c>
      <c r="C931" s="47" t="inlineStr">
        <is>
          <t>무제한</t>
        </is>
      </c>
      <c r="D931" s="47" t="inlineStr">
        <is>
          <t>500건</t>
        </is>
      </c>
      <c r="E931" s="47" t="inlineStr">
        <is>
          <t>월 10GB</t>
        </is>
      </c>
      <c r="F931" s="47" t="inlineStr">
        <is>
          <t>SKT</t>
        </is>
      </c>
      <c r="G931" s="47" t="inlineStr">
        <is>
          <t>LTE</t>
        </is>
      </c>
      <c r="H931" s="48" t="n">
        <v>10</v>
      </c>
      <c r="I931" s="48" t="n">
        <v>10</v>
      </c>
      <c r="J931" s="48" t="n">
        <v>27500</v>
      </c>
      <c r="K931" s="47">
        <f t="array" ref="K931">_xlfn.XLOOKUP(1,(참조!$B$2:$B$15=E931)*(참조!$D$2:$D$15=C931)*(참조!$E$2:$E$15=D931),참조!$C$2:$C$15,"")</f>
        <v/>
      </c>
    </row>
    <row r="932" hidden="1" s="27">
      <c r="A932" s="47" t="inlineStr">
        <is>
          <t>인스모바일</t>
        </is>
      </c>
      <c r="B932" s="47" t="inlineStr">
        <is>
          <t>[평생할인]인스 유심 올프리 7GB+</t>
        </is>
      </c>
      <c r="C932" s="47" t="inlineStr">
        <is>
          <t>무제한</t>
        </is>
      </c>
      <c r="D932" s="47" t="inlineStr">
        <is>
          <t>무제한</t>
        </is>
      </c>
      <c r="E932" s="47" t="inlineStr">
        <is>
          <t>월 7GB + 1Mbps</t>
        </is>
      </c>
      <c r="F932" s="47" t="inlineStr">
        <is>
          <t>LG U+</t>
        </is>
      </c>
      <c r="G932" s="47" t="inlineStr">
        <is>
          <t>LTE</t>
        </is>
      </c>
      <c r="H932" s="48" t="n">
        <v>15400</v>
      </c>
      <c r="I932" s="48" t="n"/>
      <c r="J932" s="48" t="n"/>
      <c r="K932" s="47">
        <f t="array" ref="K932">_xlfn.XLOOKUP(1,(참조!$B$2:$B$15=E932)*(참조!$D$2:$D$15=C932)*(참조!$E$2:$E$15=D932),참조!$C$2:$C$15,"")</f>
        <v/>
      </c>
    </row>
    <row r="933" hidden="1" s="27">
      <c r="A933" s="47" t="inlineStr">
        <is>
          <t>티플러스</t>
        </is>
      </c>
      <c r="B933" s="47" t="inlineStr">
        <is>
          <t>5G 티플 200G＋(밀리의서재)</t>
        </is>
      </c>
      <c r="C933" s="47" t="inlineStr">
        <is>
          <t>무제한</t>
        </is>
      </c>
      <c r="D933" s="47" t="inlineStr">
        <is>
          <t>무제한</t>
        </is>
      </c>
      <c r="E933" s="47" t="inlineStr">
        <is>
          <t>월 200GB + 10Mbps</t>
        </is>
      </c>
      <c r="F933" s="47" t="inlineStr">
        <is>
          <t>KT</t>
        </is>
      </c>
      <c r="G933" s="47" t="inlineStr">
        <is>
          <t>5G</t>
        </is>
      </c>
      <c r="H933" s="48" t="n">
        <v>19900</v>
      </c>
      <c r="I933" s="48" t="n">
        <v>7</v>
      </c>
      <c r="J933" s="48" t="n">
        <v>69300</v>
      </c>
      <c r="K933" s="47">
        <f t="array" ref="K933">_xlfn.XLOOKUP(1,(참조!$B$2:$B$15=E933)*(참조!$D$2:$D$15=C933)*(참조!$E$2:$E$15=D933),참조!$C$2:$C$15,"")</f>
        <v/>
      </c>
    </row>
    <row r="934" hidden="1" s="27">
      <c r="A934" s="47" t="inlineStr">
        <is>
          <t>KT스카이라이프</t>
        </is>
      </c>
      <c r="B934" s="47" t="inlineStr">
        <is>
          <t>모두 충분 11GB+(밀리의서재)</t>
        </is>
      </c>
      <c r="C934" s="47" t="inlineStr">
        <is>
          <t>무제한</t>
        </is>
      </c>
      <c r="D934" s="47" t="inlineStr">
        <is>
          <t>무제한</t>
        </is>
      </c>
      <c r="E934" s="47" t="inlineStr">
        <is>
          <t>월 11GB + 매일 2GB + 3Mbps</t>
        </is>
      </c>
      <c r="F934" s="47" t="inlineStr">
        <is>
          <t>KT</t>
        </is>
      </c>
      <c r="G934" s="47" t="inlineStr">
        <is>
          <t>LTE</t>
        </is>
      </c>
      <c r="H934" s="48" t="n">
        <v>34300</v>
      </c>
      <c r="I934" s="48" t="n"/>
      <c r="J934" s="48" t="n"/>
      <c r="K934" s="47">
        <f t="array" ref="K934">_xlfn.XLOOKUP(1,(참조!$B$2:$B$15=E934)*(참조!$D$2:$D$15=C934)*(참조!$E$2:$E$15=D934),참조!$C$2:$C$15,"")</f>
        <v/>
      </c>
    </row>
    <row r="935" hidden="1" s="27">
      <c r="A935" s="47" t="inlineStr">
        <is>
          <t>LG헬로모바일</t>
        </is>
      </c>
      <c r="B935" s="47" t="inlineStr">
        <is>
          <t>5G 유심 통화 맘편히 3GB</t>
        </is>
      </c>
      <c r="C935" s="47" t="inlineStr">
        <is>
          <t>무제한</t>
        </is>
      </c>
      <c r="D935" s="47" t="inlineStr">
        <is>
          <t>무제한</t>
        </is>
      </c>
      <c r="E935" s="47" t="inlineStr">
        <is>
          <t>월 3GB</t>
        </is>
      </c>
      <c r="F935" s="47" t="inlineStr">
        <is>
          <t>LG U+</t>
        </is>
      </c>
      <c r="G935" s="47" t="inlineStr">
        <is>
          <t>5G</t>
        </is>
      </c>
      <c r="H935" s="48" t="n">
        <v>7990</v>
      </c>
      <c r="I935" s="48" t="n"/>
      <c r="J935" s="48" t="n"/>
      <c r="K935" s="47">
        <f t="array" ref="K935">_xlfn.XLOOKUP(1,(참조!$B$2:$B$15=E935)*(참조!$D$2:$D$15=C935)*(참조!$E$2:$E$15=D935),참조!$C$2:$C$15,"")</f>
        <v/>
      </c>
    </row>
    <row r="936" hidden="1" s="27">
      <c r="A936" s="47" t="inlineStr">
        <is>
          <t>이야기모바일</t>
        </is>
      </c>
      <c r="B936" s="47" t="inlineStr">
        <is>
          <t>5G 이야기 완전 무제한 125GB+</t>
        </is>
      </c>
      <c r="C936" s="47" t="inlineStr">
        <is>
          <t>무제한</t>
        </is>
      </c>
      <c r="D936" s="47" t="inlineStr">
        <is>
          <t>무제한</t>
        </is>
      </c>
      <c r="E936" s="47" t="inlineStr">
        <is>
          <t>월 125GB + 5Mbps</t>
        </is>
      </c>
      <c r="F936" s="47" t="inlineStr">
        <is>
          <t>LG U+</t>
        </is>
      </c>
      <c r="G936" s="47" t="inlineStr">
        <is>
          <t>5G</t>
        </is>
      </c>
      <c r="H936" s="48" t="n">
        <v>19800</v>
      </c>
      <c r="I936" s="48" t="n">
        <v>7</v>
      </c>
      <c r="J936" s="48" t="n">
        <v>46200</v>
      </c>
      <c r="K936" s="47">
        <f t="array" ref="K936">_xlfn.XLOOKUP(1,(참조!$B$2:$B$15=E936)*(참조!$D$2:$D$15=C936)*(참조!$E$2:$E$15=D936),참조!$C$2:$C$15,"")</f>
        <v/>
      </c>
    </row>
    <row r="937" hidden="1" s="27">
      <c r="A937" s="47" t="inlineStr">
        <is>
          <t>고고모바일</t>
        </is>
      </c>
      <c r="B937" s="47" t="inlineStr">
        <is>
          <t>[모요only] 5G 무제한 110GB+5Mbps(밀리의서재)(모요Only)</t>
        </is>
      </c>
      <c r="C937" s="47" t="inlineStr">
        <is>
          <t>무제한</t>
        </is>
      </c>
      <c r="D937" s="47" t="inlineStr">
        <is>
          <t>무제한</t>
        </is>
      </c>
      <c r="E937" s="47" t="inlineStr">
        <is>
          <t>월 110GB + 5Mbps</t>
        </is>
      </c>
      <c r="F937" s="47" t="inlineStr">
        <is>
          <t>KT</t>
        </is>
      </c>
      <c r="G937" s="47" t="inlineStr">
        <is>
          <t>5G</t>
        </is>
      </c>
      <c r="H937" s="48" t="n">
        <v>33000</v>
      </c>
      <c r="I937" s="48" t="n">
        <v>12</v>
      </c>
      <c r="J937" s="48" t="n">
        <v>49500</v>
      </c>
      <c r="K937" s="47">
        <f t="array" ref="K937">_xlfn.XLOOKUP(1,(참조!$B$2:$B$15=E937)*(참조!$D$2:$D$15=C937)*(참조!$E$2:$E$15=D937),참조!$C$2:$C$15,"")</f>
        <v/>
      </c>
    </row>
    <row r="938" hidden="1" s="27">
      <c r="A938" s="47" t="inlineStr">
        <is>
          <t>스마텔</t>
        </is>
      </c>
      <c r="B938" s="47" t="inlineStr">
        <is>
          <t>스마일 7GB+</t>
        </is>
      </c>
      <c r="C938" s="47" t="inlineStr">
        <is>
          <t>무제한</t>
        </is>
      </c>
      <c r="D938" s="47" t="inlineStr">
        <is>
          <t>무제한</t>
        </is>
      </c>
      <c r="E938" s="47" t="inlineStr">
        <is>
          <t>월 7GB + 1Mbps</t>
        </is>
      </c>
      <c r="F938" s="47" t="inlineStr">
        <is>
          <t>SKT</t>
        </is>
      </c>
      <c r="G938" s="47" t="inlineStr">
        <is>
          <t>LTE</t>
        </is>
      </c>
      <c r="H938" s="48" t="n">
        <v>5500</v>
      </c>
      <c r="I938" s="48" t="n">
        <v>7</v>
      </c>
      <c r="J938" s="48" t="n">
        <v>24200</v>
      </c>
      <c r="K938" s="47">
        <f t="array" ref="K938">_xlfn.XLOOKUP(1,(참조!$B$2:$B$15=E938)*(참조!$D$2:$D$15=C938)*(참조!$E$2:$E$15=D938),참조!$C$2:$C$15,"")</f>
        <v/>
      </c>
    </row>
    <row r="939" hidden="1" s="27">
      <c r="A939" s="47" t="inlineStr">
        <is>
          <t>티플러스</t>
        </is>
      </c>
      <c r="B939" s="47" t="inlineStr">
        <is>
          <t>티플포유(2G/100분)</t>
        </is>
      </c>
      <c r="C939" s="47" t="inlineStr">
        <is>
          <t>100분</t>
        </is>
      </c>
      <c r="D939" s="47" t="inlineStr">
        <is>
          <t>100건</t>
        </is>
      </c>
      <c r="E939" s="47" t="inlineStr">
        <is>
          <t>월 2GB</t>
        </is>
      </c>
      <c r="F939" s="47" t="inlineStr">
        <is>
          <t>LG U+</t>
        </is>
      </c>
      <c r="G939" s="47" t="inlineStr">
        <is>
          <t>LTE</t>
        </is>
      </c>
      <c r="H939" s="48" t="n">
        <v>4400</v>
      </c>
      <c r="I939" s="48" t="n"/>
      <c r="J939" s="48" t="n"/>
      <c r="K939" s="47">
        <f t="array" ref="K939">_xlfn.XLOOKUP(1,(참조!$B$2:$B$15=E939)*(참조!$D$2:$D$15=C939)*(참조!$E$2:$E$15=D939),참조!$C$2:$C$15,"")</f>
        <v/>
      </c>
    </row>
    <row r="940" hidden="1" s="27">
      <c r="A940" s="47" t="inlineStr">
        <is>
          <t>모빙</t>
        </is>
      </c>
      <c r="B940" s="47" t="inlineStr">
        <is>
          <t>[L] 5G 100분10GB</t>
        </is>
      </c>
      <c r="C940" s="47" t="inlineStr">
        <is>
          <t>100분</t>
        </is>
      </c>
      <c r="D940" s="47" t="inlineStr">
        <is>
          <t>100건</t>
        </is>
      </c>
      <c r="E940" s="47" t="inlineStr">
        <is>
          <t>월 10GB</t>
        </is>
      </c>
      <c r="F940" s="47" t="inlineStr">
        <is>
          <t>LG U+</t>
        </is>
      </c>
      <c r="G940" s="47" t="inlineStr">
        <is>
          <t>5G</t>
        </is>
      </c>
      <c r="H940" s="48" t="n">
        <v>10</v>
      </c>
      <c r="I940" s="48" t="n">
        <v>6</v>
      </c>
      <c r="J940" s="48" t="n">
        <v>22000</v>
      </c>
      <c r="K940" s="47">
        <f t="array" ref="K940">_xlfn.XLOOKUP(1,(참조!$B$2:$B$15=E940)*(참조!$D$2:$D$15=C940)*(참조!$E$2:$E$15=D940),참조!$C$2:$C$15,"")</f>
        <v/>
      </c>
    </row>
    <row r="941" hidden="1" s="27">
      <c r="A941" s="47" t="inlineStr">
        <is>
          <t>아이즈모바일</t>
        </is>
      </c>
      <c r="B941" s="47" t="inlineStr">
        <is>
          <t>[L]5G 아이즈180GB+</t>
        </is>
      </c>
      <c r="C941" s="47" t="inlineStr">
        <is>
          <t>무제한</t>
        </is>
      </c>
      <c r="D941" s="47" t="inlineStr">
        <is>
          <t>무제한</t>
        </is>
      </c>
      <c r="E941" s="47" t="inlineStr">
        <is>
          <t>월 180GB + 10Mbps</t>
        </is>
      </c>
      <c r="F941" s="47" t="inlineStr">
        <is>
          <t>LG U+</t>
        </is>
      </c>
      <c r="G941" s="47" t="inlineStr">
        <is>
          <t>5G</t>
        </is>
      </c>
      <c r="H941" s="48" t="n">
        <v>9100</v>
      </c>
      <c r="I941" s="48" t="n">
        <v>7</v>
      </c>
      <c r="J941" s="48" t="n">
        <v>64900</v>
      </c>
      <c r="K941" s="47">
        <f t="array" ref="K941">_xlfn.XLOOKUP(1,(참조!$B$2:$B$15=E941)*(참조!$D$2:$D$15=C941)*(참조!$E$2:$E$15=D941),참조!$C$2:$C$15,"")</f>
        <v/>
      </c>
    </row>
    <row r="942" hidden="1" s="27">
      <c r="A942" s="47" t="inlineStr">
        <is>
          <t>LG헬로모바일</t>
        </is>
      </c>
      <c r="B942" s="47" t="inlineStr">
        <is>
          <t>보편 안심 유심 15GB 100분</t>
        </is>
      </c>
      <c r="C942" s="47" t="inlineStr">
        <is>
          <t>100분</t>
        </is>
      </c>
      <c r="D942" s="47" t="inlineStr">
        <is>
          <t>100건</t>
        </is>
      </c>
      <c r="E942" s="47" t="inlineStr">
        <is>
          <t>월 15GB + 3Mbps</t>
        </is>
      </c>
      <c r="F942" s="47" t="inlineStr">
        <is>
          <t>LG U+</t>
        </is>
      </c>
      <c r="G942" s="47" t="inlineStr">
        <is>
          <t>LTE</t>
        </is>
      </c>
      <c r="H942" s="48" t="n">
        <v>28820</v>
      </c>
      <c r="I942" s="48" t="n"/>
      <c r="J942" s="48" t="n"/>
      <c r="K942" s="47">
        <f t="array" ref="K942">_xlfn.XLOOKUP(1,(참조!$B$2:$B$15=E942)*(참조!$D$2:$D$15=C942)*(참조!$E$2:$E$15=D942),참조!$C$2:$C$15,"")</f>
        <v/>
      </c>
    </row>
    <row r="943" hidden="1" s="27">
      <c r="A943" s="47" t="inlineStr">
        <is>
          <t>KT엠모바일</t>
        </is>
      </c>
      <c r="B943" s="47" t="inlineStr">
        <is>
          <t>모두다 맘껏 15GB+(PAY쿠폰 5000P)</t>
        </is>
      </c>
      <c r="C943" s="47" t="inlineStr">
        <is>
          <t>무제한</t>
        </is>
      </c>
      <c r="D943" s="47" t="inlineStr">
        <is>
          <t>무제한</t>
        </is>
      </c>
      <c r="E943" s="47" t="inlineStr">
        <is>
          <t>월 15GB + 1Mbps</t>
        </is>
      </c>
      <c r="F943" s="47" t="inlineStr">
        <is>
          <t>KT</t>
        </is>
      </c>
      <c r="G943" s="47" t="inlineStr">
        <is>
          <t>LTE</t>
        </is>
      </c>
      <c r="H943" s="48" t="n">
        <v>23700</v>
      </c>
      <c r="I943" s="48" t="n"/>
      <c r="J943" s="48" t="n"/>
      <c r="K943" s="47">
        <f t="array" ref="K943">_xlfn.XLOOKUP(1,(참조!$B$2:$B$15=E943)*(참조!$D$2:$D$15=C943)*(참조!$E$2:$E$15=D943),참조!$C$2:$C$15,"")</f>
        <v/>
      </c>
    </row>
    <row r="944" hidden="1" s="27">
      <c r="A944" s="47" t="inlineStr">
        <is>
          <t>티플러스</t>
        </is>
      </c>
      <c r="B944" s="47" t="inlineStr">
        <is>
          <t>5G 통화안심 15GB</t>
        </is>
      </c>
      <c r="C944" s="47" t="inlineStr">
        <is>
          <t>무제한</t>
        </is>
      </c>
      <c r="D944" s="47" t="inlineStr">
        <is>
          <t>100건</t>
        </is>
      </c>
      <c r="E944" s="47" t="inlineStr">
        <is>
          <t>월 15GB</t>
        </is>
      </c>
      <c r="F944" s="47" t="inlineStr">
        <is>
          <t>SKT</t>
        </is>
      </c>
      <c r="G944" s="47" t="inlineStr">
        <is>
          <t>5G</t>
        </is>
      </c>
      <c r="H944" s="48" t="n">
        <v>10900</v>
      </c>
      <c r="I944" s="48" t="n">
        <v>4</v>
      </c>
      <c r="J944" s="48" t="n">
        <v>24200</v>
      </c>
      <c r="K944" s="47">
        <f t="array" ref="K944">_xlfn.XLOOKUP(1,(참조!$B$2:$B$15=E944)*(참조!$D$2:$D$15=C944)*(참조!$E$2:$E$15=D944),참조!$C$2:$C$15,"")</f>
        <v/>
      </c>
    </row>
    <row r="945" hidden="1" s="27">
      <c r="A945" s="47" t="inlineStr">
        <is>
          <t>아이즈모바일</t>
        </is>
      </c>
      <c r="B945" s="47" t="inlineStr">
        <is>
          <t>[S]울트라(200분/20GB)</t>
        </is>
      </c>
      <c r="C945" s="47" t="inlineStr">
        <is>
          <t>200분</t>
        </is>
      </c>
      <c r="D945" s="47" t="inlineStr">
        <is>
          <t>100건</t>
        </is>
      </c>
      <c r="E945" s="47" t="inlineStr">
        <is>
          <t>월 20GB</t>
        </is>
      </c>
      <c r="F945" s="47" t="inlineStr">
        <is>
          <t>SKT</t>
        </is>
      </c>
      <c r="G945" s="47" t="inlineStr">
        <is>
          <t>LTE</t>
        </is>
      </c>
      <c r="H945" s="48" t="n">
        <v>550</v>
      </c>
      <c r="I945" s="48" t="n">
        <v>7</v>
      </c>
      <c r="J945" s="48" t="n">
        <v>29700</v>
      </c>
      <c r="K945" s="47">
        <f t="array" ref="K945">_xlfn.XLOOKUP(1,(참조!$B$2:$B$15=E945)*(참조!$D$2:$D$15=C945)*(참조!$E$2:$E$15=D945),참조!$C$2:$C$15,"")</f>
        <v/>
      </c>
    </row>
    <row r="946" hidden="1" s="27">
      <c r="A946" s="47" t="inlineStr">
        <is>
          <t>U+유모바일</t>
        </is>
      </c>
      <c r="B946" s="47" t="inlineStr">
        <is>
          <t>[평생할인] 일 5GB+/통화기본</t>
        </is>
      </c>
      <c r="C946" s="47" t="inlineStr">
        <is>
          <t>무제한</t>
        </is>
      </c>
      <c r="D946" s="47" t="inlineStr">
        <is>
          <t>무제한</t>
        </is>
      </c>
      <c r="E946" s="47" t="inlineStr">
        <is>
          <t>매일 5GB + 5Mbps</t>
        </is>
      </c>
      <c r="F946" s="47" t="inlineStr">
        <is>
          <t>LG U+</t>
        </is>
      </c>
      <c r="G946" s="47" t="inlineStr">
        <is>
          <t>LTE</t>
        </is>
      </c>
      <c r="H946" s="48" t="n">
        <v>38200</v>
      </c>
      <c r="I946" s="48" t="n"/>
      <c r="J946" s="48" t="n"/>
      <c r="K946" s="47">
        <f t="array" ref="K946">_xlfn.XLOOKUP(1,(참조!$B$2:$B$15=E946)*(참조!$D$2:$D$15=C946)*(참조!$E$2:$E$15=D946),참조!$C$2:$C$15,"")</f>
        <v/>
      </c>
    </row>
    <row r="947" hidden="1" s="27">
      <c r="A947" s="47" t="inlineStr">
        <is>
          <t>스마텔</t>
        </is>
      </c>
      <c r="B947" s="47" t="inlineStr">
        <is>
          <t>후후 스마일 11GB+</t>
        </is>
      </c>
      <c r="C947" s="47" t="inlineStr">
        <is>
          <t>무제한</t>
        </is>
      </c>
      <c r="D947" s="47" t="inlineStr">
        <is>
          <t>무제한</t>
        </is>
      </c>
      <c r="E947" s="47" t="inlineStr">
        <is>
          <t>월 11GB + 매일 2GB + 3Mbps</t>
        </is>
      </c>
      <c r="F947" s="47" t="inlineStr">
        <is>
          <t>SKT</t>
        </is>
      </c>
      <c r="G947" s="47" t="inlineStr">
        <is>
          <t>LTE</t>
        </is>
      </c>
      <c r="H947" s="48" t="n">
        <v>15830</v>
      </c>
      <c r="I947" s="48" t="n">
        <v>7</v>
      </c>
      <c r="J947" s="48" t="n">
        <v>41030</v>
      </c>
      <c r="K947" s="47">
        <f t="array" ref="K947">_xlfn.XLOOKUP(1,(참조!$B$2:$B$15=E947)*(참조!$D$2:$D$15=C947)*(참조!$E$2:$E$15=D947),참조!$C$2:$C$15,"")</f>
        <v/>
      </c>
    </row>
    <row r="948" hidden="1" s="27">
      <c r="A948" s="47" t="inlineStr">
        <is>
          <t>에이모바일</t>
        </is>
      </c>
      <c r="B948" s="47" t="inlineStr">
        <is>
          <t>A 올라잇 11GB+ 밀리의서재</t>
        </is>
      </c>
      <c r="C948" s="47" t="inlineStr">
        <is>
          <t>무제한</t>
        </is>
      </c>
      <c r="D948" s="47" t="inlineStr">
        <is>
          <t>무제한</t>
        </is>
      </c>
      <c r="E948" s="47" t="inlineStr">
        <is>
          <t>월 11GB + 매일 2GB + 3Mbps</t>
        </is>
      </c>
      <c r="F948" s="47" t="inlineStr">
        <is>
          <t>KT</t>
        </is>
      </c>
      <c r="G948" s="47" t="inlineStr">
        <is>
          <t>LTE</t>
        </is>
      </c>
      <c r="H948" s="48" t="n">
        <v>7900</v>
      </c>
      <c r="I948" s="48" t="n">
        <v>7</v>
      </c>
      <c r="J948" s="48" t="n">
        <v>39600</v>
      </c>
      <c r="K948" s="47">
        <f t="array" ref="K948">_xlfn.XLOOKUP(1,(참조!$B$2:$B$15=E948)*(참조!$D$2:$D$15=C948)*(참조!$E$2:$E$15=D948),참조!$C$2:$C$15,"")</f>
        <v/>
      </c>
    </row>
    <row r="949" hidden="1" s="27">
      <c r="A949" s="47" t="inlineStr">
        <is>
          <t>모빙</t>
        </is>
      </c>
      <c r="B949" s="47" t="inlineStr">
        <is>
          <t>모빙 200분7GB</t>
        </is>
      </c>
      <c r="C949" s="47" t="inlineStr">
        <is>
          <t>200분</t>
        </is>
      </c>
      <c r="D949" s="47" t="inlineStr">
        <is>
          <t>200건</t>
        </is>
      </c>
      <c r="E949" s="47" t="inlineStr">
        <is>
          <t>월 7GB</t>
        </is>
      </c>
      <c r="F949" s="47" t="inlineStr">
        <is>
          <t>SKT</t>
        </is>
      </c>
      <c r="G949" s="47" t="inlineStr">
        <is>
          <t>LTE</t>
        </is>
      </c>
      <c r="H949" s="48" t="n">
        <v>10</v>
      </c>
      <c r="I949" s="48" t="n">
        <v>12</v>
      </c>
      <c r="J949" s="48" t="n">
        <v>17600</v>
      </c>
      <c r="K949" s="47">
        <f t="array" ref="K949">_xlfn.XLOOKUP(1,(참조!$B$2:$B$15=E949)*(참조!$D$2:$D$15=C949)*(참조!$E$2:$E$15=D949),참조!$C$2:$C$15,"")</f>
        <v/>
      </c>
    </row>
    <row r="950" hidden="1" s="27">
      <c r="A950" s="47" t="inlineStr">
        <is>
          <t>티플러스</t>
        </is>
      </c>
      <c r="B950" s="47" t="inlineStr">
        <is>
          <t>티플 위드유 100GB+(G car+세차클링)</t>
        </is>
      </c>
      <c r="C950" s="47" t="inlineStr">
        <is>
          <t>무제한</t>
        </is>
      </c>
      <c r="D950" s="47" t="inlineStr">
        <is>
          <t>무제한</t>
        </is>
      </c>
      <c r="E950" s="47" t="inlineStr">
        <is>
          <t>월 100GB + 5Mbps</t>
        </is>
      </c>
      <c r="F950" s="47" t="inlineStr">
        <is>
          <t>SKT</t>
        </is>
      </c>
      <c r="G950" s="47" t="inlineStr">
        <is>
          <t>LTE</t>
        </is>
      </c>
      <c r="H950" s="48" t="n">
        <v>18900</v>
      </c>
      <c r="I950" s="48" t="n">
        <v>7</v>
      </c>
      <c r="J950" s="48" t="n">
        <v>48400</v>
      </c>
      <c r="K950" s="47">
        <f t="array" ref="K950">_xlfn.XLOOKUP(1,(참조!$B$2:$B$15=E950)*(참조!$D$2:$D$15=C950)*(참조!$E$2:$E$15=D950),참조!$C$2:$C$15,"")</f>
        <v/>
      </c>
    </row>
    <row r="951" hidden="1" s="27">
      <c r="A951" s="47" t="inlineStr">
        <is>
          <t>KT스카이라이프</t>
        </is>
      </c>
      <c r="B951" s="47" t="inlineStr">
        <is>
          <t>모두 충분 15GB+(지니뮤직)</t>
        </is>
      </c>
      <c r="C951" s="47" t="inlineStr">
        <is>
          <t>무제한</t>
        </is>
      </c>
      <c r="D951" s="47" t="inlineStr">
        <is>
          <t>무제한</t>
        </is>
      </c>
      <c r="E951" s="47" t="inlineStr">
        <is>
          <t>월 15GB + 1Mbps</t>
        </is>
      </c>
      <c r="F951" s="47" t="inlineStr">
        <is>
          <t>KT</t>
        </is>
      </c>
      <c r="G951" s="47" t="inlineStr">
        <is>
          <t>LTE</t>
        </is>
      </c>
      <c r="H951" s="48" t="n">
        <v>24200</v>
      </c>
      <c r="I951" s="48" t="n"/>
      <c r="J951" s="48" t="n"/>
      <c r="K951" s="47">
        <f t="array" ref="K951">_xlfn.XLOOKUP(1,(참조!$B$2:$B$15=E951)*(참조!$D$2:$D$15=C951)*(참조!$E$2:$E$15=D951),참조!$C$2:$C$15,"")</f>
        <v/>
      </c>
    </row>
    <row r="952" hidden="1" s="27">
      <c r="A952" s="47" t="inlineStr">
        <is>
          <t>KG모바일</t>
        </is>
      </c>
      <c r="B952" s="47" t="inlineStr">
        <is>
          <t>[일반] 실속 (5GB/100분)</t>
        </is>
      </c>
      <c r="C952" s="47" t="inlineStr">
        <is>
          <t>100분</t>
        </is>
      </c>
      <c r="D952" s="47" t="inlineStr">
        <is>
          <t>100건</t>
        </is>
      </c>
      <c r="E952" s="47" t="inlineStr">
        <is>
          <t>월 5GB</t>
        </is>
      </c>
      <c r="F952" s="47" t="inlineStr">
        <is>
          <t>LG U+</t>
        </is>
      </c>
      <c r="G952" s="47" t="inlineStr">
        <is>
          <t>LTE</t>
        </is>
      </c>
      <c r="H952" s="48" t="n">
        <v>1200</v>
      </c>
      <c r="I952" s="48" t="n">
        <v>6</v>
      </c>
      <c r="J952" s="48" t="n">
        <v>9900</v>
      </c>
      <c r="K952" s="47">
        <f t="array" ref="K952">_xlfn.XLOOKUP(1,(참조!$B$2:$B$15=E952)*(참조!$D$2:$D$15=C952)*(참조!$E$2:$E$15=D952),참조!$C$2:$C$15,"")</f>
        <v/>
      </c>
    </row>
    <row r="953" hidden="1" s="27">
      <c r="A953" s="47" t="inlineStr">
        <is>
          <t>모빙</t>
        </is>
      </c>
      <c r="B953" s="47" t="inlineStr">
        <is>
          <t>실속 100분4.5GB</t>
        </is>
      </c>
      <c r="C953" s="47" t="inlineStr">
        <is>
          <t>100분</t>
        </is>
      </c>
      <c r="D953" s="47" t="inlineStr">
        <is>
          <t>100건</t>
        </is>
      </c>
      <c r="E953" s="47" t="inlineStr">
        <is>
          <t>월 4.5GB</t>
        </is>
      </c>
      <c r="F953" s="47" t="inlineStr">
        <is>
          <t>LG U+</t>
        </is>
      </c>
      <c r="G953" s="47" t="inlineStr">
        <is>
          <t>LTE</t>
        </is>
      </c>
      <c r="H953" s="48" t="n">
        <v>10</v>
      </c>
      <c r="I953" s="48" t="n">
        <v>6</v>
      </c>
      <c r="J953" s="48" t="n">
        <v>14300</v>
      </c>
      <c r="K953" s="47">
        <f t="array" ref="K953">_xlfn.XLOOKUP(1,(참조!$B$2:$B$15=E953)*(참조!$D$2:$D$15=C953)*(참조!$E$2:$E$15=D953),참조!$C$2:$C$15,"")</f>
        <v/>
      </c>
    </row>
    <row r="954" hidden="1" s="27">
      <c r="A954" s="47" t="inlineStr">
        <is>
          <t>스마텔</t>
        </is>
      </c>
      <c r="B954" s="47" t="inlineStr">
        <is>
          <t>[모요only] [모요핫딜] 스마트 100GB+</t>
        </is>
      </c>
      <c r="C954" s="47" t="inlineStr">
        <is>
          <t>무제한</t>
        </is>
      </c>
      <c r="D954" s="47" t="inlineStr">
        <is>
          <t>무제한</t>
        </is>
      </c>
      <c r="E954" s="47" t="inlineStr">
        <is>
          <t>월 100GB + 5Mbps</t>
        </is>
      </c>
      <c r="F954" s="47" t="inlineStr">
        <is>
          <t>LG U+</t>
        </is>
      </c>
      <c r="G954" s="47" t="inlineStr">
        <is>
          <t>LTE</t>
        </is>
      </c>
      <c r="H954" s="48" t="n">
        <v>21500</v>
      </c>
      <c r="I954" s="48" t="n">
        <v>7</v>
      </c>
      <c r="J954" s="48" t="n">
        <v>47300</v>
      </c>
      <c r="K954" s="47">
        <f t="array" ref="K954">_xlfn.XLOOKUP(1,(참조!$B$2:$B$15=E954)*(참조!$D$2:$D$15=C954)*(참조!$E$2:$E$15=D954),참조!$C$2:$C$15,"")</f>
        <v/>
      </c>
    </row>
    <row r="955" hidden="1" s="27">
      <c r="A955" s="47" t="inlineStr">
        <is>
          <t>KT스카이라이프</t>
        </is>
      </c>
      <c r="B955" s="47" t="inlineStr">
        <is>
          <t>모두 충분 11GB+(후후안심)</t>
        </is>
      </c>
      <c r="C955" s="47" t="inlineStr">
        <is>
          <t>무제한</t>
        </is>
      </c>
      <c r="D955" s="47" t="inlineStr">
        <is>
          <t>무제한</t>
        </is>
      </c>
      <c r="E955" s="47" t="inlineStr">
        <is>
          <t>월 11GB + 매일 2GB + 3Mbps</t>
        </is>
      </c>
      <c r="F955" s="47" t="inlineStr">
        <is>
          <t>KT</t>
        </is>
      </c>
      <c r="G955" s="47" t="inlineStr">
        <is>
          <t>LTE</t>
        </is>
      </c>
      <c r="H955" s="48" t="n">
        <v>34200</v>
      </c>
      <c r="I955" s="48" t="n"/>
      <c r="J955" s="48" t="n"/>
      <c r="K955" s="47">
        <f t="array" ref="K955">_xlfn.XLOOKUP(1,(참조!$B$2:$B$15=E955)*(참조!$D$2:$D$15=C955)*(참조!$E$2:$E$15=D955),참조!$C$2:$C$15,"")</f>
        <v/>
      </c>
    </row>
    <row r="956" hidden="1" s="27">
      <c r="A956" s="47" t="inlineStr">
        <is>
          <t>이지모바일</t>
        </is>
      </c>
      <c r="B956" s="47" t="inlineStr">
        <is>
          <t>이지 더 오래쓰는 무제한 10G+1</t>
        </is>
      </c>
      <c r="C956" s="47" t="inlineStr">
        <is>
          <t>무제한</t>
        </is>
      </c>
      <c r="D956" s="47" t="inlineStr">
        <is>
          <t>무제한</t>
        </is>
      </c>
      <c r="E956" s="47" t="inlineStr">
        <is>
          <t>월 10GB + 1Mbps</t>
        </is>
      </c>
      <c r="F956" s="47" t="inlineStr">
        <is>
          <t>LG U+</t>
        </is>
      </c>
      <c r="G956" s="47" t="inlineStr">
        <is>
          <t>LTE</t>
        </is>
      </c>
      <c r="H956" s="48" t="n">
        <v>13200</v>
      </c>
      <c r="I956" s="48" t="n">
        <v>24</v>
      </c>
      <c r="J956" s="48" t="n">
        <v>24200</v>
      </c>
      <c r="K956" s="47">
        <f t="array" ref="K956">_xlfn.XLOOKUP(1,(참조!$B$2:$B$15=E956)*(참조!$D$2:$D$15=C956)*(참조!$E$2:$E$15=D956),참조!$C$2:$C$15,"")</f>
        <v/>
      </c>
    </row>
    <row r="957" hidden="1" s="27">
      <c r="A957" s="47" t="inlineStr">
        <is>
          <t>아이즈모바일</t>
        </is>
      </c>
      <c r="B957" s="47" t="inlineStr">
        <is>
          <t>[K]롯시&amp;밀리 11GB+일2GB</t>
        </is>
      </c>
      <c r="C957" s="47" t="inlineStr">
        <is>
          <t>무제한</t>
        </is>
      </c>
      <c r="D957" s="47" t="inlineStr">
        <is>
          <t>무제한</t>
        </is>
      </c>
      <c r="E957" s="47" t="inlineStr">
        <is>
          <t>월 11GB + 매일 2GB + 3Mbps</t>
        </is>
      </c>
      <c r="F957" s="47" t="inlineStr">
        <is>
          <t>KT</t>
        </is>
      </c>
      <c r="G957" s="47" t="inlineStr">
        <is>
          <t>LTE</t>
        </is>
      </c>
      <c r="H957" s="48" t="n">
        <v>7700</v>
      </c>
      <c r="I957" s="48" t="n">
        <v>7</v>
      </c>
      <c r="J957" s="48" t="n">
        <v>48400</v>
      </c>
      <c r="K957" s="47">
        <f t="array" ref="K957">_xlfn.XLOOKUP(1,(참조!$B$2:$B$15=E957)*(참조!$D$2:$D$15=C957)*(참조!$E$2:$E$15=D957),참조!$C$2:$C$15,"")</f>
        <v/>
      </c>
    </row>
    <row r="958" hidden="1" s="27">
      <c r="A958" s="47" t="inlineStr">
        <is>
          <t>KT스카이라이프</t>
        </is>
      </c>
      <c r="B958" s="47" t="inlineStr">
        <is>
          <t>5G 통화 충분 20GB</t>
        </is>
      </c>
      <c r="C958" s="47" t="inlineStr">
        <is>
          <t>무제한</t>
        </is>
      </c>
      <c r="D958" s="47" t="inlineStr">
        <is>
          <t>무제한</t>
        </is>
      </c>
      <c r="E958" s="47" t="inlineStr">
        <is>
          <t>월 20GB</t>
        </is>
      </c>
      <c r="F958" s="47" t="inlineStr">
        <is>
          <t>KT</t>
        </is>
      </c>
      <c r="G958" s="47" t="inlineStr">
        <is>
          <t>5G</t>
        </is>
      </c>
      <c r="H958" s="48" t="n">
        <v>25900</v>
      </c>
      <c r="I958" s="48" t="n"/>
      <c r="J958" s="48" t="n"/>
      <c r="K958" s="47">
        <f t="array" ref="K958">_xlfn.XLOOKUP(1,(참조!$B$2:$B$15=E958)*(참조!$D$2:$D$15=C958)*(참조!$E$2:$E$15=D958),참조!$C$2:$C$15,"")</f>
        <v/>
      </c>
    </row>
    <row r="959" hidden="1" s="27">
      <c r="A959" s="47" t="inlineStr">
        <is>
          <t>이야기모바일</t>
        </is>
      </c>
      <c r="B959" s="47" t="inlineStr">
        <is>
          <t>이야기 스페셜S 100GB+</t>
        </is>
      </c>
      <c r="C959" s="47" t="inlineStr">
        <is>
          <t>무제한</t>
        </is>
      </c>
      <c r="D959" s="47" t="inlineStr">
        <is>
          <t>무제한</t>
        </is>
      </c>
      <c r="E959" s="47" t="inlineStr">
        <is>
          <t>월 100GB + 5Mbps</t>
        </is>
      </c>
      <c r="F959" s="47" t="inlineStr">
        <is>
          <t>SKT</t>
        </is>
      </c>
      <c r="G959" s="47" t="inlineStr">
        <is>
          <t>LTE</t>
        </is>
      </c>
      <c r="H959" s="48" t="n">
        <v>18700</v>
      </c>
      <c r="I959" s="48" t="n">
        <v>7</v>
      </c>
      <c r="J959" s="48" t="n">
        <v>49500</v>
      </c>
      <c r="K959" s="47">
        <f t="array" ref="K959">_xlfn.XLOOKUP(1,(참조!$B$2:$B$15=E959)*(참조!$D$2:$D$15=C959)*(참조!$E$2:$E$15=D959),참조!$C$2:$C$15,"")</f>
        <v/>
      </c>
    </row>
    <row r="960" hidden="1" s="27">
      <c r="A960" s="47" t="inlineStr">
        <is>
          <t>스마텔</t>
        </is>
      </c>
      <c r="B960" s="47" t="inlineStr">
        <is>
          <t>스마일 100GB+</t>
        </is>
      </c>
      <c r="C960" s="47" t="inlineStr">
        <is>
          <t>무제한</t>
        </is>
      </c>
      <c r="D960" s="47" t="inlineStr">
        <is>
          <t>무제한</t>
        </is>
      </c>
      <c r="E960" s="47" t="inlineStr">
        <is>
          <t>월 100GB + 5Mbps</t>
        </is>
      </c>
      <c r="F960" s="47" t="inlineStr">
        <is>
          <t>SKT</t>
        </is>
      </c>
      <c r="G960" s="47" t="inlineStr">
        <is>
          <t>LTE</t>
        </is>
      </c>
      <c r="H960" s="48" t="n">
        <v>19500</v>
      </c>
      <c r="I960" s="48" t="n">
        <v>7</v>
      </c>
      <c r="J960" s="48" t="n">
        <v>47300</v>
      </c>
      <c r="K960" s="47">
        <f t="array" ref="K960">_xlfn.XLOOKUP(1,(참조!$B$2:$B$15=E960)*(참조!$D$2:$D$15=C960)*(참조!$E$2:$E$15=D960),참조!$C$2:$C$15,"")</f>
        <v/>
      </c>
    </row>
    <row r="961" hidden="1" s="27">
      <c r="A961" s="47" t="inlineStr">
        <is>
          <t>모빙</t>
        </is>
      </c>
      <c r="B961" s="47" t="inlineStr">
        <is>
          <t>[K] 데이터 15GB+</t>
        </is>
      </c>
      <c r="C961" s="47" t="inlineStr">
        <is>
          <t>무제한</t>
        </is>
      </c>
      <c r="D961" s="47" t="inlineStr">
        <is>
          <t>무제한</t>
        </is>
      </c>
      <c r="E961" s="47" t="inlineStr">
        <is>
          <t>월 15GB + 1Mbps</t>
        </is>
      </c>
      <c r="F961" s="47" t="inlineStr">
        <is>
          <t>KT</t>
        </is>
      </c>
      <c r="G961" s="47" t="inlineStr">
        <is>
          <t>LTE</t>
        </is>
      </c>
      <c r="H961" s="48" t="n">
        <v>15400</v>
      </c>
      <c r="I961" s="48" t="n">
        <v>24</v>
      </c>
      <c r="J961" s="48" t="n">
        <v>33000</v>
      </c>
      <c r="K961" s="47">
        <f t="array" ref="K961">_xlfn.XLOOKUP(1,(참조!$B$2:$B$15=E961)*(참조!$D$2:$D$15=C961)*(참조!$E$2:$E$15=D961),참조!$C$2:$C$15,"")</f>
        <v/>
      </c>
    </row>
    <row r="962" hidden="1" s="27">
      <c r="A962" s="47" t="inlineStr">
        <is>
          <t>스마텔</t>
        </is>
      </c>
      <c r="B962" s="47" t="inlineStr">
        <is>
          <t>스마일 11GB+</t>
        </is>
      </c>
      <c r="C962" s="47" t="inlineStr">
        <is>
          <t>무제한</t>
        </is>
      </c>
      <c r="D962" s="47" t="inlineStr">
        <is>
          <t>무제한</t>
        </is>
      </c>
      <c r="E962" s="47" t="inlineStr">
        <is>
          <t>월 11GB + 매일 2GB + 3Mbps</t>
        </is>
      </c>
      <c r="F962" s="47" t="inlineStr">
        <is>
          <t>SKT</t>
        </is>
      </c>
      <c r="G962" s="47" t="inlineStr">
        <is>
          <t>LTE</t>
        </is>
      </c>
      <c r="H962" s="48" t="n">
        <v>15500</v>
      </c>
      <c r="I962" s="48" t="n">
        <v>7</v>
      </c>
      <c r="J962" s="48" t="n">
        <v>40700</v>
      </c>
      <c r="K962" s="47">
        <f t="array" ref="K962">_xlfn.XLOOKUP(1,(참조!$B$2:$B$15=E962)*(참조!$D$2:$D$15=C962)*(참조!$E$2:$E$15=D962),참조!$C$2:$C$15,"")</f>
        <v/>
      </c>
    </row>
    <row r="963" hidden="1" s="27">
      <c r="A963" s="47" t="inlineStr">
        <is>
          <t>티플러스</t>
        </is>
      </c>
      <c r="B963" s="47" t="inlineStr">
        <is>
          <t>티플 외국인 7GB＋3Mbps_평생요금</t>
        </is>
      </c>
      <c r="C963" s="47" t="inlineStr">
        <is>
          <t>500분</t>
        </is>
      </c>
      <c r="D963" s="47" t="inlineStr">
        <is>
          <t>500건</t>
        </is>
      </c>
      <c r="E963" s="47" t="inlineStr">
        <is>
          <t>월 7GB + 3Mbps</t>
        </is>
      </c>
      <c r="F963" s="47" t="inlineStr">
        <is>
          <t>LG U+</t>
        </is>
      </c>
      <c r="G963" s="47" t="inlineStr">
        <is>
          <t>LTE</t>
        </is>
      </c>
      <c r="H963" s="48" t="n">
        <v>16500</v>
      </c>
      <c r="I963" s="48" t="n"/>
      <c r="J963" s="48" t="n"/>
      <c r="K963" s="47">
        <f t="array" ref="K963">_xlfn.XLOOKUP(1,(참조!$B$2:$B$15=E963)*(참조!$D$2:$D$15=C963)*(참조!$E$2:$E$15=D963),참조!$C$2:$C$15,"")</f>
        <v/>
      </c>
    </row>
    <row r="964" hidden="1" s="27">
      <c r="A964" s="47" t="inlineStr">
        <is>
          <t>아이즈모바일</t>
        </is>
      </c>
      <c r="B964" s="47" t="inlineStr">
        <is>
          <t>[K]무한100GB+ Npay</t>
        </is>
      </c>
      <c r="C964" s="47" t="inlineStr">
        <is>
          <t>무제한</t>
        </is>
      </c>
      <c r="D964" s="47" t="inlineStr">
        <is>
          <t>무제한</t>
        </is>
      </c>
      <c r="E964" s="47" t="inlineStr">
        <is>
          <t>월 100GB + 5Mbps</t>
        </is>
      </c>
      <c r="F964" s="47" t="inlineStr">
        <is>
          <t>KT</t>
        </is>
      </c>
      <c r="G964" s="47" t="inlineStr">
        <is>
          <t>LTE</t>
        </is>
      </c>
      <c r="H964" s="48" t="n">
        <v>9900</v>
      </c>
      <c r="I964" s="48" t="n">
        <v>7</v>
      </c>
      <c r="J964" s="48" t="n">
        <v>55000</v>
      </c>
      <c r="K964" s="47">
        <f t="array" ref="K964">_xlfn.XLOOKUP(1,(참조!$B$2:$B$15=E964)*(참조!$D$2:$D$15=C964)*(참조!$E$2:$E$15=D964),참조!$C$2:$C$15,"")</f>
        <v/>
      </c>
    </row>
    <row r="965" hidden="1" s="27">
      <c r="A965" s="47" t="inlineStr">
        <is>
          <t>모빙</t>
        </is>
      </c>
      <c r="B965" s="47" t="inlineStr">
        <is>
          <t>[S] 100분1GB</t>
        </is>
      </c>
      <c r="C965" s="47" t="inlineStr">
        <is>
          <t>100분</t>
        </is>
      </c>
      <c r="D965" s="47" t="inlineStr">
        <is>
          <t>100건</t>
        </is>
      </c>
      <c r="E965" s="47" t="inlineStr">
        <is>
          <t>월 1GB</t>
        </is>
      </c>
      <c r="F965" s="47" t="inlineStr">
        <is>
          <t>SKT</t>
        </is>
      </c>
      <c r="G965" s="47" t="inlineStr">
        <is>
          <t>LTE</t>
        </is>
      </c>
      <c r="H965" s="48" t="n">
        <v>2800</v>
      </c>
      <c r="I965" s="48" t="n"/>
      <c r="J965" s="48" t="n"/>
      <c r="K965" s="47">
        <f t="array" ref="K965">_xlfn.XLOOKUP(1,(참조!$B$2:$B$15=E965)*(참조!$D$2:$D$15=C965)*(참조!$E$2:$E$15=D965),참조!$C$2:$C$15,"")</f>
        <v/>
      </c>
    </row>
    <row r="966" hidden="1" s="27">
      <c r="A966" s="47" t="inlineStr">
        <is>
          <t>티플러스</t>
        </is>
      </c>
      <c r="B966" s="47" t="inlineStr">
        <is>
          <t>데이터통화안심 10GB+</t>
        </is>
      </c>
      <c r="C966" s="47" t="inlineStr">
        <is>
          <t>무제한</t>
        </is>
      </c>
      <c r="D966" s="47" t="inlineStr">
        <is>
          <t>100건</t>
        </is>
      </c>
      <c r="E966" s="47" t="inlineStr">
        <is>
          <t>월 10GB + 400Kbps</t>
        </is>
      </c>
      <c r="F966" s="47" t="inlineStr">
        <is>
          <t>KT</t>
        </is>
      </c>
      <c r="G966" s="47" t="inlineStr">
        <is>
          <t>LTE</t>
        </is>
      </c>
      <c r="H966" s="48" t="n">
        <v>12900</v>
      </c>
      <c r="I966" s="48" t="n"/>
      <c r="J966" s="48" t="n"/>
      <c r="K966" s="47">
        <f t="array" ref="K966">_xlfn.XLOOKUP(1,(참조!$B$2:$B$15=E966)*(참조!$D$2:$D$15=C966)*(참조!$E$2:$E$15=D966),참조!$C$2:$C$15,"")</f>
        <v/>
      </c>
    </row>
    <row r="967" hidden="1" s="27">
      <c r="A967" s="47" t="inlineStr">
        <is>
          <t>U+유모바일</t>
        </is>
      </c>
      <c r="B967" s="47" t="inlineStr">
        <is>
          <t>[쿠팡이츠 12만] 71GB+/통화기본</t>
        </is>
      </c>
      <c r="C967" s="47" t="inlineStr">
        <is>
          <t>무제한</t>
        </is>
      </c>
      <c r="D967" s="47" t="inlineStr">
        <is>
          <t>무제한</t>
        </is>
      </c>
      <c r="E967" s="47" t="inlineStr">
        <is>
          <t>월 11GB + 매일 2GB + 3Mbps</t>
        </is>
      </c>
      <c r="F967" s="47" t="inlineStr">
        <is>
          <t>LG U+</t>
        </is>
      </c>
      <c r="G967" s="47" t="inlineStr">
        <is>
          <t>LTE</t>
        </is>
      </c>
      <c r="H967" s="48" t="n">
        <v>35500</v>
      </c>
      <c r="I967" s="48" t="n"/>
      <c r="J967" s="48" t="n"/>
      <c r="K967" s="47">
        <f t="array" ref="K967">_xlfn.XLOOKUP(1,(참조!$B$2:$B$15=E967)*(참조!$D$2:$D$15=C967)*(참조!$E$2:$E$15=D967),참조!$C$2:$C$15,"")</f>
        <v/>
      </c>
    </row>
    <row r="968" hidden="1" s="27">
      <c r="A968" s="47" t="inlineStr">
        <is>
          <t>U+유모바일</t>
        </is>
      </c>
      <c r="B968" s="47" t="inlineStr">
        <is>
          <t>[쿠팡이츠 12만] 7GB+/통화기본</t>
        </is>
      </c>
      <c r="C968" s="47" t="inlineStr">
        <is>
          <t>무제한</t>
        </is>
      </c>
      <c r="D968" s="47" t="inlineStr">
        <is>
          <t>무제한</t>
        </is>
      </c>
      <c r="E968" s="47" t="inlineStr">
        <is>
          <t>월 7GB + 1Mbps</t>
        </is>
      </c>
      <c r="F968" s="47" t="inlineStr">
        <is>
          <t>LG U+</t>
        </is>
      </c>
      <c r="G968" s="47" t="inlineStr">
        <is>
          <t>LTE</t>
        </is>
      </c>
      <c r="H968" s="48" t="n">
        <v>18400</v>
      </c>
      <c r="I968" s="48" t="n"/>
      <c r="J968" s="48" t="n"/>
      <c r="K968" s="47">
        <f t="array" ref="K968">_xlfn.XLOOKUP(1,(참조!$B$2:$B$15=E968)*(참조!$D$2:$D$15=C968)*(참조!$E$2:$E$15=D968),참조!$C$2:$C$15,"")</f>
        <v/>
      </c>
    </row>
    <row r="969" hidden="1" s="27">
      <c r="A969" s="47" t="inlineStr">
        <is>
          <t>KT스카이라이프</t>
        </is>
      </c>
      <c r="B969" s="47" t="inlineStr">
        <is>
          <t>데이터 충분 15GB+/300분(CU)</t>
        </is>
      </c>
      <c r="C969" s="47" t="inlineStr">
        <is>
          <t>300분</t>
        </is>
      </c>
      <c r="D969" s="47" t="inlineStr">
        <is>
          <t>300건</t>
        </is>
      </c>
      <c r="E969" s="47" t="inlineStr">
        <is>
          <t>월 15GB + 3Mbps</t>
        </is>
      </c>
      <c r="F969" s="47" t="inlineStr">
        <is>
          <t>KT</t>
        </is>
      </c>
      <c r="G969" s="47" t="inlineStr">
        <is>
          <t>LTE</t>
        </is>
      </c>
      <c r="H969" s="48" t="n">
        <v>27500</v>
      </c>
      <c r="I969" s="48" t="n"/>
      <c r="J969" s="48" t="n"/>
      <c r="K969" s="47">
        <f t="array" ref="K969">_xlfn.XLOOKUP(1,(참조!$B$2:$B$15=E969)*(참조!$D$2:$D$15=C969)*(참조!$E$2:$E$15=D969),참조!$C$2:$C$15,"")</f>
        <v/>
      </c>
    </row>
    <row r="970" hidden="1" s="27">
      <c r="A970" s="47" t="inlineStr">
        <is>
          <t>이야기모바일</t>
        </is>
      </c>
      <c r="B970" s="47" t="inlineStr">
        <is>
          <t>5G 함께이야기해S (200분+6GB)</t>
        </is>
      </c>
      <c r="C970" s="47" t="inlineStr">
        <is>
          <t>200분</t>
        </is>
      </c>
      <c r="D970" s="47" t="inlineStr">
        <is>
          <t>100건</t>
        </is>
      </c>
      <c r="E970" s="47" t="inlineStr">
        <is>
          <t>월 6GB</t>
        </is>
      </c>
      <c r="F970" s="47" t="inlineStr">
        <is>
          <t>SKT</t>
        </is>
      </c>
      <c r="G970" s="47" t="inlineStr">
        <is>
          <t>5G</t>
        </is>
      </c>
      <c r="H970" s="48" t="n">
        <v>8800</v>
      </c>
      <c r="I970" s="48" t="n"/>
      <c r="J970" s="48" t="n"/>
      <c r="K970" s="47">
        <f t="array" ref="K970">_xlfn.XLOOKUP(1,(참조!$B$2:$B$15=E970)*(참조!$D$2:$D$15=C970)*(참조!$E$2:$E$15=D970),참조!$C$2:$C$15,"")</f>
        <v/>
      </c>
    </row>
    <row r="971" hidden="1" s="27">
      <c r="A971" s="47" t="inlineStr">
        <is>
          <t>모나</t>
        </is>
      </c>
      <c r="B971" s="47" t="inlineStr">
        <is>
          <t>모나기본10G안심1</t>
        </is>
      </c>
      <c r="C971" s="47" t="inlineStr">
        <is>
          <t>무제한</t>
        </is>
      </c>
      <c r="D971" s="47" t="inlineStr">
        <is>
          <t>무제한</t>
        </is>
      </c>
      <c r="E971" s="47" t="inlineStr">
        <is>
          <t>월 10GB + 1Mbps</t>
        </is>
      </c>
      <c r="F971" s="47" t="inlineStr">
        <is>
          <t>LG U+</t>
        </is>
      </c>
      <c r="G971" s="47" t="inlineStr">
        <is>
          <t>LTE</t>
        </is>
      </c>
      <c r="H971" s="48" t="n">
        <v>6600</v>
      </c>
      <c r="I971" s="48" t="n">
        <v>7</v>
      </c>
      <c r="J971" s="48" t="n">
        <v>44000</v>
      </c>
      <c r="K971" s="47">
        <f t="array" ref="K971">_xlfn.XLOOKUP(1,(참조!$B$2:$B$15=E971)*(참조!$D$2:$D$15=C971)*(참조!$E$2:$E$15=D971),참조!$C$2:$C$15,"")</f>
        <v/>
      </c>
    </row>
    <row r="972" hidden="1" s="27">
      <c r="A972" s="47" t="inlineStr">
        <is>
          <t>아이즈모바일</t>
        </is>
      </c>
      <c r="B972" s="47" t="inlineStr">
        <is>
          <t>아이즈우정(300분/5G)</t>
        </is>
      </c>
      <c r="C972" s="47" t="inlineStr">
        <is>
          <t>300분</t>
        </is>
      </c>
      <c r="D972" s="47" t="inlineStr">
        <is>
          <t>100건</t>
        </is>
      </c>
      <c r="E972" s="47" t="inlineStr">
        <is>
          <t>월 5GB</t>
        </is>
      </c>
      <c r="F972" s="47" t="inlineStr">
        <is>
          <t>SKT</t>
        </is>
      </c>
      <c r="G972" s="47" t="inlineStr">
        <is>
          <t>LTE</t>
        </is>
      </c>
      <c r="H972" s="48" t="n">
        <v>90</v>
      </c>
      <c r="I972" s="48" t="n">
        <v>18</v>
      </c>
      <c r="J972" s="48" t="n">
        <v>8500</v>
      </c>
      <c r="K972" s="47">
        <f t="array" ref="K972">_xlfn.XLOOKUP(1,(참조!$B$2:$B$15=E972)*(참조!$D$2:$D$15=C972)*(참조!$E$2:$E$15=D972),참조!$C$2:$C$15,"")</f>
        <v/>
      </c>
    </row>
    <row r="973" hidden="1" s="27">
      <c r="A973" s="47" t="inlineStr">
        <is>
          <t>티플러스</t>
        </is>
      </c>
      <c r="B973" s="47" t="inlineStr">
        <is>
          <t>티플 12GB(12GB/300분)</t>
        </is>
      </c>
      <c r="C973" s="47" t="inlineStr">
        <is>
          <t>300분</t>
        </is>
      </c>
      <c r="D973" s="47" t="inlineStr">
        <is>
          <t>100건</t>
        </is>
      </c>
      <c r="E973" s="47" t="inlineStr">
        <is>
          <t>월 12GB</t>
        </is>
      </c>
      <c r="F973" s="47" t="inlineStr">
        <is>
          <t>SKT</t>
        </is>
      </c>
      <c r="G973" s="47" t="inlineStr">
        <is>
          <t>LTE</t>
        </is>
      </c>
      <c r="H973" s="48" t="n">
        <v>1500</v>
      </c>
      <c r="I973" s="48" t="n">
        <v>7</v>
      </c>
      <c r="J973" s="48" t="n">
        <v>18700</v>
      </c>
      <c r="K973" s="47">
        <f t="array" ref="K973">_xlfn.XLOOKUP(1,(참조!$B$2:$B$15=E973)*(참조!$D$2:$D$15=C973)*(참조!$E$2:$E$15=D973),참조!$C$2:$C$15,"")</f>
        <v/>
      </c>
    </row>
    <row r="974" hidden="1" s="27">
      <c r="A974" s="47" t="inlineStr">
        <is>
          <t>에이모바일</t>
        </is>
      </c>
      <c r="B974" s="47" t="inlineStr">
        <is>
          <t>A 갓성비 20GB/100분 (기본 10GB+추가 10GB 제공)</t>
        </is>
      </c>
      <c r="C974" s="47" t="inlineStr">
        <is>
          <t>100분</t>
        </is>
      </c>
      <c r="D974" s="47" t="inlineStr">
        <is>
          <t>100건</t>
        </is>
      </c>
      <c r="E974" s="47" t="inlineStr">
        <is>
          <t>월 10GB</t>
        </is>
      </c>
      <c r="F974" s="47" t="inlineStr">
        <is>
          <t>LG U+</t>
        </is>
      </c>
      <c r="G974" s="47" t="inlineStr">
        <is>
          <t>LTE</t>
        </is>
      </c>
      <c r="H974" s="48" t="n">
        <v>10</v>
      </c>
      <c r="I974" s="48" t="n">
        <v>7</v>
      </c>
      <c r="J974" s="48" t="n">
        <v>19800</v>
      </c>
      <c r="K974" s="47">
        <f t="array" ref="K974">_xlfn.XLOOKUP(1,(참조!$B$2:$B$15=E974)*(참조!$D$2:$D$15=C974)*(참조!$E$2:$E$15=D974),참조!$C$2:$C$15,"")</f>
        <v/>
      </c>
    </row>
    <row r="975" hidden="1" s="27">
      <c r="A975" s="47" t="inlineStr">
        <is>
          <t>모빙</t>
        </is>
      </c>
      <c r="B975" s="47" t="inlineStr">
        <is>
          <t>[L] 5G 300분10GB</t>
        </is>
      </c>
      <c r="C975" s="47" t="inlineStr">
        <is>
          <t>300분</t>
        </is>
      </c>
      <c r="D975" s="47" t="inlineStr">
        <is>
          <t>100건</t>
        </is>
      </c>
      <c r="E975" s="47" t="inlineStr">
        <is>
          <t>월 10GB</t>
        </is>
      </c>
      <c r="F975" s="47" t="inlineStr">
        <is>
          <t>LG U+</t>
        </is>
      </c>
      <c r="G975" s="47" t="inlineStr">
        <is>
          <t>5G</t>
        </is>
      </c>
      <c r="H975" s="48" t="n">
        <v>6900</v>
      </c>
      <c r="I975" s="48" t="n"/>
      <c r="J975" s="48" t="n"/>
      <c r="K975" s="47">
        <f t="array" ref="K975">_xlfn.XLOOKUP(1,(참조!$B$2:$B$15=E975)*(참조!$D$2:$D$15=C975)*(참조!$E$2:$E$15=D975),참조!$C$2:$C$15,"")</f>
        <v/>
      </c>
    </row>
    <row r="976" hidden="1" s="27">
      <c r="A976" s="47" t="inlineStr">
        <is>
          <t>핀다이렉트</t>
        </is>
      </c>
      <c r="B976" s="47" t="inlineStr">
        <is>
          <t>[L] DIGITAL DETOX 3GB 챌린지</t>
        </is>
      </c>
      <c r="C976" s="47" t="inlineStr">
        <is>
          <t>100분</t>
        </is>
      </c>
      <c r="D976" s="47" t="inlineStr">
        <is>
          <t>100건</t>
        </is>
      </c>
      <c r="E976" s="47" t="inlineStr">
        <is>
          <t>월 3GB</t>
        </is>
      </c>
      <c r="F976" s="47" t="inlineStr">
        <is>
          <t>LG U+</t>
        </is>
      </c>
      <c r="G976" s="47" t="inlineStr">
        <is>
          <t>LTE</t>
        </is>
      </c>
      <c r="H976" s="48" t="n">
        <v>330</v>
      </c>
      <c r="I976" s="48" t="n">
        <v>7</v>
      </c>
      <c r="J976" s="48" t="n">
        <v>8800</v>
      </c>
      <c r="K976" s="47">
        <f t="array" ref="K976">_xlfn.XLOOKUP(1,(참조!$B$2:$B$15=E976)*(참조!$D$2:$D$15=C976)*(참조!$E$2:$E$15=D976),참조!$C$2:$C$15,"")</f>
        <v/>
      </c>
    </row>
    <row r="977" hidden="1" s="27">
      <c r="A977" s="47" t="inlineStr">
        <is>
          <t>핀다이렉트</t>
        </is>
      </c>
      <c r="B977" s="47" t="inlineStr">
        <is>
          <t>[S] DIGITAL DETOX 3GB 챌린지</t>
        </is>
      </c>
      <c r="C977" s="47" t="inlineStr">
        <is>
          <t>100분</t>
        </is>
      </c>
      <c r="D977" s="47" t="inlineStr">
        <is>
          <t>100건</t>
        </is>
      </c>
      <c r="E977" s="47" t="inlineStr">
        <is>
          <t>월 3GB</t>
        </is>
      </c>
      <c r="F977" s="47" t="inlineStr">
        <is>
          <t>SKT</t>
        </is>
      </c>
      <c r="G977" s="47" t="inlineStr">
        <is>
          <t>LTE</t>
        </is>
      </c>
      <c r="H977" s="48" t="n">
        <v>330</v>
      </c>
      <c r="I977" s="48" t="n">
        <v>7</v>
      </c>
      <c r="J977" s="48" t="n">
        <v>8800</v>
      </c>
      <c r="K977" s="47">
        <f t="array" ref="K977">_xlfn.XLOOKUP(1,(참조!$B$2:$B$15=E977)*(참조!$D$2:$D$15=C977)*(참조!$E$2:$E$15=D977),참조!$C$2:$C$15,"")</f>
        <v/>
      </c>
    </row>
    <row r="978" hidden="1" s="27">
      <c r="A978" s="47" t="inlineStr">
        <is>
          <t>U+유모바일</t>
        </is>
      </c>
      <c r="B978" s="47" t="inlineStr">
        <is>
          <t>[올리브영 12만원] 9GB/3000분</t>
        </is>
      </c>
      <c r="C978" s="47" t="inlineStr">
        <is>
          <t>3,000분</t>
        </is>
      </c>
      <c r="D978" s="47" t="inlineStr">
        <is>
          <t>1,000건</t>
        </is>
      </c>
      <c r="E978" s="47" t="inlineStr">
        <is>
          <t>월 9GB</t>
        </is>
      </c>
      <c r="F978" s="47" t="inlineStr">
        <is>
          <t>LG U+</t>
        </is>
      </c>
      <c r="G978" s="47" t="inlineStr">
        <is>
          <t>LTE</t>
        </is>
      </c>
      <c r="H978" s="48" t="n">
        <v>13500</v>
      </c>
      <c r="I978" s="48" t="n"/>
      <c r="J978" s="48" t="n"/>
      <c r="K978" s="47">
        <f t="array" ref="K978">_xlfn.XLOOKUP(1,(참조!$B$2:$B$15=E978)*(참조!$D$2:$D$15=C978)*(참조!$E$2:$E$15=D978),참조!$C$2:$C$15,"")</f>
        <v/>
      </c>
    </row>
    <row r="979" hidden="1" s="27">
      <c r="A979" s="47" t="inlineStr">
        <is>
          <t>에이모바일</t>
        </is>
      </c>
      <c r="B979" s="47" t="inlineStr">
        <is>
          <t>A 5G 스마트 20GB/300분</t>
        </is>
      </c>
      <c r="C979" s="47" t="inlineStr">
        <is>
          <t>300분</t>
        </is>
      </c>
      <c r="D979" s="47" t="inlineStr">
        <is>
          <t>100건</t>
        </is>
      </c>
      <c r="E979" s="47" t="inlineStr">
        <is>
          <t>월 20GB</t>
        </is>
      </c>
      <c r="F979" s="47" t="inlineStr">
        <is>
          <t>SKT</t>
        </is>
      </c>
      <c r="G979" s="47" t="inlineStr">
        <is>
          <t>5G</t>
        </is>
      </c>
      <c r="H979" s="48" t="n">
        <v>1650</v>
      </c>
      <c r="I979" s="48" t="n">
        <v>7</v>
      </c>
      <c r="J979" s="48" t="n">
        <v>24200</v>
      </c>
      <c r="K979" s="47">
        <f t="array" ref="K979">_xlfn.XLOOKUP(1,(참조!$B$2:$B$15=E979)*(참조!$D$2:$D$15=C979)*(참조!$E$2:$E$15=D979),참조!$C$2:$C$15,"")</f>
        <v/>
      </c>
    </row>
    <row r="980" hidden="1" s="27">
      <c r="A980" s="47" t="inlineStr">
        <is>
          <t>KT스카이라이프</t>
        </is>
      </c>
      <c r="B980" s="47" t="inlineStr">
        <is>
          <t>모두 충분 100GB+(지니뮤직)</t>
        </is>
      </c>
      <c r="C980" s="47" t="inlineStr">
        <is>
          <t>무제한</t>
        </is>
      </c>
      <c r="D980" s="47" t="inlineStr">
        <is>
          <t>무제한</t>
        </is>
      </c>
      <c r="E980" s="47" t="inlineStr">
        <is>
          <t>월 100GB + 5Mbps</t>
        </is>
      </c>
      <c r="F980" s="47" t="inlineStr">
        <is>
          <t>KT</t>
        </is>
      </c>
      <c r="G980" s="47" t="inlineStr">
        <is>
          <t>LTE</t>
        </is>
      </c>
      <c r="H980" s="48" t="n">
        <v>42300</v>
      </c>
      <c r="I980" s="48" t="n"/>
      <c r="J980" s="48" t="n"/>
      <c r="K980" s="47">
        <f t="array" ref="K980">_xlfn.XLOOKUP(1,(참조!$B$2:$B$15=E980)*(참조!$D$2:$D$15=C980)*(참조!$E$2:$E$15=D980),참조!$C$2:$C$15,"")</f>
        <v/>
      </c>
    </row>
    <row r="981" hidden="1" s="27">
      <c r="A981" s="47" t="inlineStr">
        <is>
          <t>티플러스</t>
        </is>
      </c>
      <c r="B981" s="47" t="inlineStr">
        <is>
          <t>티플 CGV 100GB＋</t>
        </is>
      </c>
      <c r="C981" s="47" t="inlineStr">
        <is>
          <t>무제한</t>
        </is>
      </c>
      <c r="D981" s="47" t="inlineStr">
        <is>
          <t>무제한</t>
        </is>
      </c>
      <c r="E981" s="47" t="inlineStr">
        <is>
          <t>월 100GB + 5Mbps</t>
        </is>
      </c>
      <c r="F981" s="47" t="inlineStr">
        <is>
          <t>SKT</t>
        </is>
      </c>
      <c r="G981" s="47" t="inlineStr">
        <is>
          <t>LTE</t>
        </is>
      </c>
      <c r="H981" s="48" t="n">
        <v>17900</v>
      </c>
      <c r="I981" s="48" t="n">
        <v>7</v>
      </c>
      <c r="J981" s="48" t="n">
        <v>59400</v>
      </c>
      <c r="K981" s="47">
        <f t="array" ref="K981">_xlfn.XLOOKUP(1,(참조!$B$2:$B$15=E981)*(참조!$D$2:$D$15=C981)*(참조!$E$2:$E$15=D981),참조!$C$2:$C$15,"")</f>
        <v/>
      </c>
    </row>
    <row r="982" hidden="1" s="27">
      <c r="A982" s="47" t="inlineStr">
        <is>
          <t>티플러스</t>
        </is>
      </c>
      <c r="B982" s="47" t="inlineStr">
        <is>
          <t>티플 CGV 11GB＋</t>
        </is>
      </c>
      <c r="C982" s="47" t="inlineStr">
        <is>
          <t>무제한</t>
        </is>
      </c>
      <c r="D982" s="47" t="inlineStr">
        <is>
          <t>무제한</t>
        </is>
      </c>
      <c r="E982" s="47" t="inlineStr">
        <is>
          <t>월 11GB + 매일 2GB + 3Mbps</t>
        </is>
      </c>
      <c r="F982" s="47" t="inlineStr">
        <is>
          <t>SKT</t>
        </is>
      </c>
      <c r="G982" s="47" t="inlineStr">
        <is>
          <t>LTE</t>
        </is>
      </c>
      <c r="H982" s="48" t="n">
        <v>15900</v>
      </c>
      <c r="I982" s="48" t="n">
        <v>7</v>
      </c>
      <c r="J982" s="48" t="n">
        <v>51700</v>
      </c>
      <c r="K982" s="47">
        <f t="array" ref="K982">_xlfn.XLOOKUP(1,(참조!$B$2:$B$15=E982)*(참조!$D$2:$D$15=C982)*(참조!$E$2:$E$15=D982),참조!$C$2:$C$15,"")</f>
        <v/>
      </c>
    </row>
    <row r="983" hidden="1" s="27">
      <c r="A983" s="47" t="inlineStr">
        <is>
          <t>에이모바일</t>
        </is>
      </c>
      <c r="B983" s="47" t="inlineStr">
        <is>
          <t>A 갓성비 15GB/300분</t>
        </is>
      </c>
      <c r="C983" s="47" t="inlineStr">
        <is>
          <t>300분</t>
        </is>
      </c>
      <c r="D983" s="47" t="inlineStr">
        <is>
          <t>300건</t>
        </is>
      </c>
      <c r="E983" s="47" t="inlineStr">
        <is>
          <t>월 15GB</t>
        </is>
      </c>
      <c r="F983" s="47" t="inlineStr">
        <is>
          <t>LG U+</t>
        </is>
      </c>
      <c r="G983" s="47" t="inlineStr">
        <is>
          <t>LTE</t>
        </is>
      </c>
      <c r="H983" s="48" t="n">
        <v>5460</v>
      </c>
      <c r="I983" s="48" t="n">
        <v>6</v>
      </c>
      <c r="J983" s="48" t="n">
        <v>18000</v>
      </c>
      <c r="K983" s="47">
        <f t="array" ref="K983">_xlfn.XLOOKUP(1,(참조!$B$2:$B$15=E983)*(참조!$D$2:$D$15=C983)*(참조!$E$2:$E$15=D983),참조!$C$2:$C$15,"")</f>
        <v/>
      </c>
    </row>
    <row r="984" hidden="1" s="27">
      <c r="A984" s="47" t="inlineStr">
        <is>
          <t>스마텔</t>
        </is>
      </c>
      <c r="B984" s="47" t="inlineStr">
        <is>
          <t>우주LTE데이터(11GB+)</t>
        </is>
      </c>
      <c r="C984" s="47" t="inlineStr">
        <is>
          <t>무제한</t>
        </is>
      </c>
      <c r="D984" s="47" t="inlineStr">
        <is>
          <t>무제한</t>
        </is>
      </c>
      <c r="E984" s="47" t="inlineStr">
        <is>
          <t>월 11GB + 매일 2GB + 3Mbps</t>
        </is>
      </c>
      <c r="F984" s="47" t="inlineStr">
        <is>
          <t>LG U+</t>
        </is>
      </c>
      <c r="G984" s="47" t="inlineStr">
        <is>
          <t>LTE</t>
        </is>
      </c>
      <c r="H984" s="48" t="n">
        <v>35000</v>
      </c>
      <c r="I984" s="48" t="n"/>
      <c r="J984" s="48" t="n"/>
      <c r="K984" s="47">
        <f t="array" ref="K984">_xlfn.XLOOKUP(1,(참조!$B$2:$B$15=E984)*(참조!$D$2:$D$15=C984)*(참조!$E$2:$E$15=D984),참조!$C$2:$C$15,"")</f>
        <v/>
      </c>
    </row>
    <row r="985" hidden="1" s="27">
      <c r="A985" s="47" t="inlineStr">
        <is>
          <t>KT스카이라이프</t>
        </is>
      </c>
      <c r="B985" s="47" t="inlineStr">
        <is>
          <t>데이터 충분 15GB+/300분</t>
        </is>
      </c>
      <c r="C985" s="47" t="inlineStr">
        <is>
          <t>300분</t>
        </is>
      </c>
      <c r="D985" s="47" t="inlineStr">
        <is>
          <t>300건</t>
        </is>
      </c>
      <c r="E985" s="47" t="inlineStr">
        <is>
          <t>월 15GB + 3Mbps</t>
        </is>
      </c>
      <c r="F985" s="47" t="inlineStr">
        <is>
          <t>KT</t>
        </is>
      </c>
      <c r="G985" s="47" t="inlineStr">
        <is>
          <t>LTE</t>
        </is>
      </c>
      <c r="H985" s="48" t="n">
        <v>27500</v>
      </c>
      <c r="I985" s="48" t="n"/>
      <c r="J985" s="48" t="n"/>
      <c r="K985" s="47">
        <f t="array" ref="K985">_xlfn.XLOOKUP(1,(참조!$B$2:$B$15=E985)*(참조!$D$2:$D$15=C985)*(참조!$E$2:$E$15=D985),참조!$C$2:$C$15,"")</f>
        <v/>
      </c>
    </row>
    <row r="986" hidden="1" s="27">
      <c r="A986" s="47" t="inlineStr">
        <is>
          <t>KG모바일</t>
        </is>
      </c>
      <c r="B986" s="47" t="inlineStr">
        <is>
          <t>[모빌카드 스페셜] 데이터 마음대로 (15GB+/100분)</t>
        </is>
      </c>
      <c r="C986" s="47" t="inlineStr">
        <is>
          <t>100분</t>
        </is>
      </c>
      <c r="D986" s="47" t="inlineStr">
        <is>
          <t>100건</t>
        </is>
      </c>
      <c r="E986" s="47" t="inlineStr">
        <is>
          <t>월 15GB + 3Mbps</t>
        </is>
      </c>
      <c r="F986" s="47" t="inlineStr">
        <is>
          <t>LG U+</t>
        </is>
      </c>
      <c r="G986" s="47" t="inlineStr">
        <is>
          <t>LTE</t>
        </is>
      </c>
      <c r="H986" s="48" t="n">
        <v>15000</v>
      </c>
      <c r="I986" s="48" t="n">
        <v>7</v>
      </c>
      <c r="J986" s="48" t="n">
        <v>33000</v>
      </c>
      <c r="K986" s="47">
        <f t="array" ref="K986">_xlfn.XLOOKUP(1,(참조!$B$2:$B$15=E986)*(참조!$D$2:$D$15=C986)*(참조!$E$2:$E$15=D986),참조!$C$2:$C$15,"")</f>
        <v/>
      </c>
    </row>
    <row r="987" hidden="1" s="27">
      <c r="A987" s="47" t="inlineStr">
        <is>
          <t>티플러스</t>
        </is>
      </c>
      <c r="B987" s="47" t="inlineStr">
        <is>
          <t>티플 7G＋(CU 20%할인 ＋ 올리브영 5,000원 상품권)</t>
        </is>
      </c>
      <c r="C987" s="47" t="inlineStr">
        <is>
          <t>무제한</t>
        </is>
      </c>
      <c r="D987" s="47" t="inlineStr">
        <is>
          <t>무제한</t>
        </is>
      </c>
      <c r="E987" s="47" t="inlineStr">
        <is>
          <t>월 7GB + 1Mbps</t>
        </is>
      </c>
      <c r="F987" s="47" t="inlineStr">
        <is>
          <t>KT</t>
        </is>
      </c>
      <c r="G987" s="47" t="inlineStr">
        <is>
          <t>LTE</t>
        </is>
      </c>
      <c r="H987" s="48" t="n">
        <v>7900</v>
      </c>
      <c r="I987" s="48" t="n">
        <v>7</v>
      </c>
      <c r="J987" s="48" t="n">
        <v>29700</v>
      </c>
      <c r="K987" s="47">
        <f t="array" ref="K987">_xlfn.XLOOKUP(1,(참조!$B$2:$B$15=E987)*(참조!$D$2:$D$15=C987)*(참조!$E$2:$E$15=D987),참조!$C$2:$C$15,"")</f>
        <v/>
      </c>
    </row>
    <row r="988" hidden="1" s="27">
      <c r="A988" s="47" t="inlineStr">
        <is>
          <t>모빙</t>
        </is>
      </c>
      <c r="B988" s="47" t="inlineStr">
        <is>
          <t>[S] 5G 모빙 500분20GB</t>
        </is>
      </c>
      <c r="C988" s="47" t="inlineStr">
        <is>
          <t>500분</t>
        </is>
      </c>
      <c r="D988" s="47" t="inlineStr">
        <is>
          <t>100건</t>
        </is>
      </c>
      <c r="E988" s="47" t="inlineStr">
        <is>
          <t>월 20GB</t>
        </is>
      </c>
      <c r="F988" s="47" t="inlineStr">
        <is>
          <t>SKT</t>
        </is>
      </c>
      <c r="G988" s="47" t="inlineStr">
        <is>
          <t>5G</t>
        </is>
      </c>
      <c r="H988" s="48" t="n">
        <v>16000</v>
      </c>
      <c r="I988" s="48" t="n"/>
      <c r="J988" s="48" t="n"/>
      <c r="K988" s="47">
        <f t="array" ref="K988">_xlfn.XLOOKUP(1,(참조!$B$2:$B$15=E988)*(참조!$D$2:$D$15=C988)*(참조!$E$2:$E$15=D988),참조!$C$2:$C$15,"")</f>
        <v/>
      </c>
    </row>
    <row r="989" hidden="1" s="27">
      <c r="A989" s="47" t="inlineStr">
        <is>
          <t>KG모바일</t>
        </is>
      </c>
      <c r="B989" s="47" t="inlineStr">
        <is>
          <t>[일반] 통화, 데이터 마음대로 Pro</t>
        </is>
      </c>
      <c r="C989" s="47" t="inlineStr">
        <is>
          <t>무제한</t>
        </is>
      </c>
      <c r="D989" s="47" t="inlineStr">
        <is>
          <t>무제한</t>
        </is>
      </c>
      <c r="E989" s="47" t="inlineStr">
        <is>
          <t>매일 5GB + 5Mbps</t>
        </is>
      </c>
      <c r="F989" s="47" t="inlineStr">
        <is>
          <t>LG U+</t>
        </is>
      </c>
      <c r="G989" s="47" t="inlineStr">
        <is>
          <t>LTE</t>
        </is>
      </c>
      <c r="H989" s="48" t="n">
        <v>34650</v>
      </c>
      <c r="I989" s="48" t="n">
        <v>12</v>
      </c>
      <c r="J989" s="48" t="n">
        <v>47300</v>
      </c>
      <c r="K989" s="47">
        <f t="array" ref="K989">_xlfn.XLOOKUP(1,(참조!$B$2:$B$15=E989)*(참조!$D$2:$D$15=C989)*(참조!$E$2:$E$15=D989),참조!$C$2:$C$15,"")</f>
        <v/>
      </c>
    </row>
    <row r="990" hidden="1" s="27">
      <c r="A990" s="47" t="inlineStr">
        <is>
          <t>KT스카이라이프</t>
        </is>
      </c>
      <c r="B990" s="47" t="inlineStr">
        <is>
          <t>모두 충분 7GB+(Pay_3000)</t>
        </is>
      </c>
      <c r="C990" s="47" t="inlineStr">
        <is>
          <t>무제한</t>
        </is>
      </c>
      <c r="D990" s="47" t="inlineStr">
        <is>
          <t>무제한</t>
        </is>
      </c>
      <c r="E990" s="47" t="inlineStr">
        <is>
          <t>월 7GB + 1Mbps</t>
        </is>
      </c>
      <c r="F990" s="47" t="inlineStr">
        <is>
          <t>KT</t>
        </is>
      </c>
      <c r="G990" s="47" t="inlineStr">
        <is>
          <t>LTE</t>
        </is>
      </c>
      <c r="H990" s="48" t="n">
        <v>18100</v>
      </c>
      <c r="I990" s="48" t="n"/>
      <c r="J990" s="48" t="n"/>
      <c r="K990" s="47">
        <f t="array" ref="K990">_xlfn.XLOOKUP(1,(참조!$B$2:$B$15=E990)*(참조!$D$2:$D$15=C990)*(참조!$E$2:$E$15=D990),참조!$C$2:$C$15,"")</f>
        <v/>
      </c>
    </row>
    <row r="991" hidden="1" s="27">
      <c r="A991" s="47" t="inlineStr">
        <is>
          <t>티플러스</t>
        </is>
      </c>
      <c r="B991" s="47" t="inlineStr">
        <is>
          <t>The 완전마음껏7G+(카톡 이모티콘+예스24e북)</t>
        </is>
      </c>
      <c r="C991" s="47" t="inlineStr">
        <is>
          <t>무제한</t>
        </is>
      </c>
      <c r="D991" s="47" t="inlineStr">
        <is>
          <t>무제한</t>
        </is>
      </c>
      <c r="E991" s="47" t="inlineStr">
        <is>
          <t>월 7GB + 1Mbps</t>
        </is>
      </c>
      <c r="F991" s="47" t="inlineStr">
        <is>
          <t>LG U+</t>
        </is>
      </c>
      <c r="G991" s="47" t="inlineStr">
        <is>
          <t>LTE</t>
        </is>
      </c>
      <c r="H991" s="48" t="n">
        <v>14900</v>
      </c>
      <c r="I991" s="48" t="n">
        <v>24</v>
      </c>
      <c r="J991" s="48" t="n">
        <v>22000</v>
      </c>
      <c r="K991" s="47">
        <f t="array" ref="K991">_xlfn.XLOOKUP(1,(참조!$B$2:$B$15=E991)*(참조!$D$2:$D$15=C991)*(참조!$E$2:$E$15=D991),참조!$C$2:$C$15,"")</f>
        <v/>
      </c>
    </row>
    <row r="992" hidden="1" s="27">
      <c r="A992" s="47" t="inlineStr">
        <is>
          <t>스마텔</t>
        </is>
      </c>
      <c r="B992" s="47" t="inlineStr">
        <is>
          <t>스마트 10GB+ (24개월)</t>
        </is>
      </c>
      <c r="C992" s="47" t="inlineStr">
        <is>
          <t>무제한</t>
        </is>
      </c>
      <c r="D992" s="47" t="inlineStr">
        <is>
          <t>무제한</t>
        </is>
      </c>
      <c r="E992" s="47" t="inlineStr">
        <is>
          <t>월 10GB + 1Mbps</t>
        </is>
      </c>
      <c r="F992" s="47" t="inlineStr">
        <is>
          <t>LG U+</t>
        </is>
      </c>
      <c r="G992" s="47" t="inlineStr">
        <is>
          <t>LTE</t>
        </is>
      </c>
      <c r="H992" s="48" t="n">
        <v>16000</v>
      </c>
      <c r="I992" s="48" t="n">
        <v>24</v>
      </c>
      <c r="J992" s="48" t="n">
        <v>22990</v>
      </c>
      <c r="K992" s="47">
        <f t="array" ref="K992">_xlfn.XLOOKUP(1,(참조!$B$2:$B$15=E992)*(참조!$D$2:$D$15=C992)*(참조!$E$2:$E$15=D992),참조!$C$2:$C$15,"")</f>
        <v/>
      </c>
    </row>
    <row r="993" hidden="1" s="27">
      <c r="A993" s="47" t="inlineStr">
        <is>
          <t>위너스텔</t>
        </is>
      </c>
      <c r="B993" s="47" t="inlineStr">
        <is>
          <t>안심무한330</t>
        </is>
      </c>
      <c r="C993" s="47" t="inlineStr">
        <is>
          <t>100분</t>
        </is>
      </c>
      <c r="D993" s="47" t="inlineStr">
        <is>
          <t>100건</t>
        </is>
      </c>
      <c r="E993" s="47" t="inlineStr">
        <is>
          <t>월 15GB + 3Mbps</t>
        </is>
      </c>
      <c r="F993" s="47" t="inlineStr">
        <is>
          <t>KT</t>
        </is>
      </c>
      <c r="G993" s="47" t="inlineStr">
        <is>
          <t>LTE</t>
        </is>
      </c>
      <c r="H993" s="48" t="n">
        <v>28600</v>
      </c>
      <c r="I993" s="48" t="n"/>
      <c r="J993" s="48" t="n"/>
      <c r="K993" s="47">
        <f t="array" ref="K993">_xlfn.XLOOKUP(1,(참조!$B$2:$B$15=E993)*(참조!$D$2:$D$15=C993)*(참조!$E$2:$E$15=D993),참조!$C$2:$C$15,"")</f>
        <v/>
      </c>
    </row>
    <row r="994" hidden="1" s="27">
      <c r="A994" s="47" t="inlineStr">
        <is>
          <t>더원모바일</t>
        </is>
      </c>
      <c r="B994" s="47" t="inlineStr">
        <is>
          <t>TOP 5G 110GB 기본 (다이소)</t>
        </is>
      </c>
      <c r="C994" s="47" t="inlineStr">
        <is>
          <t>무제한</t>
        </is>
      </c>
      <c r="D994" s="47" t="inlineStr">
        <is>
          <t>무제한</t>
        </is>
      </c>
      <c r="E994" s="47" t="inlineStr">
        <is>
          <t>월 110GB + 5Mbps</t>
        </is>
      </c>
      <c r="F994" s="47" t="inlineStr">
        <is>
          <t>KT</t>
        </is>
      </c>
      <c r="G994" s="47" t="inlineStr">
        <is>
          <t>5G</t>
        </is>
      </c>
      <c r="H994" s="48" t="n">
        <v>18700</v>
      </c>
      <c r="I994" s="48" t="n">
        <v>7</v>
      </c>
      <c r="J994" s="48" t="n">
        <v>47300</v>
      </c>
      <c r="K994" s="47">
        <f t="array" ref="K994">_xlfn.XLOOKUP(1,(참조!$B$2:$B$15=E994)*(참조!$D$2:$D$15=C994)*(참조!$E$2:$E$15=D994),참조!$C$2:$C$15,"")</f>
        <v/>
      </c>
    </row>
    <row r="995" hidden="1" s="27">
      <c r="A995" s="47" t="inlineStr">
        <is>
          <t>에이모바일</t>
        </is>
      </c>
      <c r="B995" s="47" t="inlineStr">
        <is>
          <t>A 스마트 15GB</t>
        </is>
      </c>
      <c r="C995" s="47" t="inlineStr">
        <is>
          <t>무제한</t>
        </is>
      </c>
      <c r="D995" s="47" t="inlineStr">
        <is>
          <t>무제한</t>
        </is>
      </c>
      <c r="E995" s="47" t="inlineStr">
        <is>
          <t>월 15GB</t>
        </is>
      </c>
      <c r="F995" s="47" t="inlineStr">
        <is>
          <t>SKT</t>
        </is>
      </c>
      <c r="G995" s="47" t="inlineStr">
        <is>
          <t>LTE</t>
        </is>
      </c>
      <c r="H995" s="48" t="n">
        <v>1100</v>
      </c>
      <c r="I995" s="48" t="n">
        <v>7</v>
      </c>
      <c r="J995" s="48" t="n">
        <v>21340</v>
      </c>
      <c r="K995" s="47">
        <f t="array" ref="K995">_xlfn.XLOOKUP(1,(참조!$B$2:$B$15=E995)*(참조!$D$2:$D$15=C995)*(참조!$E$2:$E$15=D995),참조!$C$2:$C$15,"")</f>
        <v/>
      </c>
    </row>
    <row r="996" hidden="1" s="27">
      <c r="A996" s="47" t="inlineStr">
        <is>
          <t>고고모바일</t>
        </is>
      </c>
      <c r="B996" s="47" t="inlineStr">
        <is>
          <t>고고100분/5GB+1Mbps</t>
        </is>
      </c>
      <c r="C996" s="47" t="inlineStr">
        <is>
          <t>100분</t>
        </is>
      </c>
      <c r="D996" s="47" t="inlineStr">
        <is>
          <t>100건</t>
        </is>
      </c>
      <c r="E996" s="47" t="inlineStr">
        <is>
          <t>월 5GB + 1Mbps</t>
        </is>
      </c>
      <c r="F996" s="47" t="inlineStr">
        <is>
          <t>KT</t>
        </is>
      </c>
      <c r="G996" s="47" t="inlineStr">
        <is>
          <t>LTE</t>
        </is>
      </c>
      <c r="H996" s="48" t="n">
        <v>10890</v>
      </c>
      <c r="I996" s="48" t="n"/>
      <c r="J996" s="48" t="n"/>
      <c r="K996" s="47">
        <f t="array" ref="K996">_xlfn.XLOOKUP(1,(참조!$B$2:$B$15=E996)*(참조!$D$2:$D$15=C996)*(참조!$E$2:$E$15=D996),참조!$C$2:$C$15,"")</f>
        <v/>
      </c>
    </row>
    <row r="997" hidden="1" s="27">
      <c r="A997" s="47" t="inlineStr">
        <is>
          <t>스마텔</t>
        </is>
      </c>
      <c r="B997" s="47" t="inlineStr">
        <is>
          <t>USIM 알뜰 15GB+</t>
        </is>
      </c>
      <c r="C997" s="47" t="inlineStr">
        <is>
          <t>100분</t>
        </is>
      </c>
      <c r="D997" s="47" t="inlineStr">
        <is>
          <t>100건</t>
        </is>
      </c>
      <c r="E997" s="47" t="inlineStr">
        <is>
          <t>월 15GB + 3Mbps</t>
        </is>
      </c>
      <c r="F997" s="47" t="inlineStr">
        <is>
          <t>SKT</t>
        </is>
      </c>
      <c r="G997" s="47" t="inlineStr">
        <is>
          <t>LTE</t>
        </is>
      </c>
      <c r="H997" s="48" t="n">
        <v>27500</v>
      </c>
      <c r="I997" s="48" t="n"/>
      <c r="J997" s="48" t="n"/>
      <c r="K997" s="47">
        <f t="array" ref="K997">_xlfn.XLOOKUP(1,(참조!$B$2:$B$15=E997)*(참조!$D$2:$D$15=C997)*(참조!$E$2:$E$15=D997),참조!$C$2:$C$15,"")</f>
        <v/>
      </c>
    </row>
    <row r="998" hidden="1" s="27">
      <c r="A998" s="47" t="inlineStr">
        <is>
          <t>KT엠모바일</t>
        </is>
      </c>
      <c r="B998" s="47" t="inlineStr">
        <is>
          <t>모두다 맘껏 11GB+(쿠팡캐시 5000원)</t>
        </is>
      </c>
      <c r="C998" s="47" t="inlineStr">
        <is>
          <t>무제한</t>
        </is>
      </c>
      <c r="D998" s="47" t="inlineStr">
        <is>
          <t>무제한</t>
        </is>
      </c>
      <c r="E998" s="47" t="inlineStr">
        <is>
          <t>월 11GB + 매일 2GB + 3Mbps</t>
        </is>
      </c>
      <c r="F998" s="47" t="inlineStr">
        <is>
          <t>KT</t>
        </is>
      </c>
      <c r="G998" s="47" t="inlineStr">
        <is>
          <t>LTE</t>
        </is>
      </c>
      <c r="H998" s="48" t="n">
        <v>35300</v>
      </c>
      <c r="I998" s="48" t="n"/>
      <c r="J998" s="48" t="n"/>
      <c r="K998" s="47">
        <f t="array" ref="K998">_xlfn.XLOOKUP(1,(참조!$B$2:$B$15=E998)*(참조!$D$2:$D$15=C998)*(참조!$E$2:$E$15=D998),참조!$C$2:$C$15,"")</f>
        <v/>
      </c>
    </row>
    <row r="999" hidden="1" s="27">
      <c r="A999" s="47" t="inlineStr">
        <is>
          <t>모빙</t>
        </is>
      </c>
      <c r="B999" s="47" t="inlineStr">
        <is>
          <t>실속 500분10GB</t>
        </is>
      </c>
      <c r="C999" s="47" t="inlineStr">
        <is>
          <t>500분</t>
        </is>
      </c>
      <c r="D999" s="47" t="inlineStr">
        <is>
          <t>100건</t>
        </is>
      </c>
      <c r="E999" s="47" t="inlineStr">
        <is>
          <t>월 10GB</t>
        </is>
      </c>
      <c r="F999" s="47" t="inlineStr">
        <is>
          <t>LG U+</t>
        </is>
      </c>
      <c r="G999" s="47" t="inlineStr">
        <is>
          <t>LTE</t>
        </is>
      </c>
      <c r="H999" s="48" t="n">
        <v>10</v>
      </c>
      <c r="I999" s="48" t="n">
        <v>6</v>
      </c>
      <c r="J999" s="48" t="n">
        <v>22000</v>
      </c>
      <c r="K999" s="47">
        <f t="array" ref="K999">_xlfn.XLOOKUP(1,(참조!$B$2:$B$15=E999)*(참조!$D$2:$D$15=C999)*(참조!$E$2:$E$15=D999),참조!$C$2:$C$15,"")</f>
        <v/>
      </c>
    </row>
    <row r="1000" hidden="1" s="27">
      <c r="A1000" s="47" t="inlineStr">
        <is>
          <t>U+유모바일</t>
        </is>
      </c>
      <c r="B1000" s="47" t="inlineStr">
        <is>
          <t>[다이소 12만] 15GB(+10GB 추가 제공 프로모션)</t>
        </is>
      </c>
      <c r="C1000" s="47" t="inlineStr">
        <is>
          <t>무제한</t>
        </is>
      </c>
      <c r="D1000" s="47" t="inlineStr">
        <is>
          <t>무제한</t>
        </is>
      </c>
      <c r="E1000" s="47" t="inlineStr">
        <is>
          <t>월 25GB + 1Mbps</t>
        </is>
      </c>
      <c r="F1000" s="47" t="inlineStr">
        <is>
          <t>LG U+</t>
        </is>
      </c>
      <c r="G1000" s="47" t="inlineStr">
        <is>
          <t>LTE</t>
        </is>
      </c>
      <c r="H1000" s="48" t="n">
        <v>24100</v>
      </c>
      <c r="I1000" s="48" t="n"/>
      <c r="J1000" s="48" t="n"/>
      <c r="K1000" s="47">
        <f t="array" ref="K1000">_xlfn.XLOOKUP(1,(참조!$B$2:$B$15=E1000)*(참조!$D$2:$D$15=C1000)*(참조!$E$2:$E$15=D1000),참조!$C$2:$C$15,"")</f>
        <v/>
      </c>
    </row>
    <row r="1001" hidden="1" s="27">
      <c r="A1001" s="47" t="inlineStr">
        <is>
          <t>U+유모바일</t>
        </is>
      </c>
      <c r="B1001" s="47" t="inlineStr">
        <is>
          <t>[다이소 12만] 71GB+</t>
        </is>
      </c>
      <c r="C1001" s="47" t="inlineStr">
        <is>
          <t>무제한</t>
        </is>
      </c>
      <c r="D1001" s="47" t="inlineStr">
        <is>
          <t>무제한</t>
        </is>
      </c>
      <c r="E1001" s="47" t="inlineStr">
        <is>
          <t>월 11GB + 매일 2GB + 3Mbps</t>
        </is>
      </c>
      <c r="F1001" s="47" t="inlineStr">
        <is>
          <t>LG U+</t>
        </is>
      </c>
      <c r="G1001" s="47" t="inlineStr">
        <is>
          <t>LTE</t>
        </is>
      </c>
      <c r="H1001" s="48" t="n">
        <v>35190</v>
      </c>
      <c r="I1001" s="48" t="n"/>
      <c r="J1001" s="48" t="n"/>
      <c r="K1001" s="47">
        <f t="array" ref="K1001">_xlfn.XLOOKUP(1,(참조!$B$2:$B$15=E1001)*(참조!$D$2:$D$15=C1001)*(참조!$E$2:$E$15=D1001),참조!$C$2:$C$15,"")</f>
        <v/>
      </c>
    </row>
    <row r="1002" hidden="1" s="27">
      <c r="A1002" s="47" t="inlineStr">
        <is>
          <t>더원모바일</t>
        </is>
      </c>
      <c r="B1002" s="47" t="inlineStr">
        <is>
          <t>TOP 10GB 기본 (올리브영)</t>
        </is>
      </c>
      <c r="C1002" s="47" t="inlineStr">
        <is>
          <t>무제한</t>
        </is>
      </c>
      <c r="D1002" s="47" t="inlineStr">
        <is>
          <t>무제한</t>
        </is>
      </c>
      <c r="E1002" s="47" t="inlineStr">
        <is>
          <t>월 10GB + 1Mbps</t>
        </is>
      </c>
      <c r="F1002" s="47" t="inlineStr">
        <is>
          <t>KT</t>
        </is>
      </c>
      <c r="G1002" s="47" t="inlineStr">
        <is>
          <t>LTE</t>
        </is>
      </c>
      <c r="H1002" s="48" t="n">
        <v>5500</v>
      </c>
      <c r="I1002" s="48" t="n">
        <v>7</v>
      </c>
      <c r="J1002" s="48" t="n">
        <v>28600</v>
      </c>
      <c r="K1002" s="47">
        <f t="array" ref="K1002">_xlfn.XLOOKUP(1,(참조!$B$2:$B$15=E1002)*(참조!$D$2:$D$15=C1002)*(참조!$E$2:$E$15=D1002),참조!$C$2:$C$15,"")</f>
        <v/>
      </c>
    </row>
    <row r="1003" hidden="1" s="27">
      <c r="A1003" s="47" t="inlineStr">
        <is>
          <t>아이즈모바일</t>
        </is>
      </c>
      <c r="B1003" s="47" t="inlineStr">
        <is>
          <t>[K]5G 울트라(300분/30GB)</t>
        </is>
      </c>
      <c r="C1003" s="47" t="inlineStr">
        <is>
          <t>300분</t>
        </is>
      </c>
      <c r="D1003" s="47" t="inlineStr">
        <is>
          <t>200건</t>
        </is>
      </c>
      <c r="E1003" s="47" t="inlineStr">
        <is>
          <t>월 30GB</t>
        </is>
      </c>
      <c r="F1003" s="47" t="inlineStr">
        <is>
          <t>KT</t>
        </is>
      </c>
      <c r="G1003" s="47" t="inlineStr">
        <is>
          <t>5G</t>
        </is>
      </c>
      <c r="H1003" s="48" t="n">
        <v>11000</v>
      </c>
      <c r="I1003" s="48" t="n">
        <v>36</v>
      </c>
      <c r="J1003" s="48" t="n">
        <v>44000</v>
      </c>
      <c r="K1003" s="47">
        <f t="array" ref="K1003">_xlfn.XLOOKUP(1,(참조!$B$2:$B$15=E1003)*(참조!$D$2:$D$15=C1003)*(참조!$E$2:$E$15=D1003),참조!$C$2:$C$15,"")</f>
        <v/>
      </c>
    </row>
    <row r="1004" hidden="1" s="27">
      <c r="A1004" s="47" t="inlineStr">
        <is>
          <t>스마텔</t>
        </is>
      </c>
      <c r="B1004" s="47" t="inlineStr">
        <is>
          <t>USIM스마트 심플(200분+4GB)</t>
        </is>
      </c>
      <c r="C1004" s="47" t="inlineStr">
        <is>
          <t>200분</t>
        </is>
      </c>
      <c r="D1004" s="47" t="inlineStr">
        <is>
          <t>100건</t>
        </is>
      </c>
      <c r="E1004" s="47" t="inlineStr">
        <is>
          <t>월 4GB</t>
        </is>
      </c>
      <c r="F1004" s="47" t="inlineStr">
        <is>
          <t>LG U+</t>
        </is>
      </c>
      <c r="G1004" s="47" t="inlineStr">
        <is>
          <t>LTE</t>
        </is>
      </c>
      <c r="H1004" s="48" t="n">
        <v>4500</v>
      </c>
      <c r="I1004" s="48" t="n">
        <v>12</v>
      </c>
      <c r="J1004" s="48" t="n">
        <v>14000</v>
      </c>
      <c r="K1004" s="47">
        <f t="array" ref="K1004">_xlfn.XLOOKUP(1,(참조!$B$2:$B$15=E1004)*(참조!$D$2:$D$15=C1004)*(참조!$E$2:$E$15=D1004),참조!$C$2:$C$15,"")</f>
        <v/>
      </c>
    </row>
    <row r="1005" hidden="1" s="27">
      <c r="A1005" s="47" t="inlineStr">
        <is>
          <t>이지모바일</t>
        </is>
      </c>
      <c r="B1005" s="47" t="inlineStr">
        <is>
          <t>이지 무한 15GB+1</t>
        </is>
      </c>
      <c r="C1005" s="47" t="inlineStr">
        <is>
          <t>무제한</t>
        </is>
      </c>
      <c r="D1005" s="47" t="inlineStr">
        <is>
          <t>무제한</t>
        </is>
      </c>
      <c r="E1005" s="47" t="inlineStr">
        <is>
          <t>월 15GB + 1Mbps</t>
        </is>
      </c>
      <c r="F1005" s="47" t="inlineStr">
        <is>
          <t>LG U+</t>
        </is>
      </c>
      <c r="G1005" s="47" t="inlineStr">
        <is>
          <t>LTE</t>
        </is>
      </c>
      <c r="H1005" s="48" t="n">
        <v>14550</v>
      </c>
      <c r="I1005" s="48" t="n">
        <v>7</v>
      </c>
      <c r="J1005" s="48" t="n">
        <v>25850</v>
      </c>
      <c r="K1005" s="47">
        <f t="array" ref="K1005">_xlfn.XLOOKUP(1,(참조!$B$2:$B$15=E1005)*(참조!$D$2:$D$15=C1005)*(참조!$E$2:$E$15=D1005),참조!$C$2:$C$15,"")</f>
        <v/>
      </c>
    </row>
    <row r="1006" hidden="1" s="27">
      <c r="A1006" s="47" t="inlineStr">
        <is>
          <t>이야기모바일</t>
        </is>
      </c>
      <c r="B1006" s="47" t="inlineStr">
        <is>
          <t>내맘대로 차단형 (100분+0MB)</t>
        </is>
      </c>
      <c r="C1006" s="47" t="inlineStr">
        <is>
          <t>100분</t>
        </is>
      </c>
      <c r="D1006" s="47" t="inlineStr">
        <is>
          <t>50건</t>
        </is>
      </c>
      <c r="E1006" s="47" t="inlineStr">
        <is>
          <t>데이터 제공안함</t>
        </is>
      </c>
      <c r="F1006" s="47" t="inlineStr">
        <is>
          <t>LG U+</t>
        </is>
      </c>
      <c r="G1006" s="47" t="inlineStr">
        <is>
          <t>LTE</t>
        </is>
      </c>
      <c r="H1006" s="48" t="n">
        <v>4750</v>
      </c>
      <c r="I1006" s="48" t="n"/>
      <c r="J1006" s="48" t="n"/>
      <c r="K1006" s="47">
        <f t="array" ref="K1006">_xlfn.XLOOKUP(1,(참조!$B$2:$B$15=E1006)*(참조!$D$2:$D$15=C1006)*(참조!$E$2:$E$15=D1006),참조!$C$2:$C$15,"")</f>
        <v/>
      </c>
    </row>
    <row r="1007" hidden="1" s="27">
      <c r="A1007" s="47" t="inlineStr">
        <is>
          <t>스마텔</t>
        </is>
      </c>
      <c r="B1007" s="47" t="inlineStr">
        <is>
          <t>후후 스마일 7GB+</t>
        </is>
      </c>
      <c r="C1007" s="47" t="inlineStr">
        <is>
          <t>무제한</t>
        </is>
      </c>
      <c r="D1007" s="47" t="inlineStr">
        <is>
          <t>무제한</t>
        </is>
      </c>
      <c r="E1007" s="47" t="inlineStr">
        <is>
          <t>월 7GB + 1Mbps</t>
        </is>
      </c>
      <c r="F1007" s="47" t="inlineStr">
        <is>
          <t>SKT</t>
        </is>
      </c>
      <c r="G1007" s="47" t="inlineStr">
        <is>
          <t>LTE</t>
        </is>
      </c>
      <c r="H1007" s="48" t="n">
        <v>5830</v>
      </c>
      <c r="I1007" s="48" t="n">
        <v>7</v>
      </c>
      <c r="J1007" s="48" t="n">
        <v>24530</v>
      </c>
      <c r="K1007" s="47">
        <f t="array" ref="K1007">_xlfn.XLOOKUP(1,(참조!$B$2:$B$15=E1007)*(참조!$D$2:$D$15=C1007)*(참조!$E$2:$E$15=D1007),참조!$C$2:$C$15,"")</f>
        <v/>
      </c>
    </row>
    <row r="1008" hidden="1" s="27">
      <c r="A1008" s="47" t="inlineStr">
        <is>
          <t>KT엠모바일</t>
        </is>
      </c>
      <c r="B1008" s="47" t="inlineStr">
        <is>
          <t>모두다 맘껏 7GB+(PAY쿠폰 5000P)</t>
        </is>
      </c>
      <c r="C1008" s="47" t="inlineStr">
        <is>
          <t>무제한</t>
        </is>
      </c>
      <c r="D1008" s="47" t="inlineStr">
        <is>
          <t>무제한</t>
        </is>
      </c>
      <c r="E1008" s="47" t="inlineStr">
        <is>
          <t>월 7GB + 1Mbps</t>
        </is>
      </c>
      <c r="F1008" s="47" t="inlineStr">
        <is>
          <t>KT</t>
        </is>
      </c>
      <c r="G1008" s="47" t="inlineStr">
        <is>
          <t>LTE</t>
        </is>
      </c>
      <c r="H1008" s="48" t="n">
        <v>18500</v>
      </c>
      <c r="I1008" s="48" t="n"/>
      <c r="J1008" s="48" t="n"/>
      <c r="K1008" s="47">
        <f t="array" ref="K1008">_xlfn.XLOOKUP(1,(참조!$B$2:$B$15=E1008)*(참조!$D$2:$D$15=C1008)*(참조!$E$2:$E$15=D1008),참조!$C$2:$C$15,"")</f>
        <v/>
      </c>
    </row>
    <row r="1009" hidden="1" s="27">
      <c r="A1009" s="47" t="inlineStr">
        <is>
          <t>티플러스</t>
        </is>
      </c>
      <c r="B1009" s="47" t="inlineStr">
        <is>
          <t>The 완전마음껏 15GB＋</t>
        </is>
      </c>
      <c r="C1009" s="47" t="inlineStr">
        <is>
          <t>무제한</t>
        </is>
      </c>
      <c r="D1009" s="47" t="inlineStr">
        <is>
          <t>무제한</t>
        </is>
      </c>
      <c r="E1009" s="47" t="inlineStr">
        <is>
          <t>월 15GB + 1Mbps</t>
        </is>
      </c>
      <c r="F1009" s="47" t="inlineStr">
        <is>
          <t>KT</t>
        </is>
      </c>
      <c r="G1009" s="47" t="inlineStr">
        <is>
          <t>LTE</t>
        </is>
      </c>
      <c r="H1009" s="48" t="n">
        <v>13900</v>
      </c>
      <c r="I1009" s="48" t="n">
        <v>7</v>
      </c>
      <c r="J1009" s="48" t="n">
        <v>29700</v>
      </c>
      <c r="K1009" s="47">
        <f t="array" ref="K1009">_xlfn.XLOOKUP(1,(참조!$B$2:$B$15=E1009)*(참조!$D$2:$D$15=C1009)*(참조!$E$2:$E$15=D1009),참조!$C$2:$C$15,"")</f>
        <v/>
      </c>
    </row>
    <row r="1010" hidden="1" s="27">
      <c r="A1010" s="47" t="inlineStr">
        <is>
          <t>KT엠모바일</t>
        </is>
      </c>
      <c r="B1010" s="47" t="inlineStr">
        <is>
          <t>데이터 맘껏 15GB+/100분(CU 20%할인)</t>
        </is>
      </c>
      <c r="C1010" s="47" t="inlineStr">
        <is>
          <t>100분</t>
        </is>
      </c>
      <c r="D1010" s="47" t="inlineStr">
        <is>
          <t>100건</t>
        </is>
      </c>
      <c r="E1010" s="47" t="inlineStr">
        <is>
          <t>월 15GB + 3Mbps</t>
        </is>
      </c>
      <c r="F1010" s="47" t="inlineStr">
        <is>
          <t>KT</t>
        </is>
      </c>
      <c r="G1010" s="47" t="inlineStr">
        <is>
          <t>LTE</t>
        </is>
      </c>
      <c r="H1010" s="48" t="n">
        <v>25300</v>
      </c>
      <c r="I1010" s="48" t="n"/>
      <c r="J1010" s="48" t="n"/>
      <c r="K1010" s="47">
        <f t="array" ref="K1010">_xlfn.XLOOKUP(1,(참조!$B$2:$B$15=E1010)*(참조!$D$2:$D$15=C1010)*(참조!$E$2:$E$15=D1010),참조!$C$2:$C$15,"")</f>
        <v/>
      </c>
    </row>
    <row r="1011" hidden="1" s="27">
      <c r="A1011" s="47" t="inlineStr">
        <is>
          <t>모나</t>
        </is>
      </c>
      <c r="B1011" s="47" t="inlineStr">
        <is>
          <t>교보sam_11G+일2G</t>
        </is>
      </c>
      <c r="C1011" s="47" t="inlineStr">
        <is>
          <t>무제한</t>
        </is>
      </c>
      <c r="D1011" s="47" t="inlineStr">
        <is>
          <t>무제한</t>
        </is>
      </c>
      <c r="E1011" s="47" t="inlineStr">
        <is>
          <t>월 11GB + 매일 2GB + 3Mbps</t>
        </is>
      </c>
      <c r="F1011" s="47" t="inlineStr">
        <is>
          <t>LG U+</t>
        </is>
      </c>
      <c r="G1011" s="47" t="inlineStr">
        <is>
          <t>LTE</t>
        </is>
      </c>
      <c r="H1011" s="48" t="n">
        <v>17900</v>
      </c>
      <c r="I1011" s="48" t="n">
        <v>7</v>
      </c>
      <c r="J1011" s="48" t="n">
        <v>41800</v>
      </c>
      <c r="K1011" s="47">
        <f t="array" ref="K1011">_xlfn.XLOOKUP(1,(참조!$B$2:$B$15=E1011)*(참조!$D$2:$D$15=C1011)*(참조!$E$2:$E$15=D1011),참조!$C$2:$C$15,"")</f>
        <v/>
      </c>
    </row>
    <row r="1012" hidden="1" s="27">
      <c r="A1012" s="47" t="inlineStr">
        <is>
          <t>에이모바일</t>
        </is>
      </c>
      <c r="B1012" s="47" t="inlineStr">
        <is>
          <t>A 갓성비 7GB/100분 6</t>
        </is>
      </c>
      <c r="C1012" s="47" t="inlineStr">
        <is>
          <t>100분</t>
        </is>
      </c>
      <c r="D1012" s="47" t="inlineStr">
        <is>
          <t>100건</t>
        </is>
      </c>
      <c r="E1012" s="47" t="inlineStr">
        <is>
          <t>월 7GB</t>
        </is>
      </c>
      <c r="F1012" s="47" t="inlineStr">
        <is>
          <t>LG U+</t>
        </is>
      </c>
      <c r="G1012" s="47" t="inlineStr">
        <is>
          <t>LTE</t>
        </is>
      </c>
      <c r="H1012" s="48" t="n">
        <v>330</v>
      </c>
      <c r="I1012" s="48" t="n">
        <v>6</v>
      </c>
      <c r="J1012" s="48" t="n">
        <v>10450</v>
      </c>
      <c r="K1012" s="47">
        <f t="array" ref="K1012">_xlfn.XLOOKUP(1,(참조!$B$2:$B$15=E1012)*(참조!$D$2:$D$15=C1012)*(참조!$E$2:$E$15=D1012),참조!$C$2:$C$15,"")</f>
        <v/>
      </c>
    </row>
    <row r="1013" hidden="1" s="27">
      <c r="A1013" s="47" t="inlineStr">
        <is>
          <t>인스모바일</t>
        </is>
      </c>
      <c r="B1013" s="47" t="inlineStr">
        <is>
          <t>[평생할인]인스 유심 스트롱 15GB+</t>
        </is>
      </c>
      <c r="C1013" s="47" t="inlineStr">
        <is>
          <t>100분</t>
        </is>
      </c>
      <c r="D1013" s="47" t="inlineStr">
        <is>
          <t>100건</t>
        </is>
      </c>
      <c r="E1013" s="47" t="inlineStr">
        <is>
          <t>월 15GB + 3Mbps</t>
        </is>
      </c>
      <c r="F1013" s="47" t="inlineStr">
        <is>
          <t>LG U+</t>
        </is>
      </c>
      <c r="G1013" s="47" t="inlineStr">
        <is>
          <t>LTE</t>
        </is>
      </c>
      <c r="H1013" s="48" t="n">
        <v>24100</v>
      </c>
      <c r="I1013" s="48" t="n"/>
      <c r="J1013" s="48" t="n"/>
      <c r="K1013" s="47">
        <f t="array" ref="K1013">_xlfn.XLOOKUP(1,(참조!$B$2:$B$15=E1013)*(참조!$D$2:$D$15=C1013)*(참조!$E$2:$E$15=D1013),참조!$C$2:$C$15,"")</f>
        <v/>
      </c>
    </row>
    <row r="1014" hidden="1" s="27">
      <c r="A1014" s="47" t="inlineStr">
        <is>
          <t>KT스카이라이프</t>
        </is>
      </c>
      <c r="B1014" s="47" t="inlineStr">
        <is>
          <t>모두 충분 11GB+(다이소_5000)</t>
        </is>
      </c>
      <c r="C1014" s="47" t="inlineStr">
        <is>
          <t>무제한</t>
        </is>
      </c>
      <c r="D1014" s="47" t="inlineStr">
        <is>
          <t>무제한</t>
        </is>
      </c>
      <c r="E1014" s="47" t="inlineStr">
        <is>
          <t>월 11GB + 매일 2GB + 3Mbps</t>
        </is>
      </c>
      <c r="F1014" s="47" t="inlineStr">
        <is>
          <t>KT</t>
        </is>
      </c>
      <c r="G1014" s="47" t="inlineStr">
        <is>
          <t>LTE</t>
        </is>
      </c>
      <c r="H1014" s="48" t="n">
        <v>36600</v>
      </c>
      <c r="I1014" s="48" t="n"/>
      <c r="J1014" s="48" t="n"/>
      <c r="K1014" s="47">
        <f t="array" ref="K1014">_xlfn.XLOOKUP(1,(참조!$B$2:$B$15=E1014)*(참조!$D$2:$D$15=C1014)*(참조!$E$2:$E$15=D1014),참조!$C$2:$C$15,"")</f>
        <v/>
      </c>
    </row>
    <row r="1015" hidden="1" s="27">
      <c r="A1015" s="47" t="inlineStr">
        <is>
          <t>모빙</t>
        </is>
      </c>
      <c r="B1015" s="47" t="inlineStr">
        <is>
          <t>[S] 데이터 1GB</t>
        </is>
      </c>
      <c r="C1015" s="47" t="inlineStr">
        <is>
          <t>무제한</t>
        </is>
      </c>
      <c r="D1015" s="47" t="inlineStr">
        <is>
          <t>100건</t>
        </is>
      </c>
      <c r="E1015" s="47" t="inlineStr">
        <is>
          <t>월 1GB</t>
        </is>
      </c>
      <c r="F1015" s="47" t="inlineStr">
        <is>
          <t>SKT</t>
        </is>
      </c>
      <c r="G1015" s="47" t="inlineStr">
        <is>
          <t>LTE</t>
        </is>
      </c>
      <c r="H1015" s="48" t="n">
        <v>3300</v>
      </c>
      <c r="I1015" s="48" t="n">
        <v>24</v>
      </c>
      <c r="J1015" s="48" t="n">
        <v>13000</v>
      </c>
      <c r="K1015" s="47">
        <f t="array" ref="K1015">_xlfn.XLOOKUP(1,(참조!$B$2:$B$15=E1015)*(참조!$D$2:$D$15=C1015)*(참조!$E$2:$E$15=D1015),참조!$C$2:$C$15,"")</f>
        <v/>
      </c>
    </row>
    <row r="1016" hidden="1" s="27">
      <c r="A1016" s="47" t="inlineStr">
        <is>
          <t>아이즈모바일</t>
        </is>
      </c>
      <c r="B1016" s="47" t="inlineStr">
        <is>
          <t>[L]아이즈팩 15GB+1Mbps</t>
        </is>
      </c>
      <c r="C1016" s="47" t="inlineStr">
        <is>
          <t>무제한</t>
        </is>
      </c>
      <c r="D1016" s="47" t="inlineStr">
        <is>
          <t>무제한</t>
        </is>
      </c>
      <c r="E1016" s="47" t="inlineStr">
        <is>
          <t>월 15GB + 1Mbps</t>
        </is>
      </c>
      <c r="F1016" s="47" t="inlineStr">
        <is>
          <t>LG U+</t>
        </is>
      </c>
      <c r="G1016" s="47" t="inlineStr">
        <is>
          <t>LTE</t>
        </is>
      </c>
      <c r="H1016" s="48" t="n">
        <v>12500</v>
      </c>
      <c r="I1016" s="48" t="n">
        <v>24</v>
      </c>
      <c r="J1016" s="48" t="n">
        <v>29700</v>
      </c>
      <c r="K1016" s="47">
        <f t="array" ref="K1016">_xlfn.XLOOKUP(1,(참조!$B$2:$B$15=E1016)*(참조!$D$2:$D$15=C1016)*(참조!$E$2:$E$15=D1016),참조!$C$2:$C$15,"")</f>
        <v/>
      </c>
    </row>
    <row r="1017" hidden="1" s="27">
      <c r="A1017" s="47" t="inlineStr">
        <is>
          <t>찬스모바일</t>
        </is>
      </c>
      <c r="B1017" s="47" t="inlineStr">
        <is>
          <t>모두무제한 15GB+</t>
        </is>
      </c>
      <c r="C1017" s="47" t="inlineStr">
        <is>
          <t>무제한</t>
        </is>
      </c>
      <c r="D1017" s="47" t="inlineStr">
        <is>
          <t>무제한</t>
        </is>
      </c>
      <c r="E1017" s="47" t="inlineStr">
        <is>
          <t>월 15GB + 1Mbps</t>
        </is>
      </c>
      <c r="F1017" s="47" t="inlineStr">
        <is>
          <t>LG U+</t>
        </is>
      </c>
      <c r="G1017" s="47" t="inlineStr">
        <is>
          <t>LTE</t>
        </is>
      </c>
      <c r="H1017" s="48" t="n">
        <v>12000</v>
      </c>
      <c r="I1017" s="48" t="n">
        <v>7</v>
      </c>
      <c r="J1017" s="48" t="n">
        <v>37400</v>
      </c>
      <c r="K1017" s="47">
        <f t="array" ref="K1017">_xlfn.XLOOKUP(1,(참조!$B$2:$B$15=E1017)*(참조!$D$2:$D$15=C1017)*(참조!$E$2:$E$15=D1017),참조!$C$2:$C$15,"")</f>
        <v/>
      </c>
    </row>
    <row r="1018" hidden="1" s="27">
      <c r="A1018" s="47" t="inlineStr">
        <is>
          <t>아이즈모바일</t>
        </is>
      </c>
      <c r="B1018" s="47" t="inlineStr">
        <is>
          <t>[L]아이즈11GB+일2GB</t>
        </is>
      </c>
      <c r="C1018" s="47" t="inlineStr">
        <is>
          <t>무제한</t>
        </is>
      </c>
      <c r="D1018" s="47" t="inlineStr">
        <is>
          <t>무제한</t>
        </is>
      </c>
      <c r="E1018" s="47" t="inlineStr">
        <is>
          <t>월 11GB + 매일 2GB + 3Mbps</t>
        </is>
      </c>
      <c r="F1018" s="47" t="inlineStr">
        <is>
          <t>LG U+</t>
        </is>
      </c>
      <c r="G1018" s="47" t="inlineStr">
        <is>
          <t>LTE</t>
        </is>
      </c>
      <c r="H1018" s="48" t="n">
        <v>8300</v>
      </c>
      <c r="I1018" s="48" t="n">
        <v>7</v>
      </c>
      <c r="J1018" s="48" t="n">
        <v>48400</v>
      </c>
      <c r="K1018" s="47">
        <f t="array" ref="K1018">_xlfn.XLOOKUP(1,(참조!$B$2:$B$15=E1018)*(참조!$D$2:$D$15=C1018)*(참조!$E$2:$E$15=D1018),참조!$C$2:$C$15,"")</f>
        <v/>
      </c>
    </row>
    <row r="1019" hidden="1" s="27">
      <c r="A1019" s="47" t="inlineStr">
        <is>
          <t>티플러스</t>
        </is>
      </c>
      <c r="B1019" s="47" t="inlineStr">
        <is>
          <t>티플 드림(2GB/200분)</t>
        </is>
      </c>
      <c r="C1019" s="47" t="inlineStr">
        <is>
          <t>200분</t>
        </is>
      </c>
      <c r="D1019" s="47" t="inlineStr">
        <is>
          <t>200건</t>
        </is>
      </c>
      <c r="E1019" s="47" t="inlineStr">
        <is>
          <t>월 2GB</t>
        </is>
      </c>
      <c r="F1019" s="47" t="inlineStr">
        <is>
          <t>SKT</t>
        </is>
      </c>
      <c r="G1019" s="47" t="inlineStr">
        <is>
          <t>LTE</t>
        </is>
      </c>
      <c r="H1019" s="48" t="n">
        <v>6600</v>
      </c>
      <c r="I1019" s="48" t="n"/>
      <c r="J1019" s="48" t="n"/>
      <c r="K1019" s="47">
        <f t="array" ref="K1019">_xlfn.XLOOKUP(1,(참조!$B$2:$B$15=E1019)*(참조!$D$2:$D$15=C1019)*(참조!$E$2:$E$15=D1019),참조!$C$2:$C$15,"")</f>
        <v/>
      </c>
    </row>
    <row r="1020" hidden="1" s="27">
      <c r="A1020" s="47" t="inlineStr">
        <is>
          <t>스마텔</t>
        </is>
      </c>
      <c r="B1020" s="47" t="inlineStr">
        <is>
          <t>5G 음성무제한 25GB</t>
        </is>
      </c>
      <c r="C1020" s="47" t="inlineStr">
        <is>
          <t>무제한</t>
        </is>
      </c>
      <c r="D1020" s="47" t="inlineStr">
        <is>
          <t>200건</t>
        </is>
      </c>
      <c r="E1020" s="47" t="inlineStr">
        <is>
          <t>월 25GB</t>
        </is>
      </c>
      <c r="F1020" s="47" t="inlineStr">
        <is>
          <t>SKT</t>
        </is>
      </c>
      <c r="G1020" s="47" t="inlineStr">
        <is>
          <t>5G</t>
        </is>
      </c>
      <c r="H1020" s="48" t="n">
        <v>21800</v>
      </c>
      <c r="I1020" s="48" t="n"/>
      <c r="J1020" s="48" t="n"/>
      <c r="K1020" s="47">
        <f t="array" ref="K1020">_xlfn.XLOOKUP(1,(참조!$B$2:$B$15=E1020)*(참조!$D$2:$D$15=C1020)*(참조!$E$2:$E$15=D1020),참조!$C$2:$C$15,"")</f>
        <v/>
      </c>
    </row>
    <row r="1021" hidden="1" s="27">
      <c r="A1021" s="47" t="inlineStr">
        <is>
          <t>KT스카이라이프</t>
        </is>
      </c>
      <c r="B1021" s="47" t="inlineStr">
        <is>
          <t>모두 충분 11.0GB+(기프티쇼)</t>
        </is>
      </c>
      <c r="C1021" s="47" t="inlineStr">
        <is>
          <t>무제한</t>
        </is>
      </c>
      <c r="D1021" s="47" t="inlineStr">
        <is>
          <t>무제한</t>
        </is>
      </c>
      <c r="E1021" s="47" t="inlineStr">
        <is>
          <t>월 11GB + 매일 2GB + 3Mbps</t>
        </is>
      </c>
      <c r="F1021" s="47" t="inlineStr">
        <is>
          <t>KT</t>
        </is>
      </c>
      <c r="G1021" s="47" t="inlineStr">
        <is>
          <t>LTE</t>
        </is>
      </c>
      <c r="H1021" s="48" t="n">
        <v>36600</v>
      </c>
      <c r="I1021" s="48" t="n"/>
      <c r="J1021" s="48" t="n"/>
      <c r="K1021" s="47">
        <f t="array" ref="K1021">_xlfn.XLOOKUP(1,(참조!$B$2:$B$15=E1021)*(참조!$D$2:$D$15=C1021)*(참조!$E$2:$E$15=D1021),참조!$C$2:$C$15,"")</f>
        <v/>
      </c>
    </row>
    <row r="1022" hidden="1" s="27">
      <c r="A1022" s="47" t="inlineStr">
        <is>
          <t>KT엠모바일</t>
        </is>
      </c>
      <c r="B1022" s="47" t="inlineStr">
        <is>
          <t>모두다 맘껏 7GB+(쿠팡캐시 5000원)</t>
        </is>
      </c>
      <c r="C1022" s="47" t="inlineStr">
        <is>
          <t>무제한</t>
        </is>
      </c>
      <c r="D1022" s="47" t="inlineStr">
        <is>
          <t>무제한</t>
        </is>
      </c>
      <c r="E1022" s="47" t="inlineStr">
        <is>
          <t>월 7GB + 1Mbps</t>
        </is>
      </c>
      <c r="F1022" s="47" t="inlineStr">
        <is>
          <t>KT</t>
        </is>
      </c>
      <c r="G1022" s="47" t="inlineStr">
        <is>
          <t>LTE</t>
        </is>
      </c>
      <c r="H1022" s="48" t="n">
        <v>18500</v>
      </c>
      <c r="I1022" s="48" t="n"/>
      <c r="J1022" s="48" t="n"/>
      <c r="K1022" s="47">
        <f t="array" ref="K1022">_xlfn.XLOOKUP(1,(참조!$B$2:$B$15=E1022)*(참조!$D$2:$D$15=C1022)*(참조!$E$2:$E$15=D1022),참조!$C$2:$C$15,"")</f>
        <v/>
      </c>
    </row>
    <row r="1023" hidden="1" s="27">
      <c r="A1023" s="47" t="inlineStr">
        <is>
          <t>LG헬로모바일</t>
        </is>
      </c>
      <c r="B1023" s="47" t="inlineStr">
        <is>
          <t>CU 유심 1.5GB 150분</t>
        </is>
      </c>
      <c r="C1023" s="47" t="inlineStr">
        <is>
          <t>150분</t>
        </is>
      </c>
      <c r="D1023" s="47" t="inlineStr">
        <is>
          <t>150건</t>
        </is>
      </c>
      <c r="E1023" s="47" t="inlineStr">
        <is>
          <t>월 1.5GB</t>
        </is>
      </c>
      <c r="F1023" s="47" t="inlineStr">
        <is>
          <t>LG U+</t>
        </is>
      </c>
      <c r="G1023" s="47" t="inlineStr">
        <is>
          <t>LTE</t>
        </is>
      </c>
      <c r="H1023" s="48" t="n">
        <v>5900</v>
      </c>
      <c r="I1023" s="48" t="n"/>
      <c r="J1023" s="48" t="n"/>
      <c r="K1023" s="47">
        <f t="array" ref="K1023">_xlfn.XLOOKUP(1,(참조!$B$2:$B$15=E1023)*(참조!$D$2:$D$15=C1023)*(참조!$E$2:$E$15=D1023),참조!$C$2:$C$15,"")</f>
        <v/>
      </c>
    </row>
    <row r="1024" hidden="1" s="27">
      <c r="A1024" s="47" t="inlineStr">
        <is>
          <t>KG모바일</t>
        </is>
      </c>
      <c r="B1024" s="47" t="inlineStr">
        <is>
          <t>[일반] 통화, 데이터 마음대로 10GB+</t>
        </is>
      </c>
      <c r="C1024" s="47" t="inlineStr">
        <is>
          <t>무제한</t>
        </is>
      </c>
      <c r="D1024" s="47" t="inlineStr">
        <is>
          <t>무제한</t>
        </is>
      </c>
      <c r="E1024" s="47" t="inlineStr">
        <is>
          <t>월 10GB + 1Mbps</t>
        </is>
      </c>
      <c r="F1024" s="47" t="inlineStr">
        <is>
          <t>LG U+</t>
        </is>
      </c>
      <c r="G1024" s="47" t="inlineStr">
        <is>
          <t>LTE</t>
        </is>
      </c>
      <c r="H1024" s="48" t="n">
        <v>16500</v>
      </c>
      <c r="I1024" s="48" t="n">
        <v>12</v>
      </c>
      <c r="J1024" s="48" t="n">
        <v>26400</v>
      </c>
      <c r="K1024" s="47">
        <f t="array" ref="K1024">_xlfn.XLOOKUP(1,(참조!$B$2:$B$15=E1024)*(참조!$D$2:$D$15=C1024)*(참조!$E$2:$E$15=D1024),참조!$C$2:$C$15,"")</f>
        <v/>
      </c>
    </row>
    <row r="1025" hidden="1" s="27">
      <c r="A1025" s="47" t="inlineStr">
        <is>
          <t>KT스카이라이프</t>
        </is>
      </c>
      <c r="B1025" s="47" t="inlineStr">
        <is>
          <t>모두 충분 11GB+(왓챠)</t>
        </is>
      </c>
      <c r="C1025" s="47" t="inlineStr">
        <is>
          <t>무제한</t>
        </is>
      </c>
      <c r="D1025" s="47" t="inlineStr">
        <is>
          <t>무제한</t>
        </is>
      </c>
      <c r="E1025" s="47" t="inlineStr">
        <is>
          <t>월 11GB + 매일 2GB + 3Mbps</t>
        </is>
      </c>
      <c r="F1025" s="47" t="inlineStr">
        <is>
          <t>KT</t>
        </is>
      </c>
      <c r="G1025" s="47" t="inlineStr">
        <is>
          <t>LTE</t>
        </is>
      </c>
      <c r="H1025" s="48" t="n">
        <v>35900</v>
      </c>
      <c r="I1025" s="48" t="n"/>
      <c r="J1025" s="48" t="n"/>
      <c r="K1025" s="47">
        <f t="array" ref="K1025">_xlfn.XLOOKUP(1,(참조!$B$2:$B$15=E1025)*(참조!$D$2:$D$15=C1025)*(참조!$E$2:$E$15=D1025),참조!$C$2:$C$15,"")</f>
        <v/>
      </c>
    </row>
    <row r="1026" hidden="1" s="27">
      <c r="A1026" s="47" t="inlineStr">
        <is>
          <t>KT스카이라이프</t>
        </is>
      </c>
      <c r="B1026" s="47" t="inlineStr">
        <is>
          <t>모두 충분 11GB+(Pay_5000)</t>
        </is>
      </c>
      <c r="C1026" s="47" t="inlineStr">
        <is>
          <t>무제한</t>
        </is>
      </c>
      <c r="D1026" s="47" t="inlineStr">
        <is>
          <t>무제한</t>
        </is>
      </c>
      <c r="E1026" s="47" t="inlineStr">
        <is>
          <t>월 11GB + 매일 2GB + 3Mbps</t>
        </is>
      </c>
      <c r="F1026" s="47" t="inlineStr">
        <is>
          <t>KT</t>
        </is>
      </c>
      <c r="G1026" s="47" t="inlineStr">
        <is>
          <t>LTE</t>
        </is>
      </c>
      <c r="H1026" s="48" t="n">
        <v>36600</v>
      </c>
      <c r="I1026" s="48" t="n"/>
      <c r="J1026" s="48" t="n"/>
      <c r="K1026" s="47">
        <f t="array" ref="K1026">_xlfn.XLOOKUP(1,(참조!$B$2:$B$15=E1026)*(참조!$D$2:$D$15=C1026)*(참조!$E$2:$E$15=D1026),참조!$C$2:$C$15,"")</f>
        <v/>
      </c>
    </row>
    <row r="1027" hidden="1" s="27">
      <c r="A1027" s="47" t="inlineStr">
        <is>
          <t>KT스카이라이프</t>
        </is>
      </c>
      <c r="B1027" s="47" t="inlineStr">
        <is>
          <t>모두 충분 11GB+(배달의 민족)</t>
        </is>
      </c>
      <c r="C1027" s="47" t="inlineStr">
        <is>
          <t>무제한</t>
        </is>
      </c>
      <c r="D1027" s="47" t="inlineStr">
        <is>
          <t>무제한</t>
        </is>
      </c>
      <c r="E1027" s="47" t="inlineStr">
        <is>
          <t>월 11GB + 매일 2GB + 3Mbps</t>
        </is>
      </c>
      <c r="F1027" s="47" t="inlineStr">
        <is>
          <t>KT</t>
        </is>
      </c>
      <c r="G1027" s="47" t="inlineStr">
        <is>
          <t>LTE</t>
        </is>
      </c>
      <c r="H1027" s="48" t="n">
        <v>36600</v>
      </c>
      <c r="I1027" s="48" t="n"/>
      <c r="J1027" s="48" t="n"/>
      <c r="K1027" s="47">
        <f t="array" ref="K1027">_xlfn.XLOOKUP(1,(참조!$B$2:$B$15=E1027)*(참조!$D$2:$D$15=C1027)*(참조!$E$2:$E$15=D1027),참조!$C$2:$C$15,"")</f>
        <v/>
      </c>
    </row>
    <row r="1028" hidden="1" s="27">
      <c r="A1028" s="47" t="inlineStr">
        <is>
          <t>아이즈모바일</t>
        </is>
      </c>
      <c r="B1028" s="47" t="inlineStr">
        <is>
          <t>아이즈 (10GB/300분)</t>
        </is>
      </c>
      <c r="C1028" s="47" t="inlineStr">
        <is>
          <t>300분</t>
        </is>
      </c>
      <c r="D1028" s="47" t="inlineStr">
        <is>
          <t>300건</t>
        </is>
      </c>
      <c r="E1028" s="47" t="inlineStr">
        <is>
          <t>월 10GB</t>
        </is>
      </c>
      <c r="F1028" s="47" t="inlineStr">
        <is>
          <t>SKT</t>
        </is>
      </c>
      <c r="G1028" s="47" t="inlineStr">
        <is>
          <t>LTE</t>
        </is>
      </c>
      <c r="H1028" s="48" t="n">
        <v>1900</v>
      </c>
      <c r="I1028" s="48" t="n">
        <v>12</v>
      </c>
      <c r="J1028" s="48" t="n">
        <v>24200</v>
      </c>
      <c r="K1028" s="47">
        <f t="array" ref="K1028">_xlfn.XLOOKUP(1,(참조!$B$2:$B$15=E1028)*(참조!$D$2:$D$15=C1028)*(참조!$E$2:$E$15=D1028),참조!$C$2:$C$15,"")</f>
        <v/>
      </c>
    </row>
    <row r="1029" hidden="1" s="27">
      <c r="A1029" s="47" t="inlineStr">
        <is>
          <t>티플러스</t>
        </is>
      </c>
      <c r="B1029" s="47" t="inlineStr">
        <is>
          <t>티플온 15G＋(300분)</t>
        </is>
      </c>
      <c r="C1029" s="47" t="inlineStr">
        <is>
          <t>300분</t>
        </is>
      </c>
      <c r="D1029" s="47" t="inlineStr">
        <is>
          <t>300건</t>
        </is>
      </c>
      <c r="E1029" s="47" t="inlineStr">
        <is>
          <t>월 15GB + 3Mbps</t>
        </is>
      </c>
      <c r="F1029" s="47" t="inlineStr">
        <is>
          <t>LG U+</t>
        </is>
      </c>
      <c r="G1029" s="47" t="inlineStr">
        <is>
          <t>LTE</t>
        </is>
      </c>
      <c r="H1029" s="48" t="n">
        <v>12900</v>
      </c>
      <c r="I1029" s="48" t="n">
        <v>7</v>
      </c>
      <c r="J1029" s="48" t="n">
        <v>41800</v>
      </c>
      <c r="K1029" s="47">
        <f t="array" ref="K1029">_xlfn.XLOOKUP(1,(참조!$B$2:$B$15=E1029)*(참조!$D$2:$D$15=C1029)*(참조!$E$2:$E$15=D1029),참조!$C$2:$C$15,"")</f>
        <v/>
      </c>
    </row>
    <row r="1030" hidden="1" s="27">
      <c r="A1030" s="47" t="inlineStr">
        <is>
          <t>쉐이크모바일</t>
        </is>
      </c>
      <c r="B1030" s="47" t="inlineStr">
        <is>
          <t>[모요only] 쉐이크 LTE 7GB+_지니뮤직</t>
        </is>
      </c>
      <c r="C1030" s="47" t="inlineStr">
        <is>
          <t>무제한</t>
        </is>
      </c>
      <c r="D1030" s="47" t="inlineStr">
        <is>
          <t>무제한</t>
        </is>
      </c>
      <c r="E1030" s="47" t="inlineStr">
        <is>
          <t>월 7GB + 1Mbps</t>
        </is>
      </c>
      <c r="F1030" s="47" t="inlineStr">
        <is>
          <t>KT</t>
        </is>
      </c>
      <c r="G1030" s="47" t="inlineStr">
        <is>
          <t>LTE</t>
        </is>
      </c>
      <c r="H1030" s="48" t="n">
        <v>16000</v>
      </c>
      <c r="I1030" s="48" t="n">
        <v>12</v>
      </c>
      <c r="J1030" s="48" t="n">
        <v>25300</v>
      </c>
      <c r="K1030" s="47">
        <f t="array" ref="K1030">_xlfn.XLOOKUP(1,(참조!$B$2:$B$15=E1030)*(참조!$D$2:$D$15=C1030)*(참조!$E$2:$E$15=D1030),참조!$C$2:$C$15,"")</f>
        <v/>
      </c>
    </row>
    <row r="1031" hidden="1" s="27">
      <c r="A1031" s="47" t="inlineStr">
        <is>
          <t>아이즈모바일</t>
        </is>
      </c>
      <c r="B1031" s="47" t="inlineStr">
        <is>
          <t>[L]5G 아이즈팩 125GB+5Mbps</t>
        </is>
      </c>
      <c r="C1031" s="47" t="inlineStr">
        <is>
          <t>무제한</t>
        </is>
      </c>
      <c r="D1031" s="47" t="inlineStr">
        <is>
          <t>무제한</t>
        </is>
      </c>
      <c r="E1031" s="47" t="inlineStr">
        <is>
          <t>월 125GB + 5Mbps</t>
        </is>
      </c>
      <c r="F1031" s="47" t="inlineStr">
        <is>
          <t>LG U+</t>
        </is>
      </c>
      <c r="G1031" s="47" t="inlineStr">
        <is>
          <t>5G</t>
        </is>
      </c>
      <c r="H1031" s="48" t="n">
        <v>27800</v>
      </c>
      <c r="I1031" s="48" t="n">
        <v>24</v>
      </c>
      <c r="J1031" s="48" t="n">
        <v>58300</v>
      </c>
      <c r="K1031" s="47">
        <f t="array" ref="K1031">_xlfn.XLOOKUP(1,(참조!$B$2:$B$15=E1031)*(참조!$D$2:$D$15=C1031)*(참조!$E$2:$E$15=D1031),참조!$C$2:$C$15,"")</f>
        <v/>
      </c>
    </row>
    <row r="1032" hidden="1" s="27">
      <c r="A1032" s="47" t="inlineStr">
        <is>
          <t>아이즈모바일</t>
        </is>
      </c>
      <c r="B1032" s="47" t="inlineStr">
        <is>
          <t>[K]5G 울트라(500분/30GB)</t>
        </is>
      </c>
      <c r="C1032" s="47" t="inlineStr">
        <is>
          <t>500분</t>
        </is>
      </c>
      <c r="D1032" s="47" t="inlineStr">
        <is>
          <t>300건</t>
        </is>
      </c>
      <c r="E1032" s="47" t="inlineStr">
        <is>
          <t>월 30GB</t>
        </is>
      </c>
      <c r="F1032" s="47" t="inlineStr">
        <is>
          <t>KT</t>
        </is>
      </c>
      <c r="G1032" s="47" t="inlineStr">
        <is>
          <t>5G</t>
        </is>
      </c>
      <c r="H1032" s="48" t="n">
        <v>1990</v>
      </c>
      <c r="I1032" s="48" t="n">
        <v>7</v>
      </c>
      <c r="J1032" s="48" t="n">
        <v>46200</v>
      </c>
      <c r="K1032" s="47">
        <f t="array" ref="K1032">_xlfn.XLOOKUP(1,(참조!$B$2:$B$15=E1032)*(참조!$D$2:$D$15=C1032)*(참조!$E$2:$E$15=D1032),참조!$C$2:$C$15,"")</f>
        <v/>
      </c>
    </row>
    <row r="1033" hidden="1" s="27">
      <c r="A1033" s="47" t="inlineStr">
        <is>
          <t>스마텔</t>
        </is>
      </c>
      <c r="B1033" s="47" t="inlineStr">
        <is>
          <t>스위트 11GB+</t>
        </is>
      </c>
      <c r="C1033" s="47" t="inlineStr">
        <is>
          <t>무제한</t>
        </is>
      </c>
      <c r="D1033" s="47" t="inlineStr">
        <is>
          <t>무제한</t>
        </is>
      </c>
      <c r="E1033" s="47" t="inlineStr">
        <is>
          <t>월 11GB + 매일 2GB + 3Mbps</t>
        </is>
      </c>
      <c r="F1033" s="47" t="inlineStr">
        <is>
          <t>KT</t>
        </is>
      </c>
      <c r="G1033" s="47" t="inlineStr">
        <is>
          <t>LTE</t>
        </is>
      </c>
      <c r="H1033" s="48" t="n">
        <v>35200</v>
      </c>
      <c r="I1033" s="48" t="n">
        <v>36</v>
      </c>
      <c r="J1033" s="48" t="n">
        <v>40700</v>
      </c>
      <c r="K1033" s="47">
        <f t="array" ref="K1033">_xlfn.XLOOKUP(1,(참조!$B$2:$B$15=E1033)*(참조!$D$2:$D$15=C1033)*(참조!$E$2:$E$15=D1033),참조!$C$2:$C$15,"")</f>
        <v/>
      </c>
    </row>
    <row r="1034" hidden="1" s="27">
      <c r="A1034" s="47" t="inlineStr">
        <is>
          <t>스마텔</t>
        </is>
      </c>
      <c r="B1034" s="47" t="inlineStr">
        <is>
          <t>스위트 11GB+(후후)</t>
        </is>
      </c>
      <c r="C1034" s="47" t="inlineStr">
        <is>
          <t>무제한</t>
        </is>
      </c>
      <c r="D1034" s="47" t="inlineStr">
        <is>
          <t>무제한</t>
        </is>
      </c>
      <c r="E1034" s="47" t="inlineStr">
        <is>
          <t>월 11GB + 매일 2GB + 3Mbps</t>
        </is>
      </c>
      <c r="F1034" s="47" t="inlineStr">
        <is>
          <t>KT</t>
        </is>
      </c>
      <c r="G1034" s="47" t="inlineStr">
        <is>
          <t>LTE</t>
        </is>
      </c>
      <c r="H1034" s="48" t="n">
        <v>35200</v>
      </c>
      <c r="I1034" s="48" t="n">
        <v>36</v>
      </c>
      <c r="J1034" s="48" t="n">
        <v>40700</v>
      </c>
      <c r="K1034" s="47">
        <f t="array" ref="K1034">_xlfn.XLOOKUP(1,(참조!$B$2:$B$15=E1034)*(참조!$D$2:$D$15=C1034)*(참조!$E$2:$E$15=D1034),참조!$C$2:$C$15,"")</f>
        <v/>
      </c>
    </row>
    <row r="1035" hidden="1" s="27">
      <c r="A1035" s="47" t="inlineStr">
        <is>
          <t>이야기모바일</t>
        </is>
      </c>
      <c r="B1035" s="47" t="inlineStr">
        <is>
          <t>이야기S 폰케어 100GB+</t>
        </is>
      </c>
      <c r="C1035" s="47" t="inlineStr">
        <is>
          <t>무제한</t>
        </is>
      </c>
      <c r="D1035" s="47" t="inlineStr">
        <is>
          <t>무제한</t>
        </is>
      </c>
      <c r="E1035" s="47" t="inlineStr">
        <is>
          <t>월 100GB + 5Mbps</t>
        </is>
      </c>
      <c r="F1035" s="47" t="inlineStr">
        <is>
          <t>SKT</t>
        </is>
      </c>
      <c r="G1035" s="47" t="inlineStr">
        <is>
          <t>LTE</t>
        </is>
      </c>
      <c r="H1035" s="48" t="n">
        <v>18700</v>
      </c>
      <c r="I1035" s="48" t="n">
        <v>7</v>
      </c>
      <c r="J1035" s="48" t="n">
        <v>49500</v>
      </c>
      <c r="K1035" s="47">
        <f t="array" ref="K1035">_xlfn.XLOOKUP(1,(참조!$B$2:$B$15=E1035)*(참조!$D$2:$D$15=C1035)*(참조!$E$2:$E$15=D1035),참조!$C$2:$C$15,"")</f>
        <v/>
      </c>
    </row>
    <row r="1036" hidden="1" s="27">
      <c r="A1036" s="47" t="inlineStr">
        <is>
          <t>이야기모바일</t>
        </is>
      </c>
      <c r="B1036" s="47" t="inlineStr">
        <is>
          <t>이야기K 데이터 11GB+(CU할인)</t>
        </is>
      </c>
      <c r="C1036" s="47" t="inlineStr">
        <is>
          <t>무제한</t>
        </is>
      </c>
      <c r="D1036" s="47" t="inlineStr">
        <is>
          <t>무제한</t>
        </is>
      </c>
      <c r="E1036" s="47" t="inlineStr">
        <is>
          <t>월 11GB + 매일 2GB + 3Mbps</t>
        </is>
      </c>
      <c r="F1036" s="47" t="inlineStr">
        <is>
          <t>KT</t>
        </is>
      </c>
      <c r="G1036" s="47" t="inlineStr">
        <is>
          <t>LTE</t>
        </is>
      </c>
      <c r="H1036" s="48" t="n">
        <v>18700</v>
      </c>
      <c r="I1036" s="48" t="n">
        <v>7</v>
      </c>
      <c r="J1036" s="48" t="n">
        <v>40590</v>
      </c>
      <c r="K1036" s="47">
        <f t="array" ref="K1036">_xlfn.XLOOKUP(1,(참조!$B$2:$B$15=E1036)*(참조!$D$2:$D$15=C1036)*(참조!$E$2:$E$15=D1036),참조!$C$2:$C$15,"")</f>
        <v/>
      </c>
    </row>
    <row r="1037" hidden="1" s="27">
      <c r="A1037" s="47" t="inlineStr">
        <is>
          <t>더원모바일</t>
        </is>
      </c>
      <c r="B1037" s="47" t="inlineStr">
        <is>
          <t>TOP 5G 200GB 기본 (웨이브 광고형)</t>
        </is>
      </c>
      <c r="C1037" s="47" t="inlineStr">
        <is>
          <t>무제한</t>
        </is>
      </c>
      <c r="D1037" s="47" t="inlineStr">
        <is>
          <t>무제한</t>
        </is>
      </c>
      <c r="E1037" s="47" t="inlineStr">
        <is>
          <t>월 200GB + 10Mbps</t>
        </is>
      </c>
      <c r="F1037" s="47" t="inlineStr">
        <is>
          <t>KT</t>
        </is>
      </c>
      <c r="G1037" s="47" t="inlineStr">
        <is>
          <t>5G</t>
        </is>
      </c>
      <c r="H1037" s="48" t="n">
        <v>33000</v>
      </c>
      <c r="I1037" s="48" t="n">
        <v>12</v>
      </c>
      <c r="J1037" s="48" t="n">
        <v>55000</v>
      </c>
      <c r="K1037" s="47">
        <f t="array" ref="K1037">_xlfn.XLOOKUP(1,(참조!$B$2:$B$15=E1037)*(참조!$D$2:$D$15=C1037)*(참조!$E$2:$E$15=D1037),참조!$C$2:$C$15,"")</f>
        <v/>
      </c>
    </row>
    <row r="1038" hidden="1" s="27">
      <c r="A1038" s="47" t="inlineStr">
        <is>
          <t>아이즈모바일</t>
        </is>
      </c>
      <c r="B1038" s="47" t="inlineStr">
        <is>
          <t>[S]이디야 딥블루 100GB+</t>
        </is>
      </c>
      <c r="C1038" s="47" t="inlineStr">
        <is>
          <t>무제한</t>
        </is>
      </c>
      <c r="D1038" s="47" t="inlineStr">
        <is>
          <t>무제한</t>
        </is>
      </c>
      <c r="E1038" s="47" t="inlineStr">
        <is>
          <t>월 100GB + 5Mbps</t>
        </is>
      </c>
      <c r="F1038" s="47" t="inlineStr">
        <is>
          <t>SKT</t>
        </is>
      </c>
      <c r="G1038" s="47" t="inlineStr">
        <is>
          <t>LTE</t>
        </is>
      </c>
      <c r="H1038" s="48" t="n">
        <v>10900</v>
      </c>
      <c r="I1038" s="48" t="n">
        <v>7</v>
      </c>
      <c r="J1038" s="48" t="n">
        <v>55000</v>
      </c>
      <c r="K1038" s="47">
        <f t="array" ref="K1038">_xlfn.XLOOKUP(1,(참조!$B$2:$B$15=E1038)*(참조!$D$2:$D$15=C1038)*(참조!$E$2:$E$15=D1038),참조!$C$2:$C$15,"")</f>
        <v/>
      </c>
    </row>
    <row r="1039" hidden="1" s="27">
      <c r="A1039" s="47" t="inlineStr">
        <is>
          <t>더원모바일</t>
        </is>
      </c>
      <c r="B1039" s="47" t="inlineStr">
        <is>
          <t>TOP 5G 200GB 기본 (올리브영)</t>
        </is>
      </c>
      <c r="C1039" s="47" t="inlineStr">
        <is>
          <t>무제한</t>
        </is>
      </c>
      <c r="D1039" s="47" t="inlineStr">
        <is>
          <t>무제한</t>
        </is>
      </c>
      <c r="E1039" s="47" t="inlineStr">
        <is>
          <t>월 200GB + 10Mbps</t>
        </is>
      </c>
      <c r="F1039" s="47" t="inlineStr">
        <is>
          <t>KT</t>
        </is>
      </c>
      <c r="G1039" s="47" t="inlineStr">
        <is>
          <t>5G</t>
        </is>
      </c>
      <c r="H1039" s="48" t="n">
        <v>33000</v>
      </c>
      <c r="I1039" s="48" t="n">
        <v>12</v>
      </c>
      <c r="J1039" s="48" t="n">
        <v>55000</v>
      </c>
      <c r="K1039" s="47">
        <f t="array" ref="K1039">_xlfn.XLOOKUP(1,(참조!$B$2:$B$15=E1039)*(참조!$D$2:$D$15=C1039)*(참조!$E$2:$E$15=D1039),참조!$C$2:$C$15,"")</f>
        <v/>
      </c>
    </row>
    <row r="1040" hidden="1" s="27">
      <c r="A1040" s="47" t="inlineStr">
        <is>
          <t>고고모바일</t>
        </is>
      </c>
      <c r="B1040" s="47" t="inlineStr">
        <is>
          <t>[모요only] 무제한 10GB+1M(밀리의서재 Free)</t>
        </is>
      </c>
      <c r="C1040" s="47" t="inlineStr">
        <is>
          <t>무제한</t>
        </is>
      </c>
      <c r="D1040" s="47" t="inlineStr">
        <is>
          <t>무제한</t>
        </is>
      </c>
      <c r="E1040" s="47" t="inlineStr">
        <is>
          <t>월 10GB + 1Mbps</t>
        </is>
      </c>
      <c r="F1040" s="47" t="inlineStr">
        <is>
          <t>KT</t>
        </is>
      </c>
      <c r="G1040" s="47" t="inlineStr">
        <is>
          <t>LTE</t>
        </is>
      </c>
      <c r="H1040" s="48" t="n">
        <v>6000</v>
      </c>
      <c r="I1040" s="48" t="n">
        <v>7</v>
      </c>
      <c r="J1040" s="48" t="n">
        <v>24200</v>
      </c>
      <c r="K1040" s="47">
        <f t="array" ref="K1040">_xlfn.XLOOKUP(1,(참조!$B$2:$B$15=E1040)*(참조!$D$2:$D$15=C1040)*(참조!$E$2:$E$15=D1040),참조!$C$2:$C$15,"")</f>
        <v/>
      </c>
    </row>
    <row r="1041" hidden="1" s="27">
      <c r="A1041" s="47" t="inlineStr">
        <is>
          <t>이야기모바일</t>
        </is>
      </c>
      <c r="B1041" s="47" t="inlineStr">
        <is>
          <t>이야기K 데이터 11GB+(밀리의서재)</t>
        </is>
      </c>
      <c r="C1041" s="47" t="inlineStr">
        <is>
          <t>무제한</t>
        </is>
      </c>
      <c r="D1041" s="47" t="inlineStr">
        <is>
          <t>무제한</t>
        </is>
      </c>
      <c r="E1041" s="47" t="inlineStr">
        <is>
          <t>월 11GB + 매일 2GB + 3Mbps</t>
        </is>
      </c>
      <c r="F1041" s="47" t="inlineStr">
        <is>
          <t>KT</t>
        </is>
      </c>
      <c r="G1041" s="47" t="inlineStr">
        <is>
          <t>LTE</t>
        </is>
      </c>
      <c r="H1041" s="48" t="n">
        <v>18700</v>
      </c>
      <c r="I1041" s="48" t="n">
        <v>7</v>
      </c>
      <c r="J1041" s="48" t="n">
        <v>40590</v>
      </c>
      <c r="K1041" s="47">
        <f t="array" ref="K1041">_xlfn.XLOOKUP(1,(참조!$B$2:$B$15=E1041)*(참조!$D$2:$D$15=C1041)*(참조!$E$2:$E$15=D1041),참조!$C$2:$C$15,"")</f>
        <v/>
      </c>
    </row>
    <row r="1042" hidden="1" s="27">
      <c r="A1042" s="47" t="inlineStr">
        <is>
          <t>고고모바일</t>
        </is>
      </c>
      <c r="B1042" s="47" t="inlineStr">
        <is>
          <t>무제한일 5GB + 5Mbps</t>
        </is>
      </c>
      <c r="C1042" s="47" t="inlineStr">
        <is>
          <t>무제한</t>
        </is>
      </c>
      <c r="D1042" s="47" t="inlineStr">
        <is>
          <t>무제한</t>
        </is>
      </c>
      <c r="E1042" s="47" t="inlineStr">
        <is>
          <t>매일 5GB + 5Mbps</t>
        </is>
      </c>
      <c r="F1042" s="47" t="inlineStr">
        <is>
          <t>KT</t>
        </is>
      </c>
      <c r="G1042" s="47" t="inlineStr">
        <is>
          <t>LTE</t>
        </is>
      </c>
      <c r="H1042" s="48" t="n">
        <v>42020</v>
      </c>
      <c r="I1042" s="48" t="n"/>
      <c r="J1042" s="48" t="n"/>
      <c r="K1042" s="47">
        <f t="array" ref="K1042">_xlfn.XLOOKUP(1,(참조!$B$2:$B$15=E1042)*(참조!$D$2:$D$15=C1042)*(참조!$E$2:$E$15=D1042),참조!$C$2:$C$15,"")</f>
        <v/>
      </c>
    </row>
    <row r="1043" hidden="1" s="27">
      <c r="A1043" s="47" t="inlineStr">
        <is>
          <t>아이즈모바일</t>
        </is>
      </c>
      <c r="B1043" s="47" t="inlineStr">
        <is>
          <t>[L]무한11GB+</t>
        </is>
      </c>
      <c r="C1043" s="47" t="inlineStr">
        <is>
          <t>무제한</t>
        </is>
      </c>
      <c r="D1043" s="47" t="inlineStr">
        <is>
          <t>무제한</t>
        </is>
      </c>
      <c r="E1043" s="47" t="inlineStr">
        <is>
          <t>월 11GB + 매일 2GB + 3Mbps</t>
        </is>
      </c>
      <c r="F1043" s="47" t="inlineStr">
        <is>
          <t>LG U+</t>
        </is>
      </c>
      <c r="G1043" s="47" t="inlineStr">
        <is>
          <t>LTE</t>
        </is>
      </c>
      <c r="H1043" s="48" t="n">
        <v>25500</v>
      </c>
      <c r="I1043" s="48" t="n"/>
      <c r="J1043" s="48" t="n"/>
      <c r="K1043" s="47">
        <f t="array" ref="K1043">_xlfn.XLOOKUP(1,(참조!$B$2:$B$15=E1043)*(참조!$D$2:$D$15=C1043)*(참조!$E$2:$E$15=D1043),참조!$C$2:$C$15,"")</f>
        <v/>
      </c>
    </row>
    <row r="1044" hidden="1" s="27">
      <c r="A1044" s="47" t="inlineStr">
        <is>
          <t>에이모바일</t>
        </is>
      </c>
      <c r="B1044" s="47" t="inlineStr">
        <is>
          <t>A 스마트 20GB</t>
        </is>
      </c>
      <c r="C1044" s="47" t="inlineStr">
        <is>
          <t>무제한</t>
        </is>
      </c>
      <c r="D1044" s="47" t="inlineStr">
        <is>
          <t>무제한</t>
        </is>
      </c>
      <c r="E1044" s="47" t="inlineStr">
        <is>
          <t>월 20GB</t>
        </is>
      </c>
      <c r="F1044" s="47" t="inlineStr">
        <is>
          <t>SKT</t>
        </is>
      </c>
      <c r="G1044" s="47" t="inlineStr">
        <is>
          <t>LTE</t>
        </is>
      </c>
      <c r="H1044" s="48" t="n">
        <v>2200</v>
      </c>
      <c r="I1044" s="48" t="n">
        <v>7</v>
      </c>
      <c r="J1044" s="48" t="n">
        <v>25520</v>
      </c>
      <c r="K1044" s="47">
        <f t="array" ref="K1044">_xlfn.XLOOKUP(1,(참조!$B$2:$B$15=E1044)*(참조!$D$2:$D$15=C1044)*(참조!$E$2:$E$15=D1044),참조!$C$2:$C$15,"")</f>
        <v/>
      </c>
    </row>
    <row r="1045" hidden="1" s="27">
      <c r="A1045" s="47" t="inlineStr">
        <is>
          <t>모빙</t>
        </is>
      </c>
      <c r="B1045" s="47" t="inlineStr">
        <is>
          <t>[S] 5G 데이터 15GB</t>
        </is>
      </c>
      <c r="C1045" s="47" t="inlineStr">
        <is>
          <t>무제한</t>
        </is>
      </c>
      <c r="D1045" s="47" t="inlineStr">
        <is>
          <t>100건</t>
        </is>
      </c>
      <c r="E1045" s="47" t="inlineStr">
        <is>
          <t>월 15GB</t>
        </is>
      </c>
      <c r="F1045" s="47" t="inlineStr">
        <is>
          <t>SKT</t>
        </is>
      </c>
      <c r="G1045" s="47" t="inlineStr">
        <is>
          <t>5G</t>
        </is>
      </c>
      <c r="H1045" s="48" t="n">
        <v>13000</v>
      </c>
      <c r="I1045" s="48" t="n"/>
      <c r="J1045" s="48" t="n"/>
      <c r="K1045" s="47">
        <f t="array" ref="K1045">_xlfn.XLOOKUP(1,(참조!$B$2:$B$15=E1045)*(참조!$D$2:$D$15=C1045)*(참조!$E$2:$E$15=D1045),참조!$C$2:$C$15,"")</f>
        <v/>
      </c>
    </row>
    <row r="1046" hidden="1" s="27">
      <c r="A1046" s="47" t="inlineStr">
        <is>
          <t>티플러스</t>
        </is>
      </c>
      <c r="B1046" s="47" t="inlineStr">
        <is>
          <t>티플 데이터마음껏5G(100분)_24개월 할인</t>
        </is>
      </c>
      <c r="C1046" s="47" t="inlineStr">
        <is>
          <t>100분</t>
        </is>
      </c>
      <c r="D1046" s="47" t="inlineStr">
        <is>
          <t>100건</t>
        </is>
      </c>
      <c r="E1046" s="47" t="inlineStr">
        <is>
          <t>월 5GB + 1Mbps</t>
        </is>
      </c>
      <c r="F1046" s="47" t="inlineStr">
        <is>
          <t>LG U+</t>
        </is>
      </c>
      <c r="G1046" s="47" t="inlineStr">
        <is>
          <t>LTE</t>
        </is>
      </c>
      <c r="H1046" s="48" t="n">
        <v>6600</v>
      </c>
      <c r="I1046" s="48" t="n">
        <v>24</v>
      </c>
      <c r="J1046" s="48" t="n">
        <v>11550</v>
      </c>
      <c r="K1046" s="47">
        <f t="array" ref="K1046">_xlfn.XLOOKUP(1,(참조!$B$2:$B$15=E1046)*(참조!$D$2:$D$15=C1046)*(참조!$E$2:$E$15=D1046),참조!$C$2:$C$15,"")</f>
        <v/>
      </c>
    </row>
    <row r="1047" hidden="1" s="27">
      <c r="A1047" s="47" t="inlineStr">
        <is>
          <t>KG모바일</t>
        </is>
      </c>
      <c r="B1047" s="47" t="inlineStr">
        <is>
          <t>[일반] 유심 5G 150GB+</t>
        </is>
      </c>
      <c r="C1047" s="47" t="inlineStr">
        <is>
          <t>무제한</t>
        </is>
      </c>
      <c r="D1047" s="47" t="inlineStr">
        <is>
          <t>무제한</t>
        </is>
      </c>
      <c r="E1047" s="47" t="inlineStr">
        <is>
          <t>월 150GB + 5Mbps</t>
        </is>
      </c>
      <c r="F1047" s="47" t="inlineStr">
        <is>
          <t>LG U+</t>
        </is>
      </c>
      <c r="G1047" s="47" t="inlineStr">
        <is>
          <t>5G</t>
        </is>
      </c>
      <c r="H1047" s="48" t="n">
        <v>33000</v>
      </c>
      <c r="I1047" s="48" t="n">
        <v>12</v>
      </c>
      <c r="J1047" s="48" t="n">
        <v>56100</v>
      </c>
      <c r="K1047" s="47">
        <f t="array" ref="K1047">_xlfn.XLOOKUP(1,(참조!$B$2:$B$15=E1047)*(참조!$D$2:$D$15=C1047)*(참조!$E$2:$E$15=D1047),참조!$C$2:$C$15,"")</f>
        <v/>
      </c>
    </row>
    <row r="1048" hidden="1" s="27">
      <c r="A1048" s="47" t="inlineStr">
        <is>
          <t>스마텔</t>
        </is>
      </c>
      <c r="B1048" s="47" t="inlineStr">
        <is>
          <t>USIM 심플 (500분 + 1GB)</t>
        </is>
      </c>
      <c r="C1048" s="47" t="inlineStr">
        <is>
          <t>500분</t>
        </is>
      </c>
      <c r="D1048" s="47" t="inlineStr">
        <is>
          <t>100건</t>
        </is>
      </c>
      <c r="E1048" s="47" t="inlineStr">
        <is>
          <t>월 1GB</t>
        </is>
      </c>
      <c r="F1048" s="47" t="inlineStr">
        <is>
          <t>LG U+</t>
        </is>
      </c>
      <c r="G1048" s="47" t="inlineStr">
        <is>
          <t>LTE</t>
        </is>
      </c>
      <c r="H1048" s="48" t="n">
        <v>1900</v>
      </c>
      <c r="I1048" s="48" t="n">
        <v>6</v>
      </c>
      <c r="J1048" s="48" t="n">
        <v>6600</v>
      </c>
      <c r="K1048" s="47">
        <f t="array" ref="K1048">_xlfn.XLOOKUP(1,(참조!$B$2:$B$15=E1048)*(참조!$D$2:$D$15=C1048)*(참조!$E$2:$E$15=D1048),참조!$C$2:$C$15,"")</f>
        <v/>
      </c>
    </row>
    <row r="1049" hidden="1" s="27">
      <c r="A1049" s="47" t="inlineStr">
        <is>
          <t>스마텔</t>
        </is>
      </c>
      <c r="B1049" s="47" t="inlineStr">
        <is>
          <t>USIM 알뜰데이터2 15GB+</t>
        </is>
      </c>
      <c r="C1049" s="47" t="inlineStr">
        <is>
          <t>300분</t>
        </is>
      </c>
      <c r="D1049" s="47" t="inlineStr">
        <is>
          <t>300건</t>
        </is>
      </c>
      <c r="E1049" s="47" t="inlineStr">
        <is>
          <t>월 15GB + 3Mbps</t>
        </is>
      </c>
      <c r="F1049" s="47" t="inlineStr">
        <is>
          <t>SKT</t>
        </is>
      </c>
      <c r="G1049" s="47" t="inlineStr">
        <is>
          <t>LTE</t>
        </is>
      </c>
      <c r="H1049" s="48" t="n">
        <v>14500</v>
      </c>
      <c r="I1049" s="48" t="n">
        <v>7</v>
      </c>
      <c r="J1049" s="48" t="n">
        <v>34100</v>
      </c>
      <c r="K1049" s="47">
        <f t="array" ref="K1049">_xlfn.XLOOKUP(1,(참조!$B$2:$B$15=E1049)*(참조!$D$2:$D$15=C1049)*(참조!$E$2:$E$15=D1049),참조!$C$2:$C$15,"")</f>
        <v/>
      </c>
    </row>
    <row r="1050" hidden="1" s="27">
      <c r="A1050" s="47" t="inlineStr">
        <is>
          <t>에이모바일</t>
        </is>
      </c>
      <c r="B1050" s="47" t="inlineStr">
        <is>
          <t>A 올라잇 100GB+ 밀리의서재</t>
        </is>
      </c>
      <c r="C1050" s="47" t="inlineStr">
        <is>
          <t>무제한</t>
        </is>
      </c>
      <c r="D1050" s="47" t="inlineStr">
        <is>
          <t>무제한</t>
        </is>
      </c>
      <c r="E1050" s="47" t="inlineStr">
        <is>
          <t>월 11GB + 매일 2GB + 3Mbps</t>
        </is>
      </c>
      <c r="F1050" s="47" t="inlineStr">
        <is>
          <t>KT</t>
        </is>
      </c>
      <c r="G1050" s="47" t="inlineStr">
        <is>
          <t>LTE</t>
        </is>
      </c>
      <c r="H1050" s="48" t="n">
        <v>8900</v>
      </c>
      <c r="I1050" s="48" t="n">
        <v>7</v>
      </c>
      <c r="J1050" s="48" t="n">
        <v>46200</v>
      </c>
      <c r="K1050" s="47">
        <f t="array" ref="K1050">_xlfn.XLOOKUP(1,(참조!$B$2:$B$15=E1050)*(참조!$D$2:$D$15=C1050)*(참조!$E$2:$E$15=D1050),참조!$C$2:$C$15,"")</f>
        <v/>
      </c>
    </row>
    <row r="1051" hidden="1" s="27">
      <c r="A1051" s="47" t="inlineStr">
        <is>
          <t>티플러스</t>
        </is>
      </c>
      <c r="B1051" s="47" t="inlineStr">
        <is>
          <t>티플북 7G+(도서문화상품권 매월 5000P)</t>
        </is>
      </c>
      <c r="C1051" s="47" t="inlineStr">
        <is>
          <t>무제한</t>
        </is>
      </c>
      <c r="D1051" s="47" t="inlineStr">
        <is>
          <t>무제한</t>
        </is>
      </c>
      <c r="E1051" s="47" t="inlineStr">
        <is>
          <t>월 7GB + 1Mbps</t>
        </is>
      </c>
      <c r="F1051" s="47" t="inlineStr">
        <is>
          <t>SKT</t>
        </is>
      </c>
      <c r="G1051" s="47" t="inlineStr">
        <is>
          <t>LTE</t>
        </is>
      </c>
      <c r="H1051" s="48" t="n">
        <v>4900</v>
      </c>
      <c r="I1051" s="48" t="n">
        <v>7</v>
      </c>
      <c r="J1051" s="48" t="n">
        <v>29700</v>
      </c>
      <c r="K1051" s="47">
        <f t="array" ref="K1051">_xlfn.XLOOKUP(1,(참조!$B$2:$B$15=E1051)*(참조!$D$2:$D$15=C1051)*(참조!$E$2:$E$15=D1051),참조!$C$2:$C$15,"")</f>
        <v/>
      </c>
    </row>
    <row r="1052" hidden="1" s="27">
      <c r="A1052" s="47" t="inlineStr">
        <is>
          <t>LG헬로모바일</t>
        </is>
      </c>
      <c r="B1052" s="47" t="inlineStr">
        <is>
          <t>쿠폰팩 유심 10GB</t>
        </is>
      </c>
      <c r="C1052" s="47" t="inlineStr">
        <is>
          <t>무제한</t>
        </is>
      </c>
      <c r="D1052" s="47" t="inlineStr">
        <is>
          <t>무제한</t>
        </is>
      </c>
      <c r="E1052" s="47" t="inlineStr">
        <is>
          <t>월 10GB + 1Mbps</t>
        </is>
      </c>
      <c r="F1052" s="47" t="inlineStr">
        <is>
          <t>LG U+</t>
        </is>
      </c>
      <c r="G1052" s="47" t="inlineStr">
        <is>
          <t>LTE</t>
        </is>
      </c>
      <c r="H1052" s="48" t="n">
        <v>21300</v>
      </c>
      <c r="I1052" s="48" t="n"/>
      <c r="J1052" s="48" t="n"/>
      <c r="K1052" s="47">
        <f t="array" ref="K1052">_xlfn.XLOOKUP(1,(참조!$B$2:$B$15=E1052)*(참조!$D$2:$D$15=C1052)*(참조!$E$2:$E$15=D1052),참조!$C$2:$C$15,"")</f>
        <v/>
      </c>
    </row>
    <row r="1053" hidden="1" s="27">
      <c r="A1053" s="47" t="inlineStr">
        <is>
          <t>찬스모바일</t>
        </is>
      </c>
      <c r="B1053" s="47" t="inlineStr">
        <is>
          <t>5G 음성기본 125GB+5Mbps</t>
        </is>
      </c>
      <c r="C1053" s="47" t="inlineStr">
        <is>
          <t>무제한</t>
        </is>
      </c>
      <c r="D1053" s="47" t="inlineStr">
        <is>
          <t>무제한</t>
        </is>
      </c>
      <c r="E1053" s="47" t="inlineStr">
        <is>
          <t>월 125GB + 5Mbps</t>
        </is>
      </c>
      <c r="F1053" s="47" t="inlineStr">
        <is>
          <t>LG U+</t>
        </is>
      </c>
      <c r="G1053" s="47" t="inlineStr">
        <is>
          <t>5G</t>
        </is>
      </c>
      <c r="H1053" s="48" t="n">
        <v>29800</v>
      </c>
      <c r="I1053" s="48" t="n">
        <v>7</v>
      </c>
      <c r="J1053" s="48" t="n">
        <v>55000</v>
      </c>
      <c r="K1053" s="47">
        <f t="array" ref="K1053">_xlfn.XLOOKUP(1,(참조!$B$2:$B$15=E1053)*(참조!$D$2:$D$15=C1053)*(참조!$E$2:$E$15=D1053),참조!$C$2:$C$15,"")</f>
        <v/>
      </c>
    </row>
    <row r="1054" hidden="1" s="27">
      <c r="A1054" s="47" t="inlineStr">
        <is>
          <t>에이모바일</t>
        </is>
      </c>
      <c r="B1054" s="47" t="inlineStr">
        <is>
          <t>A 올라잇 1GB/150분</t>
        </is>
      </c>
      <c r="C1054" s="47" t="inlineStr">
        <is>
          <t>150분</t>
        </is>
      </c>
      <c r="D1054" s="47" t="inlineStr">
        <is>
          <t>100건</t>
        </is>
      </c>
      <c r="E1054" s="47" t="inlineStr">
        <is>
          <t>월 1GB</t>
        </is>
      </c>
      <c r="F1054" s="47" t="inlineStr">
        <is>
          <t>KT</t>
        </is>
      </c>
      <c r="G1054" s="47" t="inlineStr">
        <is>
          <t>LTE</t>
        </is>
      </c>
      <c r="H1054" s="48" t="n">
        <v>110</v>
      </c>
      <c r="I1054" s="48" t="n">
        <v>7</v>
      </c>
      <c r="J1054" s="48" t="n">
        <v>7700</v>
      </c>
      <c r="K1054" s="47">
        <f t="array" ref="K1054">_xlfn.XLOOKUP(1,(참조!$B$2:$B$15=E1054)*(참조!$D$2:$D$15=C1054)*(참조!$E$2:$E$15=D1054),참조!$C$2:$C$15,"")</f>
        <v/>
      </c>
    </row>
    <row r="1055" hidden="1" s="27">
      <c r="A1055" s="47" t="inlineStr">
        <is>
          <t>티플러스</t>
        </is>
      </c>
      <c r="B1055" s="47" t="inlineStr">
        <is>
          <t>The 데이터마음껏 15GB＋(300분)</t>
        </is>
      </c>
      <c r="C1055" s="47" t="inlineStr">
        <is>
          <t>300분</t>
        </is>
      </c>
      <c r="D1055" s="47" t="inlineStr">
        <is>
          <t>300건</t>
        </is>
      </c>
      <c r="E1055" s="47" t="inlineStr">
        <is>
          <t>월 15GB + 3Mbps</t>
        </is>
      </c>
      <c r="F1055" s="47" t="inlineStr">
        <is>
          <t>SKT</t>
        </is>
      </c>
      <c r="G1055" s="47" t="inlineStr">
        <is>
          <t>LTE</t>
        </is>
      </c>
      <c r="H1055" s="48" t="n">
        <v>14500</v>
      </c>
      <c r="I1055" s="48" t="n">
        <v>7</v>
      </c>
      <c r="J1055" s="48" t="n">
        <v>37400</v>
      </c>
      <c r="K1055" s="47">
        <f t="array" ref="K1055">_xlfn.XLOOKUP(1,(참조!$B$2:$B$15=E1055)*(참조!$D$2:$D$15=C1055)*(참조!$E$2:$E$15=D1055),참조!$C$2:$C$15,"")</f>
        <v/>
      </c>
    </row>
    <row r="1056" hidden="1" s="27">
      <c r="A1056" s="47" t="inlineStr">
        <is>
          <t>모빙</t>
        </is>
      </c>
      <c r="B1056" s="47" t="inlineStr">
        <is>
          <t>[S] 데이터 10GB</t>
        </is>
      </c>
      <c r="C1056" s="47" t="inlineStr">
        <is>
          <t>무제한</t>
        </is>
      </c>
      <c r="D1056" s="47" t="inlineStr">
        <is>
          <t>200건</t>
        </is>
      </c>
      <c r="E1056" s="47" t="inlineStr">
        <is>
          <t>월 10GB</t>
        </is>
      </c>
      <c r="F1056" s="47" t="inlineStr">
        <is>
          <t>SKT</t>
        </is>
      </c>
      <c r="G1056" s="47" t="inlineStr">
        <is>
          <t>LTE</t>
        </is>
      </c>
      <c r="H1056" s="48" t="n">
        <v>10</v>
      </c>
      <c r="I1056" s="48" t="n">
        <v>7</v>
      </c>
      <c r="J1056" s="48" t="n">
        <v>26400</v>
      </c>
      <c r="K1056" s="47">
        <f t="array" ref="K1056">_xlfn.XLOOKUP(1,(참조!$B$2:$B$15=E1056)*(참조!$D$2:$D$15=C1056)*(참조!$E$2:$E$15=D1056),참조!$C$2:$C$15,"")</f>
        <v/>
      </c>
    </row>
    <row r="1057" hidden="1" s="27">
      <c r="A1057" s="47" t="inlineStr">
        <is>
          <t>리브모바일</t>
        </is>
      </c>
      <c r="B1057" s="47" t="inlineStr">
        <is>
          <t>청년도약 LTE 71GB+</t>
        </is>
      </c>
      <c r="C1057" s="47" t="inlineStr">
        <is>
          <t>무제한</t>
        </is>
      </c>
      <c r="D1057" s="47" t="inlineStr">
        <is>
          <t>무제한</t>
        </is>
      </c>
      <c r="E1057" s="47" t="inlineStr">
        <is>
          <t>월 11GB + 매일 2GB + 3Mbps</t>
        </is>
      </c>
      <c r="F1057" s="47" t="inlineStr">
        <is>
          <t>LG U+</t>
        </is>
      </c>
      <c r="G1057" s="47" t="inlineStr">
        <is>
          <t>LTE</t>
        </is>
      </c>
      <c r="H1057" s="48" t="n">
        <v>26400</v>
      </c>
      <c r="I1057" s="48" t="n">
        <v>36</v>
      </c>
      <c r="J1057" s="48" t="n">
        <v>34300</v>
      </c>
      <c r="K1057" s="47">
        <f t="array" ref="K1057">_xlfn.XLOOKUP(1,(참조!$B$2:$B$15=E1057)*(참조!$D$2:$D$15=C1057)*(참조!$E$2:$E$15=D1057),참조!$C$2:$C$15,"")</f>
        <v/>
      </c>
    </row>
    <row r="1058" hidden="1" s="27">
      <c r="A1058" s="47" t="inlineStr">
        <is>
          <t>이지모바일</t>
        </is>
      </c>
      <c r="B1058" s="47" t="inlineStr">
        <is>
          <t>[5G]이지 무제한 180G+10</t>
        </is>
      </c>
      <c r="C1058" s="47" t="inlineStr">
        <is>
          <t>무제한</t>
        </is>
      </c>
      <c r="D1058" s="47" t="inlineStr">
        <is>
          <t>무제한</t>
        </is>
      </c>
      <c r="E1058" s="47" t="inlineStr">
        <is>
          <t>월 180GB + 10Mbps</t>
        </is>
      </c>
      <c r="F1058" s="47" t="inlineStr">
        <is>
          <t>LG U+</t>
        </is>
      </c>
      <c r="G1058" s="47" t="inlineStr">
        <is>
          <t>5G</t>
        </is>
      </c>
      <c r="H1058" s="48" t="n">
        <v>20900</v>
      </c>
      <c r="I1058" s="48" t="n">
        <v>7</v>
      </c>
      <c r="J1058" s="48" t="n">
        <v>56100</v>
      </c>
      <c r="K1058" s="47">
        <f t="array" ref="K1058">_xlfn.XLOOKUP(1,(참조!$B$2:$B$15=E1058)*(참조!$D$2:$D$15=C1058)*(참조!$E$2:$E$15=D1058),참조!$C$2:$C$15,"")</f>
        <v/>
      </c>
    </row>
    <row r="1059" hidden="1" s="27">
      <c r="A1059" s="47" t="inlineStr">
        <is>
          <t>아이즈모바일</t>
        </is>
      </c>
      <c r="B1059" s="47" t="inlineStr">
        <is>
          <t>[K]무한11GB+ Npay</t>
        </is>
      </c>
      <c r="C1059" s="47" t="inlineStr">
        <is>
          <t>무제한</t>
        </is>
      </c>
      <c r="D1059" s="47" t="inlineStr">
        <is>
          <t>무제한</t>
        </is>
      </c>
      <c r="E1059" s="47" t="inlineStr">
        <is>
          <t>월 11GB + 매일 2GB + 3Mbps</t>
        </is>
      </c>
      <c r="F1059" s="47" t="inlineStr">
        <is>
          <t>KT</t>
        </is>
      </c>
      <c r="G1059" s="47" t="inlineStr">
        <is>
          <t>LTE</t>
        </is>
      </c>
      <c r="H1059" s="48" t="n">
        <v>8900</v>
      </c>
      <c r="I1059" s="48" t="n">
        <v>7</v>
      </c>
      <c r="J1059" s="48" t="n">
        <v>48400</v>
      </c>
      <c r="K1059" s="47">
        <f t="array" ref="K1059">_xlfn.XLOOKUP(1,(참조!$B$2:$B$15=E1059)*(참조!$D$2:$D$15=C1059)*(참조!$E$2:$E$15=D1059),참조!$C$2:$C$15,"")</f>
        <v/>
      </c>
    </row>
    <row r="1060" hidden="1" s="27">
      <c r="A1060" s="47" t="inlineStr">
        <is>
          <t>이야기모바일</t>
        </is>
      </c>
      <c r="B1060" s="47" t="inlineStr">
        <is>
          <t>이야기 스페셜 100GB+</t>
        </is>
      </c>
      <c r="C1060" s="47" t="inlineStr">
        <is>
          <t>무제한</t>
        </is>
      </c>
      <c r="D1060" s="47" t="inlineStr">
        <is>
          <t>무제한</t>
        </is>
      </c>
      <c r="E1060" s="47" t="inlineStr">
        <is>
          <t>월 100GB + 5Mbps</t>
        </is>
      </c>
      <c r="F1060" s="47" t="inlineStr">
        <is>
          <t>LG U+</t>
        </is>
      </c>
      <c r="G1060" s="47" t="inlineStr">
        <is>
          <t>LTE</t>
        </is>
      </c>
      <c r="H1060" s="48" t="n">
        <v>23000</v>
      </c>
      <c r="I1060" s="48" t="n">
        <v>7</v>
      </c>
      <c r="J1060" s="48" t="n">
        <v>46200</v>
      </c>
      <c r="K1060" s="47">
        <f t="array" ref="K1060">_xlfn.XLOOKUP(1,(참조!$B$2:$B$15=E1060)*(참조!$D$2:$D$15=C1060)*(참조!$E$2:$E$15=D1060),참조!$C$2:$C$15,"")</f>
        <v/>
      </c>
    </row>
    <row r="1061" hidden="1" s="27">
      <c r="A1061" s="47" t="inlineStr">
        <is>
          <t>KT스카이라이프</t>
        </is>
      </c>
      <c r="B1061" s="47" t="inlineStr">
        <is>
          <t>모두 충분 11GB+(올리브영_5000)</t>
        </is>
      </c>
      <c r="C1061" s="47" t="inlineStr">
        <is>
          <t>무제한</t>
        </is>
      </c>
      <c r="D1061" s="47" t="inlineStr">
        <is>
          <t>무제한</t>
        </is>
      </c>
      <c r="E1061" s="47" t="inlineStr">
        <is>
          <t>월 11GB + 매일 2GB + 3Mbps</t>
        </is>
      </c>
      <c r="F1061" s="47" t="inlineStr">
        <is>
          <t>KT</t>
        </is>
      </c>
      <c r="G1061" s="47" t="inlineStr">
        <is>
          <t>LTE</t>
        </is>
      </c>
      <c r="H1061" s="48" t="n">
        <v>36600</v>
      </c>
      <c r="I1061" s="48" t="n"/>
      <c r="J1061" s="48" t="n"/>
      <c r="K1061" s="47">
        <f t="array" ref="K1061">_xlfn.XLOOKUP(1,(참조!$B$2:$B$15=E1061)*(참조!$D$2:$D$15=C1061)*(참조!$E$2:$E$15=D1061),참조!$C$2:$C$15,"")</f>
        <v/>
      </c>
    </row>
    <row r="1062" hidden="1" s="27">
      <c r="A1062" s="47" t="inlineStr">
        <is>
          <t>티플러스</t>
        </is>
      </c>
      <c r="B1062" s="47" t="inlineStr">
        <is>
          <t>The 완전마음껏10G+(다이소 매월 5000P)</t>
        </is>
      </c>
      <c r="C1062" s="47" t="inlineStr">
        <is>
          <t>무제한</t>
        </is>
      </c>
      <c r="D1062" s="47" t="inlineStr">
        <is>
          <t>무제한</t>
        </is>
      </c>
      <c r="E1062" s="47" t="inlineStr">
        <is>
          <t>월 10GB + 1Mbps</t>
        </is>
      </c>
      <c r="F1062" s="47" t="inlineStr">
        <is>
          <t>LG U+</t>
        </is>
      </c>
      <c r="G1062" s="47" t="inlineStr">
        <is>
          <t>LTE</t>
        </is>
      </c>
      <c r="H1062" s="48" t="n">
        <v>16500</v>
      </c>
      <c r="I1062" s="48" t="n">
        <v>24</v>
      </c>
      <c r="J1062" s="48" t="n">
        <v>27830</v>
      </c>
      <c r="K1062" s="47">
        <f t="array" ref="K1062">_xlfn.XLOOKUP(1,(참조!$B$2:$B$15=E1062)*(참조!$D$2:$D$15=C1062)*(참조!$E$2:$E$15=D1062),참조!$C$2:$C$15,"")</f>
        <v/>
      </c>
    </row>
    <row r="1063" hidden="1" s="27">
      <c r="A1063" s="47" t="inlineStr">
        <is>
          <t>U+유모바일</t>
        </is>
      </c>
      <c r="B1063" s="47" t="inlineStr">
        <is>
          <t>[평생할인] 15GB+/180분</t>
        </is>
      </c>
      <c r="C1063" s="47" t="inlineStr">
        <is>
          <t>180분</t>
        </is>
      </c>
      <c r="D1063" s="47" t="inlineStr">
        <is>
          <t>100건</t>
        </is>
      </c>
      <c r="E1063" s="47" t="inlineStr">
        <is>
          <t>월 15GB + 3Mbps</t>
        </is>
      </c>
      <c r="F1063" s="47" t="inlineStr">
        <is>
          <t>LG U+</t>
        </is>
      </c>
      <c r="G1063" s="47" t="inlineStr">
        <is>
          <t>LTE</t>
        </is>
      </c>
      <c r="H1063" s="48" t="n">
        <v>26900</v>
      </c>
      <c r="I1063" s="48" t="n"/>
      <c r="J1063" s="48" t="n"/>
      <c r="K1063" s="47">
        <f t="array" ref="K1063">_xlfn.XLOOKUP(1,(참조!$B$2:$B$15=E1063)*(참조!$D$2:$D$15=C1063)*(참조!$E$2:$E$15=D1063),참조!$C$2:$C$15,"")</f>
        <v/>
      </c>
    </row>
    <row r="1064" hidden="1" s="27">
      <c r="A1064" s="47" t="inlineStr">
        <is>
          <t>KG모바일</t>
        </is>
      </c>
      <c r="B1064" s="47" t="inlineStr">
        <is>
          <t>[모요 전용] 데이터 마음대로 (15GB+/100분)</t>
        </is>
      </c>
      <c r="C1064" s="47" t="inlineStr">
        <is>
          <t>100분</t>
        </is>
      </c>
      <c r="D1064" s="47" t="inlineStr">
        <is>
          <t>100건</t>
        </is>
      </c>
      <c r="E1064" s="47" t="inlineStr">
        <is>
          <t>월 15GB + 3Mbps</t>
        </is>
      </c>
      <c r="F1064" s="47" t="inlineStr">
        <is>
          <t>LG U+</t>
        </is>
      </c>
      <c r="G1064" s="47" t="inlineStr">
        <is>
          <t>LTE</t>
        </is>
      </c>
      <c r="H1064" s="48" t="n">
        <v>15000</v>
      </c>
      <c r="I1064" s="48" t="n">
        <v>7</v>
      </c>
      <c r="J1064" s="48" t="n">
        <v>29610</v>
      </c>
      <c r="K1064" s="47">
        <f t="array" ref="K1064">_xlfn.XLOOKUP(1,(참조!$B$2:$B$15=E1064)*(참조!$D$2:$D$15=C1064)*(참조!$E$2:$E$15=D1064),참조!$C$2:$C$15,"")</f>
        <v/>
      </c>
    </row>
    <row r="1065" hidden="1" s="27">
      <c r="A1065" s="47" t="inlineStr">
        <is>
          <t>쉐이크모바일</t>
        </is>
      </c>
      <c r="B1065" s="47" t="inlineStr">
        <is>
          <t>[모요only] 쉐이크 5G 70GB+_밀리의서재</t>
        </is>
      </c>
      <c r="C1065" s="47" t="inlineStr">
        <is>
          <t>무제한</t>
        </is>
      </c>
      <c r="D1065" s="47" t="inlineStr">
        <is>
          <t>무제한</t>
        </is>
      </c>
      <c r="E1065" s="47" t="inlineStr">
        <is>
          <t>월 70GB + 1Mbps</t>
        </is>
      </c>
      <c r="F1065" s="47" t="inlineStr">
        <is>
          <t>KT</t>
        </is>
      </c>
      <c r="G1065" s="47" t="inlineStr">
        <is>
          <t>5G</t>
        </is>
      </c>
      <c r="H1065" s="48" t="n">
        <v>20000</v>
      </c>
      <c r="I1065" s="48" t="n">
        <v>7</v>
      </c>
      <c r="J1065" s="48" t="n">
        <v>45100</v>
      </c>
      <c r="K1065" s="47">
        <f t="array" ref="K1065">_xlfn.XLOOKUP(1,(참조!$B$2:$B$15=E1065)*(참조!$D$2:$D$15=C1065)*(참조!$E$2:$E$15=D1065),참조!$C$2:$C$15,"")</f>
        <v/>
      </c>
    </row>
    <row r="1066" hidden="1" s="27">
      <c r="A1066" s="47" t="inlineStr">
        <is>
          <t>모나</t>
        </is>
      </c>
      <c r="B1066" s="47" t="inlineStr">
        <is>
          <t>5G_코나아이데이터180G안심10</t>
        </is>
      </c>
      <c r="C1066" s="47" t="inlineStr">
        <is>
          <t>무제한</t>
        </is>
      </c>
      <c r="D1066" s="47" t="inlineStr">
        <is>
          <t>무제한</t>
        </is>
      </c>
      <c r="E1066" s="47" t="inlineStr">
        <is>
          <t>월 180GB + 10Mbps</t>
        </is>
      </c>
      <c r="F1066" s="47" t="inlineStr">
        <is>
          <t>LG U+</t>
        </is>
      </c>
      <c r="G1066" s="47" t="inlineStr">
        <is>
          <t>5G</t>
        </is>
      </c>
      <c r="H1066" s="48" t="n">
        <v>39900</v>
      </c>
      <c r="I1066" s="48" t="n">
        <v>7</v>
      </c>
      <c r="J1066" s="48" t="n">
        <v>66000</v>
      </c>
      <c r="K1066" s="47">
        <f t="array" ref="K1066">_xlfn.XLOOKUP(1,(참조!$B$2:$B$15=E1066)*(참조!$D$2:$D$15=C1066)*(참조!$E$2:$E$15=D1066),참조!$C$2:$C$15,"")</f>
        <v/>
      </c>
    </row>
    <row r="1067" hidden="1" s="27">
      <c r="A1067" s="47" t="inlineStr">
        <is>
          <t>KT엠모바일</t>
        </is>
      </c>
      <c r="B1067" s="47" t="inlineStr">
        <is>
          <t>5G 모두다 맘껏 안심 10GB+</t>
        </is>
      </c>
      <c r="C1067" s="47" t="inlineStr">
        <is>
          <t>무제한</t>
        </is>
      </c>
      <c r="D1067" s="47" t="inlineStr">
        <is>
          <t>무제한</t>
        </is>
      </c>
      <c r="E1067" s="47" t="inlineStr">
        <is>
          <t>월 10GB + 400Kbps</t>
        </is>
      </c>
      <c r="F1067" s="47" t="inlineStr">
        <is>
          <t>KT</t>
        </is>
      </c>
      <c r="G1067" s="47" t="inlineStr">
        <is>
          <t>5G</t>
        </is>
      </c>
      <c r="H1067" s="48" t="n">
        <v>14900</v>
      </c>
      <c r="I1067" s="48" t="n"/>
      <c r="J1067" s="48" t="n"/>
      <c r="K1067" s="47">
        <f t="array" ref="K1067">_xlfn.XLOOKUP(1,(참조!$B$2:$B$15=E1067)*(참조!$D$2:$D$15=C1067)*(참조!$E$2:$E$15=D1067),참조!$C$2:$C$15,"")</f>
        <v/>
      </c>
    </row>
    <row r="1068" hidden="1" s="27">
      <c r="A1068" s="47" t="inlineStr">
        <is>
          <t>이야기모바일</t>
        </is>
      </c>
      <c r="B1068" s="47" t="inlineStr">
        <is>
          <t>함께이야기해S(1000분+10GB)</t>
        </is>
      </c>
      <c r="C1068" s="47" t="inlineStr">
        <is>
          <t>1,000분</t>
        </is>
      </c>
      <c r="D1068" s="47" t="inlineStr">
        <is>
          <t>100건</t>
        </is>
      </c>
      <c r="E1068" s="47" t="inlineStr">
        <is>
          <t>월 10GB</t>
        </is>
      </c>
      <c r="F1068" s="47" t="inlineStr">
        <is>
          <t>SKT</t>
        </is>
      </c>
      <c r="G1068" s="47" t="inlineStr">
        <is>
          <t>LTE</t>
        </is>
      </c>
      <c r="H1068" s="48" t="n">
        <v>14300</v>
      </c>
      <c r="I1068" s="48" t="n">
        <v>12</v>
      </c>
      <c r="J1068" s="48" t="n">
        <v>19800</v>
      </c>
      <c r="K1068" s="47">
        <f t="array" ref="K1068">_xlfn.XLOOKUP(1,(참조!$B$2:$B$15=E1068)*(참조!$D$2:$D$15=C1068)*(참조!$E$2:$E$15=D1068),참조!$C$2:$C$15,"")</f>
        <v/>
      </c>
    </row>
    <row r="1069" hidden="1" s="27">
      <c r="A1069" s="47" t="inlineStr">
        <is>
          <t>이야기모바일</t>
        </is>
      </c>
      <c r="B1069" s="47" t="inlineStr">
        <is>
          <t>내맘대로S(300+10GB)</t>
        </is>
      </c>
      <c r="C1069" s="47" t="inlineStr">
        <is>
          <t>300분</t>
        </is>
      </c>
      <c r="D1069" s="47" t="inlineStr">
        <is>
          <t>300건</t>
        </is>
      </c>
      <c r="E1069" s="47" t="inlineStr">
        <is>
          <t>월 10GB</t>
        </is>
      </c>
      <c r="F1069" s="47" t="inlineStr">
        <is>
          <t>SKT</t>
        </is>
      </c>
      <c r="G1069" s="47" t="inlineStr">
        <is>
          <t>LTE</t>
        </is>
      </c>
      <c r="H1069" s="48" t="n">
        <v>14300</v>
      </c>
      <c r="I1069" s="48" t="n">
        <v>12</v>
      </c>
      <c r="J1069" s="48" t="n">
        <v>16500</v>
      </c>
      <c r="K1069" s="47">
        <f t="array" ref="K1069">_xlfn.XLOOKUP(1,(참조!$B$2:$B$15=E1069)*(참조!$D$2:$D$15=C1069)*(참조!$E$2:$E$15=D1069),참조!$C$2:$C$15,"")</f>
        <v/>
      </c>
    </row>
    <row r="1070" hidden="1" s="27">
      <c r="A1070" s="47" t="inlineStr">
        <is>
          <t>시월모바일</t>
        </is>
      </c>
      <c r="B1070" s="47" t="inlineStr">
        <is>
          <t>쿠폰팩 통화기본매일5GB+</t>
        </is>
      </c>
      <c r="C1070" s="47" t="inlineStr">
        <is>
          <t>무제한</t>
        </is>
      </c>
      <c r="D1070" s="47" t="inlineStr">
        <is>
          <t>무제한</t>
        </is>
      </c>
      <c r="E1070" s="47" t="inlineStr">
        <is>
          <t>매일 5GB + 5Mbps</t>
        </is>
      </c>
      <c r="F1070" s="47" t="inlineStr">
        <is>
          <t>LG U+</t>
        </is>
      </c>
      <c r="G1070" s="47" t="inlineStr">
        <is>
          <t>LTE</t>
        </is>
      </c>
      <c r="H1070" s="48" t="n">
        <v>19810</v>
      </c>
      <c r="I1070" s="48" t="n">
        <v>7</v>
      </c>
      <c r="J1070" s="48" t="n">
        <v>48410</v>
      </c>
      <c r="K1070" s="47">
        <f t="array" ref="K1070">_xlfn.XLOOKUP(1,(참조!$B$2:$B$15=E1070)*(참조!$D$2:$D$15=C1070)*(참조!$E$2:$E$15=D1070),참조!$C$2:$C$15,"")</f>
        <v/>
      </c>
    </row>
    <row r="1071" hidden="1" s="27">
      <c r="A1071" s="47" t="inlineStr">
        <is>
          <t>아이즈모바일</t>
        </is>
      </c>
      <c r="B1071" s="47" t="inlineStr">
        <is>
          <t>아이즈 (10GB/200분)</t>
        </is>
      </c>
      <c r="C1071" s="47" t="inlineStr">
        <is>
          <t>200분</t>
        </is>
      </c>
      <c r="D1071" s="47" t="inlineStr">
        <is>
          <t>200건</t>
        </is>
      </c>
      <c r="E1071" s="47" t="inlineStr">
        <is>
          <t>월 10GB</t>
        </is>
      </c>
      <c r="F1071" s="47" t="inlineStr">
        <is>
          <t>SKT</t>
        </is>
      </c>
      <c r="G1071" s="47" t="inlineStr">
        <is>
          <t>LTE</t>
        </is>
      </c>
      <c r="H1071" s="48" t="n">
        <v>100</v>
      </c>
      <c r="I1071" s="48" t="n">
        <v>7</v>
      </c>
      <c r="J1071" s="48" t="n">
        <v>22900</v>
      </c>
      <c r="K1071" s="47">
        <f t="array" ref="K1071">_xlfn.XLOOKUP(1,(참조!$B$2:$B$15=E1071)*(참조!$D$2:$D$15=C1071)*(참조!$E$2:$E$15=D1071),참조!$C$2:$C$15,"")</f>
        <v/>
      </c>
    </row>
    <row r="1072" hidden="1" s="27">
      <c r="A1072" s="47" t="inlineStr">
        <is>
          <t>티플러스</t>
        </is>
      </c>
      <c r="B1072" s="47" t="inlineStr">
        <is>
          <t>KT 15GB+ (밀리의서재+올리브영 매월 5천원 상품권!)</t>
        </is>
      </c>
      <c r="C1072" s="47" t="inlineStr">
        <is>
          <t>무제한</t>
        </is>
      </c>
      <c r="D1072" s="47" t="inlineStr">
        <is>
          <t>무제한</t>
        </is>
      </c>
      <c r="E1072" s="47" t="inlineStr">
        <is>
          <t>월 15GB + 1Mbps</t>
        </is>
      </c>
      <c r="F1072" s="47" t="inlineStr">
        <is>
          <t>KT</t>
        </is>
      </c>
      <c r="G1072" s="47" t="inlineStr">
        <is>
          <t>LTE</t>
        </is>
      </c>
      <c r="H1072" s="48" t="n">
        <v>12900</v>
      </c>
      <c r="I1072" s="48" t="n">
        <v>7</v>
      </c>
      <c r="J1072" s="48" t="n">
        <v>30800</v>
      </c>
      <c r="K1072" s="47">
        <f t="array" ref="K1072">_xlfn.XLOOKUP(1,(참조!$B$2:$B$15=E1072)*(참조!$D$2:$D$15=C1072)*(참조!$E$2:$E$15=D1072),참조!$C$2:$C$15,"")</f>
        <v/>
      </c>
    </row>
    <row r="1073" hidden="1" s="27">
      <c r="A1073" s="47" t="inlineStr">
        <is>
          <t>이야기모바일</t>
        </is>
      </c>
      <c r="B1073" s="47" t="inlineStr">
        <is>
          <t>이야기 완전 무제한 7GB+</t>
        </is>
      </c>
      <c r="C1073" s="47" t="inlineStr">
        <is>
          <t>무제한</t>
        </is>
      </c>
      <c r="D1073" s="47" t="inlineStr">
        <is>
          <t>무제한</t>
        </is>
      </c>
      <c r="E1073" s="47" t="inlineStr">
        <is>
          <t>월 7GB + 1Mbps</t>
        </is>
      </c>
      <c r="F1073" s="47" t="inlineStr">
        <is>
          <t>SKT</t>
        </is>
      </c>
      <c r="G1073" s="47" t="inlineStr">
        <is>
          <t>LTE</t>
        </is>
      </c>
      <c r="H1073" s="48" t="n">
        <v>14300</v>
      </c>
      <c r="I1073" s="48" t="n">
        <v>12</v>
      </c>
      <c r="J1073" s="48" t="n">
        <v>24200</v>
      </c>
      <c r="K1073" s="47">
        <f t="array" ref="K1073">_xlfn.XLOOKUP(1,(참조!$B$2:$B$15=E1073)*(참조!$D$2:$D$15=C1073)*(참조!$E$2:$E$15=D1073),참조!$C$2:$C$15,"")</f>
        <v/>
      </c>
    </row>
    <row r="1074" hidden="1" s="27">
      <c r="A1074" s="47" t="inlineStr">
        <is>
          <t>아이즈모바일</t>
        </is>
      </c>
      <c r="B1074" s="47" t="inlineStr">
        <is>
          <t>세이브머니유심(100분/10GB+)</t>
        </is>
      </c>
      <c r="C1074" s="47" t="inlineStr">
        <is>
          <t>100분</t>
        </is>
      </c>
      <c r="D1074" s="47" t="inlineStr">
        <is>
          <t>100건</t>
        </is>
      </c>
      <c r="E1074" s="47" t="inlineStr">
        <is>
          <t>월 10GB + 1Mbps</t>
        </is>
      </c>
      <c r="F1074" s="47" t="inlineStr">
        <is>
          <t>LG U+</t>
        </is>
      </c>
      <c r="G1074" s="47" t="inlineStr">
        <is>
          <t>LTE</t>
        </is>
      </c>
      <c r="H1074" s="48" t="n">
        <v>5900</v>
      </c>
      <c r="I1074" s="48" t="n"/>
      <c r="J1074" s="48" t="n"/>
      <c r="K1074" s="47">
        <f t="array" ref="K1074">_xlfn.XLOOKUP(1,(참조!$B$2:$B$15=E1074)*(참조!$D$2:$D$15=C1074)*(참조!$E$2:$E$15=D1074),참조!$C$2:$C$15,"")</f>
        <v/>
      </c>
    </row>
    <row r="1075" hidden="1" s="27">
      <c r="A1075" s="47" t="inlineStr">
        <is>
          <t>마블링</t>
        </is>
      </c>
      <c r="B1075" s="47" t="inlineStr">
        <is>
          <t>[모요only] 프라임 15GB+3Mbps 100분</t>
        </is>
      </c>
      <c r="C1075" s="47" t="inlineStr">
        <is>
          <t>100분</t>
        </is>
      </c>
      <c r="D1075" s="47" t="inlineStr">
        <is>
          <t>100건</t>
        </is>
      </c>
      <c r="E1075" s="47" t="inlineStr">
        <is>
          <t>월 15GB + 3Mbps</t>
        </is>
      </c>
      <c r="F1075" s="47" t="inlineStr">
        <is>
          <t>LG U+</t>
        </is>
      </c>
      <c r="G1075" s="47" t="inlineStr">
        <is>
          <t>LTE</t>
        </is>
      </c>
      <c r="H1075" s="48" t="n">
        <v>15000</v>
      </c>
      <c r="I1075" s="48" t="n">
        <v>7</v>
      </c>
      <c r="J1075" s="48" t="n">
        <v>29900</v>
      </c>
      <c r="K1075" s="47">
        <f t="array" ref="K1075">_xlfn.XLOOKUP(1,(참조!$B$2:$B$15=E1075)*(참조!$D$2:$D$15=C1075)*(참조!$E$2:$E$15=D1075),참조!$C$2:$C$15,"")</f>
        <v/>
      </c>
    </row>
    <row r="1076" hidden="1" s="27">
      <c r="A1076" s="47" t="inlineStr">
        <is>
          <t>아이즈모바일</t>
        </is>
      </c>
      <c r="B1076" s="47" t="inlineStr">
        <is>
          <t>[L]아이즈팩 100GB+</t>
        </is>
      </c>
      <c r="C1076" s="47" t="inlineStr">
        <is>
          <t>무제한</t>
        </is>
      </c>
      <c r="D1076" s="47" t="inlineStr">
        <is>
          <t>무제한</t>
        </is>
      </c>
      <c r="E1076" s="47" t="inlineStr">
        <is>
          <t>월 100GB + 5Mbps</t>
        </is>
      </c>
      <c r="F1076" s="47" t="inlineStr">
        <is>
          <t>LG U+</t>
        </is>
      </c>
      <c r="G1076" s="47" t="inlineStr">
        <is>
          <t>LTE</t>
        </is>
      </c>
      <c r="H1076" s="48" t="n">
        <v>25900</v>
      </c>
      <c r="I1076" s="48" t="n">
        <v>24</v>
      </c>
      <c r="J1076" s="48" t="n">
        <v>52800</v>
      </c>
      <c r="K1076" s="47">
        <f t="array" ref="K1076">_xlfn.XLOOKUP(1,(참조!$B$2:$B$15=E1076)*(참조!$D$2:$D$15=C1076)*(참조!$E$2:$E$15=D1076),참조!$C$2:$C$15,"")</f>
        <v/>
      </c>
    </row>
    <row r="1077" hidden="1" s="27">
      <c r="A1077" s="47" t="inlineStr">
        <is>
          <t>모빙</t>
        </is>
      </c>
      <c r="B1077" s="47" t="inlineStr">
        <is>
          <t>홈결합 스페셜A</t>
        </is>
      </c>
      <c r="C1077" s="47" t="inlineStr">
        <is>
          <t>무제한</t>
        </is>
      </c>
      <c r="D1077" s="47" t="inlineStr">
        <is>
          <t>무제한</t>
        </is>
      </c>
      <c r="E1077" s="47" t="inlineStr">
        <is>
          <t>월 11GB + 매일 2GB + 3Mbps</t>
        </is>
      </c>
      <c r="F1077" s="47" t="inlineStr">
        <is>
          <t>LG U+</t>
        </is>
      </c>
      <c r="G1077" s="47" t="inlineStr">
        <is>
          <t>LTE</t>
        </is>
      </c>
      <c r="H1077" s="48" t="n">
        <v>24900</v>
      </c>
      <c r="I1077" s="48" t="n">
        <v>12</v>
      </c>
      <c r="J1077" s="48" t="n">
        <v>46000</v>
      </c>
      <c r="K1077" s="47">
        <f t="array" ref="K1077">_xlfn.XLOOKUP(1,(참조!$B$2:$B$15=E1077)*(참조!$D$2:$D$15=C1077)*(참조!$E$2:$E$15=D1077),참조!$C$2:$C$15,"")</f>
        <v/>
      </c>
    </row>
    <row r="1078" hidden="1" s="27">
      <c r="A1078" s="47" t="inlineStr">
        <is>
          <t>모빙</t>
        </is>
      </c>
      <c r="B1078" s="47" t="inlineStr">
        <is>
          <t>쏙쏙 300분7GB</t>
        </is>
      </c>
      <c r="C1078" s="47" t="inlineStr">
        <is>
          <t>300분</t>
        </is>
      </c>
      <c r="D1078" s="47" t="inlineStr">
        <is>
          <t>100건</t>
        </is>
      </c>
      <c r="E1078" s="47" t="inlineStr">
        <is>
          <t>월 7GB</t>
        </is>
      </c>
      <c r="F1078" s="47" t="inlineStr">
        <is>
          <t>KT</t>
        </is>
      </c>
      <c r="G1078" s="47" t="inlineStr">
        <is>
          <t>LTE</t>
        </is>
      </c>
      <c r="H1078" s="48" t="n">
        <v>110</v>
      </c>
      <c r="I1078" s="48" t="n">
        <v>5</v>
      </c>
      <c r="J1078" s="48" t="n">
        <v>9900</v>
      </c>
      <c r="K1078" s="47">
        <f t="array" ref="K1078">_xlfn.XLOOKUP(1,(참조!$B$2:$B$15=E1078)*(참조!$D$2:$D$15=C1078)*(참조!$E$2:$E$15=D1078),참조!$C$2:$C$15,"")</f>
        <v/>
      </c>
    </row>
    <row r="1079" hidden="1" s="27">
      <c r="A1079" s="47" t="inlineStr">
        <is>
          <t>모빙</t>
        </is>
      </c>
      <c r="B1079" s="47" t="inlineStr">
        <is>
          <t>쏙쏙 200분10GB</t>
        </is>
      </c>
      <c r="C1079" s="47" t="inlineStr">
        <is>
          <t>200분</t>
        </is>
      </c>
      <c r="D1079" s="47" t="inlineStr">
        <is>
          <t>200건</t>
        </is>
      </c>
      <c r="E1079" s="47" t="inlineStr">
        <is>
          <t>월 10GB</t>
        </is>
      </c>
      <c r="F1079" s="47" t="inlineStr">
        <is>
          <t>KT</t>
        </is>
      </c>
      <c r="G1079" s="47" t="inlineStr">
        <is>
          <t>LTE</t>
        </is>
      </c>
      <c r="H1079" s="48" t="n">
        <v>110</v>
      </c>
      <c r="I1079" s="48" t="n">
        <v>7</v>
      </c>
      <c r="J1079" s="48" t="n">
        <v>20900</v>
      </c>
      <c r="K1079" s="47">
        <f t="array" ref="K1079">_xlfn.XLOOKUP(1,(참조!$B$2:$B$15=E1079)*(참조!$D$2:$D$15=C1079)*(참조!$E$2:$E$15=D1079),참조!$C$2:$C$15,"")</f>
        <v/>
      </c>
    </row>
    <row r="1080" hidden="1" s="27">
      <c r="A1080" s="47" t="inlineStr">
        <is>
          <t>U+유모바일</t>
        </is>
      </c>
      <c r="B1080" s="47" t="inlineStr">
        <is>
          <t>데이터 플러스 15GB+/100분(평생 +10GB 추가 제공 프로모션)</t>
        </is>
      </c>
      <c r="C1080" s="47" t="inlineStr">
        <is>
          <t>100분</t>
        </is>
      </c>
      <c r="D1080" s="47" t="inlineStr">
        <is>
          <t>100건</t>
        </is>
      </c>
      <c r="E1080" s="47" t="inlineStr">
        <is>
          <t>월 25GB + 3Mbps</t>
        </is>
      </c>
      <c r="F1080" s="47" t="inlineStr">
        <is>
          <t>LG U+</t>
        </is>
      </c>
      <c r="G1080" s="47" t="inlineStr">
        <is>
          <t>LTE</t>
        </is>
      </c>
      <c r="H1080" s="48" t="n">
        <v>26900</v>
      </c>
      <c r="I1080" s="48" t="n"/>
      <c r="J1080" s="48" t="n"/>
      <c r="K1080" s="47">
        <f t="array" ref="K1080">_xlfn.XLOOKUP(1,(참조!$B$2:$B$15=E1080)*(참조!$D$2:$D$15=C1080)*(참조!$E$2:$E$15=D1080),참조!$C$2:$C$15,"")</f>
        <v/>
      </c>
    </row>
    <row r="1081" hidden="1" s="27">
      <c r="A1081" s="47" t="inlineStr">
        <is>
          <t>시월모바일</t>
        </is>
      </c>
      <c r="B1081" s="47" t="inlineStr">
        <is>
          <t>쿠폰팩 통화기본100GB+</t>
        </is>
      </c>
      <c r="C1081" s="47" t="inlineStr">
        <is>
          <t>무제한</t>
        </is>
      </c>
      <c r="D1081" s="47" t="inlineStr">
        <is>
          <t>무제한</t>
        </is>
      </c>
      <c r="E1081" s="47" t="inlineStr">
        <is>
          <t>월 100GB + 5Mbps</t>
        </is>
      </c>
      <c r="F1081" s="47" t="inlineStr">
        <is>
          <t>LG U+</t>
        </is>
      </c>
      <c r="G1081" s="47" t="inlineStr">
        <is>
          <t>LTE</t>
        </is>
      </c>
      <c r="H1081" s="48" t="n">
        <v>19810</v>
      </c>
      <c r="I1081" s="48" t="n">
        <v>7</v>
      </c>
      <c r="J1081" s="48" t="n">
        <v>48410</v>
      </c>
      <c r="K1081" s="47">
        <f t="array" ref="K1081">_xlfn.XLOOKUP(1,(참조!$B$2:$B$15=E1081)*(참조!$D$2:$D$15=C1081)*(참조!$E$2:$E$15=D1081),참조!$C$2:$C$15,"")</f>
        <v/>
      </c>
    </row>
    <row r="1082" hidden="1" s="27">
      <c r="A1082" s="47" t="inlineStr">
        <is>
          <t>KT엠모바일</t>
        </is>
      </c>
      <c r="B1082" s="47" t="inlineStr">
        <is>
          <t>데이터 맘껏 15GB+/300분(CU 20%할인)</t>
        </is>
      </c>
      <c r="C1082" s="47" t="inlineStr">
        <is>
          <t>300분</t>
        </is>
      </c>
      <c r="D1082" s="47" t="inlineStr">
        <is>
          <t>300건</t>
        </is>
      </c>
      <c r="E1082" s="47" t="inlineStr">
        <is>
          <t>월 15GB + 3Mbps</t>
        </is>
      </c>
      <c r="F1082" s="47" t="inlineStr">
        <is>
          <t>KT</t>
        </is>
      </c>
      <c r="G1082" s="47" t="inlineStr">
        <is>
          <t>LTE</t>
        </is>
      </c>
      <c r="H1082" s="48" t="n">
        <v>27500</v>
      </c>
      <c r="I1082" s="48" t="n"/>
      <c r="J1082" s="48" t="n"/>
      <c r="K1082" s="47">
        <f t="array" ref="K1082">_xlfn.XLOOKUP(1,(참조!$B$2:$B$15=E1082)*(참조!$D$2:$D$15=C1082)*(참조!$E$2:$E$15=D1082),참조!$C$2:$C$15,"")</f>
        <v/>
      </c>
    </row>
    <row r="1083" hidden="1" s="27">
      <c r="A1083" s="47" t="inlineStr">
        <is>
          <t>핀다이렉트</t>
        </is>
      </c>
      <c r="B1083" s="47" t="inlineStr">
        <is>
          <t>[L] 핀다이렉트e Xtra 2GB</t>
        </is>
      </c>
      <c r="C1083" s="47" t="inlineStr">
        <is>
          <t>100분</t>
        </is>
      </c>
      <c r="D1083" s="47" t="inlineStr">
        <is>
          <t>100건</t>
        </is>
      </c>
      <c r="E1083" s="47" t="inlineStr">
        <is>
          <t>월 2GB</t>
        </is>
      </c>
      <c r="F1083" s="47" t="inlineStr">
        <is>
          <t>LG U+</t>
        </is>
      </c>
      <c r="G1083" s="47" t="inlineStr">
        <is>
          <t>5G</t>
        </is>
      </c>
      <c r="H1083" s="48" t="n">
        <v>220</v>
      </c>
      <c r="I1083" s="48" t="n">
        <v>7</v>
      </c>
      <c r="J1083" s="48" t="n">
        <v>8800</v>
      </c>
      <c r="K1083" s="47">
        <f t="array" ref="K1083">_xlfn.XLOOKUP(1,(참조!$B$2:$B$15=E1083)*(참조!$D$2:$D$15=C1083)*(참조!$E$2:$E$15=D1083),참조!$C$2:$C$15,"")</f>
        <v/>
      </c>
    </row>
    <row r="1084" hidden="1" s="27">
      <c r="A1084" s="47" t="inlineStr">
        <is>
          <t>티플러스</t>
        </is>
      </c>
      <c r="B1084" s="47" t="inlineStr">
        <is>
          <t>티플 위드유 15GB+(300분) (G car+세차클링)</t>
        </is>
      </c>
      <c r="C1084" s="47" t="inlineStr">
        <is>
          <t>300분</t>
        </is>
      </c>
      <c r="D1084" s="47" t="inlineStr">
        <is>
          <t>300건</t>
        </is>
      </c>
      <c r="E1084" s="47" t="inlineStr">
        <is>
          <t>월 15GB + 3Mbps</t>
        </is>
      </c>
      <c r="F1084" s="47" t="inlineStr">
        <is>
          <t>SKT</t>
        </is>
      </c>
      <c r="G1084" s="47" t="inlineStr">
        <is>
          <t>LTE</t>
        </is>
      </c>
      <c r="H1084" s="48" t="n">
        <v>14900</v>
      </c>
      <c r="I1084" s="48" t="n">
        <v>7</v>
      </c>
      <c r="J1084" s="48" t="n">
        <v>37400</v>
      </c>
      <c r="K1084" s="47">
        <f t="array" ref="K1084">_xlfn.XLOOKUP(1,(참조!$B$2:$B$15=E1084)*(참조!$D$2:$D$15=C1084)*(참조!$E$2:$E$15=D1084),참조!$C$2:$C$15,"")</f>
        <v/>
      </c>
    </row>
    <row r="1085" hidden="1" s="27">
      <c r="A1085" s="47" t="inlineStr">
        <is>
          <t>LG헬로모바일</t>
        </is>
      </c>
      <c r="B1085" s="47" t="inlineStr">
        <is>
          <t>쿠폰팩 유심 15GB 100분</t>
        </is>
      </c>
      <c r="C1085" s="47" t="inlineStr">
        <is>
          <t>100분</t>
        </is>
      </c>
      <c r="D1085" s="47" t="inlineStr">
        <is>
          <t>100건</t>
        </is>
      </c>
      <c r="E1085" s="47" t="inlineStr">
        <is>
          <t>월 15GB + 3Mbps</t>
        </is>
      </c>
      <c r="F1085" s="47" t="inlineStr">
        <is>
          <t>LG U+</t>
        </is>
      </c>
      <c r="G1085" s="47" t="inlineStr">
        <is>
          <t>LTE</t>
        </is>
      </c>
      <c r="H1085" s="48" t="n">
        <v>31220</v>
      </c>
      <c r="I1085" s="48" t="n"/>
      <c r="J1085" s="48" t="n"/>
      <c r="K1085" s="47">
        <f t="array" ref="K1085">_xlfn.XLOOKUP(1,(참조!$B$2:$B$15=E1085)*(참조!$D$2:$D$15=C1085)*(참조!$E$2:$E$15=D1085),참조!$C$2:$C$15,"")</f>
        <v/>
      </c>
    </row>
    <row r="1086" hidden="1" s="27">
      <c r="A1086" s="47" t="inlineStr">
        <is>
          <t>시월모바일</t>
        </is>
      </c>
      <c r="B1086" s="47" t="inlineStr">
        <is>
          <t>쿠폰팩 통화기본11GB+매일2GB</t>
        </is>
      </c>
      <c r="C1086" s="47" t="inlineStr">
        <is>
          <t>무제한</t>
        </is>
      </c>
      <c r="D1086" s="47" t="inlineStr">
        <is>
          <t>무제한</t>
        </is>
      </c>
      <c r="E1086" s="47" t="inlineStr">
        <is>
          <t>월 11GB + 매일 2GB + 3Mbps</t>
        </is>
      </c>
      <c r="F1086" s="47" t="inlineStr">
        <is>
          <t>LG U+</t>
        </is>
      </c>
      <c r="G1086" s="47" t="inlineStr">
        <is>
          <t>LTE</t>
        </is>
      </c>
      <c r="H1086" s="48" t="n">
        <v>18790</v>
      </c>
      <c r="I1086" s="48" t="n">
        <v>7</v>
      </c>
      <c r="J1086" s="48" t="n">
        <v>41890</v>
      </c>
      <c r="K1086" s="47">
        <f t="array" ref="K1086">_xlfn.XLOOKUP(1,(참조!$B$2:$B$15=E1086)*(참조!$D$2:$D$15=C1086)*(참조!$E$2:$E$15=D1086),참조!$C$2:$C$15,"")</f>
        <v/>
      </c>
    </row>
    <row r="1087" hidden="1" s="27">
      <c r="A1087" s="47" t="inlineStr">
        <is>
          <t>인스모바일</t>
        </is>
      </c>
      <c r="B1087" s="47" t="inlineStr">
        <is>
          <t>[평생할인]데이터 안심 5GB+(USIM)</t>
        </is>
      </c>
      <c r="C1087" s="47" t="inlineStr">
        <is>
          <t>200분</t>
        </is>
      </c>
      <c r="D1087" s="47" t="inlineStr">
        <is>
          <t>100건</t>
        </is>
      </c>
      <c r="E1087" s="47" t="inlineStr">
        <is>
          <t>월 5GB + 1Mbps</t>
        </is>
      </c>
      <c r="F1087" s="47" t="inlineStr">
        <is>
          <t>LG U+</t>
        </is>
      </c>
      <c r="G1087" s="47" t="inlineStr">
        <is>
          <t>LTE</t>
        </is>
      </c>
      <c r="H1087" s="48" t="n">
        <v>6930</v>
      </c>
      <c r="I1087" s="48" t="n"/>
      <c r="J1087" s="48" t="n"/>
      <c r="K1087" s="47">
        <f t="array" ref="K1087">_xlfn.XLOOKUP(1,(참조!$B$2:$B$15=E1087)*(참조!$D$2:$D$15=C1087)*(참조!$E$2:$E$15=D1087),참조!$C$2:$C$15,"")</f>
        <v/>
      </c>
    </row>
    <row r="1088" hidden="1" s="27">
      <c r="A1088" s="47" t="inlineStr">
        <is>
          <t>KG모바일</t>
        </is>
      </c>
      <c r="B1088" s="47" t="inlineStr">
        <is>
          <t>[모빌카드 스페셜] 통화, 데이터 마음대로 7GB+</t>
        </is>
      </c>
      <c r="C1088" s="47" t="inlineStr">
        <is>
          <t>무제한</t>
        </is>
      </c>
      <c r="D1088" s="47" t="inlineStr">
        <is>
          <t>무제한</t>
        </is>
      </c>
      <c r="E1088" s="47" t="inlineStr">
        <is>
          <t>월 7GB + 1Mbps</t>
        </is>
      </c>
      <c r="F1088" s="47" t="inlineStr">
        <is>
          <t>LG U+</t>
        </is>
      </c>
      <c r="G1088" s="47" t="inlineStr">
        <is>
          <t>LTE</t>
        </is>
      </c>
      <c r="H1088" s="48" t="n">
        <v>7000</v>
      </c>
      <c r="I1088" s="48" t="n">
        <v>7</v>
      </c>
      <c r="J1088" s="48" t="n">
        <v>24200</v>
      </c>
      <c r="K1088" s="47">
        <f t="array" ref="K1088">_xlfn.XLOOKUP(1,(참조!$B$2:$B$15=E1088)*(참조!$D$2:$D$15=C1088)*(참조!$E$2:$E$15=D1088),참조!$C$2:$C$15,"")</f>
        <v/>
      </c>
    </row>
    <row r="1089" hidden="1" s="27">
      <c r="A1089" s="47" t="inlineStr">
        <is>
          <t>티플러스</t>
        </is>
      </c>
      <c r="B1089" s="47" t="inlineStr">
        <is>
          <t>KT 15GB+ (CU 매월 20%+올리브영 매월 5천원 상품권!)</t>
        </is>
      </c>
      <c r="C1089" s="47" t="inlineStr">
        <is>
          <t>무제한</t>
        </is>
      </c>
      <c r="D1089" s="47" t="inlineStr">
        <is>
          <t>무제한</t>
        </is>
      </c>
      <c r="E1089" s="47" t="inlineStr">
        <is>
          <t>월 15GB + 1Mbps</t>
        </is>
      </c>
      <c r="F1089" s="47" t="inlineStr">
        <is>
          <t>KT</t>
        </is>
      </c>
      <c r="G1089" s="47" t="inlineStr">
        <is>
          <t>LTE</t>
        </is>
      </c>
      <c r="H1089" s="48" t="n">
        <v>12900</v>
      </c>
      <c r="I1089" s="48" t="n">
        <v>7</v>
      </c>
      <c r="J1089" s="48" t="n">
        <v>31900</v>
      </c>
      <c r="K1089" s="47">
        <f t="array" ref="K1089">_xlfn.XLOOKUP(1,(참조!$B$2:$B$15=E1089)*(참조!$D$2:$D$15=C1089)*(참조!$E$2:$E$15=D1089),참조!$C$2:$C$15,"")</f>
        <v/>
      </c>
    </row>
    <row r="1090" hidden="1" s="27">
      <c r="A1090" s="47" t="inlineStr">
        <is>
          <t>티플러스</t>
        </is>
      </c>
      <c r="B1090" s="47" t="inlineStr">
        <is>
          <t>티플 15G＋(300분)(CU멤버십＋매월 5000P)</t>
        </is>
      </c>
      <c r="C1090" s="47" t="inlineStr">
        <is>
          <t>300분</t>
        </is>
      </c>
      <c r="D1090" s="47" t="inlineStr">
        <is>
          <t>300건</t>
        </is>
      </c>
      <c r="E1090" s="47" t="inlineStr">
        <is>
          <t>월 15GB + 3Mbps</t>
        </is>
      </c>
      <c r="F1090" s="47" t="inlineStr">
        <is>
          <t>SKT</t>
        </is>
      </c>
      <c r="G1090" s="47" t="inlineStr">
        <is>
          <t>LTE</t>
        </is>
      </c>
      <c r="H1090" s="48" t="n">
        <v>14900</v>
      </c>
      <c r="I1090" s="48" t="n">
        <v>7</v>
      </c>
      <c r="J1090" s="48" t="n">
        <v>41800</v>
      </c>
      <c r="K1090" s="47">
        <f t="array" ref="K1090">_xlfn.XLOOKUP(1,(참조!$B$2:$B$15=E1090)*(참조!$D$2:$D$15=C1090)*(참조!$E$2:$E$15=D1090),참조!$C$2:$C$15,"")</f>
        <v/>
      </c>
    </row>
    <row r="1091" hidden="1" s="27">
      <c r="A1091" s="47" t="inlineStr">
        <is>
          <t>아이즈모바일</t>
        </is>
      </c>
      <c r="B1091" s="47" t="inlineStr">
        <is>
          <t>[S]아이즈팩 100GB+</t>
        </is>
      </c>
      <c r="C1091" s="47" t="inlineStr">
        <is>
          <t>무제한</t>
        </is>
      </c>
      <c r="D1091" s="47" t="inlineStr">
        <is>
          <t>무제한</t>
        </is>
      </c>
      <c r="E1091" s="47" t="inlineStr">
        <is>
          <t>월 100GB + 5Mbps</t>
        </is>
      </c>
      <c r="F1091" s="47" t="inlineStr">
        <is>
          <t>SKT</t>
        </is>
      </c>
      <c r="G1091" s="47" t="inlineStr">
        <is>
          <t>LTE</t>
        </is>
      </c>
      <c r="H1091" s="48" t="n">
        <v>12500</v>
      </c>
      <c r="I1091" s="48" t="n">
        <v>7</v>
      </c>
      <c r="J1091" s="48" t="n">
        <v>53900</v>
      </c>
      <c r="K1091" s="47">
        <f t="array" ref="K1091">_xlfn.XLOOKUP(1,(참조!$B$2:$B$15=E1091)*(참조!$D$2:$D$15=C1091)*(참조!$E$2:$E$15=D1091),참조!$C$2:$C$15,"")</f>
        <v/>
      </c>
    </row>
    <row r="1092" hidden="1" s="27">
      <c r="A1092" s="47" t="inlineStr">
        <is>
          <t>아이즈모바일</t>
        </is>
      </c>
      <c r="B1092" s="47" t="inlineStr">
        <is>
          <t>[L]5G 데이터안심(100분/10GB+)</t>
        </is>
      </c>
      <c r="C1092" s="47" t="inlineStr">
        <is>
          <t>100분</t>
        </is>
      </c>
      <c r="D1092" s="47" t="inlineStr">
        <is>
          <t>100건</t>
        </is>
      </c>
      <c r="E1092" s="47" t="inlineStr">
        <is>
          <t>월 10GB + 1Mbps</t>
        </is>
      </c>
      <c r="F1092" s="47" t="inlineStr">
        <is>
          <t>LG U+</t>
        </is>
      </c>
      <c r="G1092" s="47" t="inlineStr">
        <is>
          <t>5G</t>
        </is>
      </c>
      <c r="H1092" s="48" t="n">
        <v>990</v>
      </c>
      <c r="I1092" s="48" t="n">
        <v>6</v>
      </c>
      <c r="J1092" s="48" t="n">
        <v>19800</v>
      </c>
      <c r="K1092" s="47">
        <f t="array" ref="K1092">_xlfn.XLOOKUP(1,(참조!$B$2:$B$15=E1092)*(참조!$D$2:$D$15=C1092)*(참조!$E$2:$E$15=D1092),참조!$C$2:$C$15,"")</f>
        <v/>
      </c>
    </row>
    <row r="1093" hidden="1" s="27">
      <c r="A1093" s="47" t="inlineStr">
        <is>
          <t>U+유모바일</t>
        </is>
      </c>
      <c r="B1093" s="47" t="inlineStr">
        <is>
          <t>[평생할인] 5G 150GB+/통화기본</t>
        </is>
      </c>
      <c r="C1093" s="47" t="inlineStr">
        <is>
          <t>무제한</t>
        </is>
      </c>
      <c r="D1093" s="47" t="inlineStr">
        <is>
          <t>무제한</t>
        </is>
      </c>
      <c r="E1093" s="47" t="inlineStr">
        <is>
          <t>월 150GB + 5Mbps</t>
        </is>
      </c>
      <c r="F1093" s="47" t="inlineStr">
        <is>
          <t>LG U+</t>
        </is>
      </c>
      <c r="G1093" s="47" t="inlineStr">
        <is>
          <t>5G</t>
        </is>
      </c>
      <c r="H1093" s="48" t="n">
        <v>47300</v>
      </c>
      <c r="I1093" s="48" t="n"/>
      <c r="J1093" s="48" t="n"/>
      <c r="K1093" s="47">
        <f t="array" ref="K1093">_xlfn.XLOOKUP(1,(참조!$B$2:$B$15=E1093)*(참조!$D$2:$D$15=C1093)*(참조!$E$2:$E$15=D1093),참조!$C$2:$C$15,"")</f>
        <v/>
      </c>
    </row>
    <row r="1094" hidden="1" s="27">
      <c r="A1094" s="47" t="inlineStr">
        <is>
          <t>고고모바일</t>
        </is>
      </c>
      <c r="B1094" s="47" t="inlineStr">
        <is>
          <t>무제한 15GB+1M(올리브영 매월 5000원)</t>
        </is>
      </c>
      <c r="C1094" s="47" t="inlineStr">
        <is>
          <t>무제한</t>
        </is>
      </c>
      <c r="D1094" s="47" t="inlineStr">
        <is>
          <t>무제한</t>
        </is>
      </c>
      <c r="E1094" s="47" t="inlineStr">
        <is>
          <t>월 15GB + 1Mbps</t>
        </is>
      </c>
      <c r="F1094" s="47" t="inlineStr">
        <is>
          <t>KT</t>
        </is>
      </c>
      <c r="G1094" s="47" t="inlineStr">
        <is>
          <t>LTE</t>
        </is>
      </c>
      <c r="H1094" s="48" t="n">
        <v>25960</v>
      </c>
      <c r="I1094" s="48" t="n"/>
      <c r="J1094" s="48" t="n"/>
      <c r="K1094" s="47">
        <f t="array" ref="K1094">_xlfn.XLOOKUP(1,(참조!$B$2:$B$15=E1094)*(참조!$D$2:$D$15=C1094)*(참조!$E$2:$E$15=D1094),참조!$C$2:$C$15,"")</f>
        <v/>
      </c>
    </row>
    <row r="1095" hidden="1" s="27">
      <c r="A1095" s="47" t="inlineStr">
        <is>
          <t>시월모바일</t>
        </is>
      </c>
      <c r="B1095" s="47" t="inlineStr">
        <is>
          <t>시월 무제한 7GB+1Mbps</t>
        </is>
      </c>
      <c r="C1095" s="47" t="inlineStr">
        <is>
          <t>무제한</t>
        </is>
      </c>
      <c r="D1095" s="47" t="inlineStr">
        <is>
          <t>무제한</t>
        </is>
      </c>
      <c r="E1095" s="47" t="inlineStr">
        <is>
          <t>월 7GB + 1Mbps</t>
        </is>
      </c>
      <c r="F1095" s="47" t="inlineStr">
        <is>
          <t>LG U+</t>
        </is>
      </c>
      <c r="G1095" s="47" t="inlineStr">
        <is>
          <t>LTE</t>
        </is>
      </c>
      <c r="H1095" s="48" t="n">
        <v>6060</v>
      </c>
      <c r="I1095" s="48" t="n">
        <v>7</v>
      </c>
      <c r="J1095" s="48" t="n">
        <v>19810</v>
      </c>
      <c r="K1095" s="47">
        <f t="array" ref="K1095">_xlfn.XLOOKUP(1,(참조!$B$2:$B$15=E1095)*(참조!$D$2:$D$15=C1095)*(참조!$E$2:$E$15=D1095),참조!$C$2:$C$15,"")</f>
        <v/>
      </c>
    </row>
    <row r="1096" hidden="1" s="27">
      <c r="A1096" s="47" t="inlineStr">
        <is>
          <t>에이모바일</t>
        </is>
      </c>
      <c r="B1096" s="47" t="inlineStr">
        <is>
          <t>A 넥스트 71GB+(네이버페이 1만x7개월)</t>
        </is>
      </c>
      <c r="C1096" s="47" t="inlineStr">
        <is>
          <t>무제한</t>
        </is>
      </c>
      <c r="D1096" s="47" t="inlineStr">
        <is>
          <t>무제한</t>
        </is>
      </c>
      <c r="E1096" s="47" t="inlineStr">
        <is>
          <t>월 11GB + 매일 2GB + 3Mbps</t>
        </is>
      </c>
      <c r="F1096" s="47" t="inlineStr">
        <is>
          <t>SKT</t>
        </is>
      </c>
      <c r="G1096" s="47" t="inlineStr">
        <is>
          <t>LTE</t>
        </is>
      </c>
      <c r="H1096" s="48" t="n">
        <v>13000</v>
      </c>
      <c r="I1096" s="48" t="n">
        <v>7</v>
      </c>
      <c r="J1096" s="48" t="n">
        <v>36300</v>
      </c>
      <c r="K1096" s="47">
        <f t="array" ref="K1096">_xlfn.XLOOKUP(1,(참조!$B$2:$B$15=E1096)*(참조!$D$2:$D$15=C1096)*(참조!$E$2:$E$15=D1096),참조!$C$2:$C$15,"")</f>
        <v/>
      </c>
    </row>
    <row r="1097" hidden="1" s="27">
      <c r="A1097" s="47" t="inlineStr">
        <is>
          <t>티플러스</t>
        </is>
      </c>
      <c r="B1097" s="47" t="inlineStr">
        <is>
          <t>The 완전마음껏 7GB＋</t>
        </is>
      </c>
      <c r="C1097" s="47" t="inlineStr">
        <is>
          <t>무제한</t>
        </is>
      </c>
      <c r="D1097" s="47" t="inlineStr">
        <is>
          <t>무제한</t>
        </is>
      </c>
      <c r="E1097" s="47" t="inlineStr">
        <is>
          <t>월 7GB + 1Mbps</t>
        </is>
      </c>
      <c r="F1097" s="47" t="inlineStr">
        <is>
          <t>SKT</t>
        </is>
      </c>
      <c r="G1097" s="47" t="inlineStr">
        <is>
          <t>LTE</t>
        </is>
      </c>
      <c r="H1097" s="48" t="n">
        <v>6900</v>
      </c>
      <c r="I1097" s="48" t="n">
        <v>7</v>
      </c>
      <c r="J1097" s="48" t="n">
        <v>25300</v>
      </c>
      <c r="K1097" s="47">
        <f t="array" ref="K1097">_xlfn.XLOOKUP(1,(참조!$B$2:$B$15=E1097)*(참조!$D$2:$D$15=C1097)*(참조!$E$2:$E$15=D1097),참조!$C$2:$C$15,"")</f>
        <v/>
      </c>
    </row>
    <row r="1098" hidden="1" s="27">
      <c r="A1098" s="47" t="inlineStr">
        <is>
          <t>아이즈모바일</t>
        </is>
      </c>
      <c r="B1098" s="47" t="inlineStr">
        <is>
          <t>[K]울트라(300분/15GB)</t>
        </is>
      </c>
      <c r="C1098" s="47" t="inlineStr">
        <is>
          <t>300분</t>
        </is>
      </c>
      <c r="D1098" s="47" t="inlineStr">
        <is>
          <t>200건</t>
        </is>
      </c>
      <c r="E1098" s="47" t="inlineStr">
        <is>
          <t>월 15GB</t>
        </is>
      </c>
      <c r="F1098" s="47" t="inlineStr">
        <is>
          <t>KT</t>
        </is>
      </c>
      <c r="G1098" s="47" t="inlineStr">
        <is>
          <t>LTE</t>
        </is>
      </c>
      <c r="H1098" s="48" t="n">
        <v>10</v>
      </c>
      <c r="I1098" s="48" t="n">
        <v>10</v>
      </c>
      <c r="J1098" s="48" t="n">
        <v>25300</v>
      </c>
      <c r="K1098" s="47">
        <f t="array" ref="K1098">_xlfn.XLOOKUP(1,(참조!$B$2:$B$15=E1098)*(참조!$D$2:$D$15=C1098)*(참조!$E$2:$E$15=D1098),참조!$C$2:$C$15,"")</f>
        <v/>
      </c>
    </row>
    <row r="1099" hidden="1" s="27">
      <c r="A1099" s="47" t="inlineStr">
        <is>
          <t>에이모바일</t>
        </is>
      </c>
      <c r="B1099" s="47" t="inlineStr">
        <is>
          <t>A 5G 스페셜 슈퍼 (24개월)</t>
        </is>
      </c>
      <c r="C1099" s="47" t="inlineStr">
        <is>
          <t>무제한</t>
        </is>
      </c>
      <c r="D1099" s="47" t="inlineStr">
        <is>
          <t>무제한</t>
        </is>
      </c>
      <c r="E1099" s="47" t="inlineStr">
        <is>
          <t>월 95GB + 3Mbps</t>
        </is>
      </c>
      <c r="F1099" s="47" t="inlineStr">
        <is>
          <t>LG U+</t>
        </is>
      </c>
      <c r="G1099" s="47" t="inlineStr">
        <is>
          <t>5G</t>
        </is>
      </c>
      <c r="H1099" s="48" t="n">
        <v>25300</v>
      </c>
      <c r="I1099" s="48" t="n">
        <v>24</v>
      </c>
      <c r="J1099" s="48" t="n">
        <v>48400</v>
      </c>
      <c r="K1099" s="47">
        <f t="array" ref="K1099">_xlfn.XLOOKUP(1,(참조!$B$2:$B$15=E1099)*(참조!$D$2:$D$15=C1099)*(참조!$E$2:$E$15=D1099),참조!$C$2:$C$15,"")</f>
        <v/>
      </c>
    </row>
    <row r="1100" hidden="1" s="27">
      <c r="A1100" s="47" t="inlineStr">
        <is>
          <t>U+유모바일</t>
        </is>
      </c>
      <c r="B1100" s="47" t="inlineStr">
        <is>
          <t>[평생할인] 5GB/300분</t>
        </is>
      </c>
      <c r="C1100" s="47" t="inlineStr">
        <is>
          <t>300분</t>
        </is>
      </c>
      <c r="D1100" s="47" t="inlineStr">
        <is>
          <t>100건</t>
        </is>
      </c>
      <c r="E1100" s="47" t="inlineStr">
        <is>
          <t>월 5GB</t>
        </is>
      </c>
      <c r="F1100" s="47" t="inlineStr">
        <is>
          <t>LG U+</t>
        </is>
      </c>
      <c r="G1100" s="47" t="inlineStr">
        <is>
          <t>LTE</t>
        </is>
      </c>
      <c r="H1100" s="48" t="n">
        <v>10120</v>
      </c>
      <c r="I1100" s="48" t="n"/>
      <c r="J1100" s="48" t="n"/>
      <c r="K1100" s="47">
        <f t="array" ref="K1100">_xlfn.XLOOKUP(1,(참조!$B$2:$B$15=E1100)*(참조!$D$2:$D$15=C1100)*(참조!$E$2:$E$15=D1100),참조!$C$2:$C$15,"")</f>
        <v/>
      </c>
    </row>
    <row r="1101" hidden="1" s="27">
      <c r="A1101" s="47" t="inlineStr">
        <is>
          <t>KT스카이라이프</t>
        </is>
      </c>
      <c r="B1101" s="47" t="inlineStr">
        <is>
          <t>모두 충분 7GB+(모아진)</t>
        </is>
      </c>
      <c r="C1101" s="47" t="inlineStr">
        <is>
          <t>무제한</t>
        </is>
      </c>
      <c r="D1101" s="47" t="inlineStr">
        <is>
          <t>무제한</t>
        </is>
      </c>
      <c r="E1101" s="47" t="inlineStr">
        <is>
          <t>월 7GB + 1Mbps</t>
        </is>
      </c>
      <c r="F1101" s="47" t="inlineStr">
        <is>
          <t>KT</t>
        </is>
      </c>
      <c r="G1101" s="47" t="inlineStr">
        <is>
          <t>LTE</t>
        </is>
      </c>
      <c r="H1101" s="48" t="n">
        <v>16700</v>
      </c>
      <c r="I1101" s="48" t="n"/>
      <c r="J1101" s="48" t="n"/>
      <c r="K1101" s="47">
        <f t="array" ref="K1101">_xlfn.XLOOKUP(1,(참조!$B$2:$B$15=E1101)*(참조!$D$2:$D$15=C1101)*(참조!$E$2:$E$15=D1101),참조!$C$2:$C$15,"")</f>
        <v/>
      </c>
    </row>
    <row r="1102" hidden="1" s="27">
      <c r="A1102" s="47" t="inlineStr">
        <is>
          <t>KT엠모바일</t>
        </is>
      </c>
      <c r="B1102" s="47" t="inlineStr">
        <is>
          <t>모두다 맘껏 100GB+(쿠팡캐시 5000원)</t>
        </is>
      </c>
      <c r="C1102" s="47" t="inlineStr">
        <is>
          <t>무제한</t>
        </is>
      </c>
      <c r="D1102" s="47" t="inlineStr">
        <is>
          <t>무제한</t>
        </is>
      </c>
      <c r="E1102" s="47" t="inlineStr">
        <is>
          <t>월 100GB + 5Mbps</t>
        </is>
      </c>
      <c r="F1102" s="47" t="inlineStr">
        <is>
          <t>KT</t>
        </is>
      </c>
      <c r="G1102" s="47" t="inlineStr">
        <is>
          <t>LTE</t>
        </is>
      </c>
      <c r="H1102" s="48" t="n">
        <v>40500</v>
      </c>
      <c r="I1102" s="48" t="n"/>
      <c r="J1102" s="48" t="n"/>
      <c r="K1102" s="47">
        <f t="array" ref="K1102">_xlfn.XLOOKUP(1,(참조!$B$2:$B$15=E1102)*(참조!$D$2:$D$15=C1102)*(참조!$E$2:$E$15=D1102),참조!$C$2:$C$15,"")</f>
        <v/>
      </c>
    </row>
    <row r="1103" hidden="1" s="27">
      <c r="A1103" s="47" t="inlineStr">
        <is>
          <t>모빙</t>
        </is>
      </c>
      <c r="B1103" s="47" t="inlineStr">
        <is>
          <t>모빙 300분20GB</t>
        </is>
      </c>
      <c r="C1103" s="47" t="inlineStr">
        <is>
          <t>300분</t>
        </is>
      </c>
      <c r="D1103" s="47" t="inlineStr">
        <is>
          <t>300건</t>
        </is>
      </c>
      <c r="E1103" s="47" t="inlineStr">
        <is>
          <t>월 20GB</t>
        </is>
      </c>
      <c r="F1103" s="47" t="inlineStr">
        <is>
          <t>SKT</t>
        </is>
      </c>
      <c r="G1103" s="47" t="inlineStr">
        <is>
          <t>LTE</t>
        </is>
      </c>
      <c r="H1103" s="48" t="n">
        <v>9900</v>
      </c>
      <c r="I1103" s="48" t="n"/>
      <c r="J1103" s="48" t="n"/>
      <c r="K1103" s="47">
        <f t="array" ref="K1103">_xlfn.XLOOKUP(1,(참조!$B$2:$B$15=E1103)*(참조!$D$2:$D$15=C1103)*(참조!$E$2:$E$15=D1103),참조!$C$2:$C$15,"")</f>
        <v/>
      </c>
    </row>
    <row r="1104" hidden="1" s="27">
      <c r="A1104" s="47" t="inlineStr">
        <is>
          <t>에이모바일</t>
        </is>
      </c>
      <c r="B1104" s="47" t="inlineStr">
        <is>
          <t>A 넥스트 15GB+/300분</t>
        </is>
      </c>
      <c r="C1104" s="47" t="inlineStr">
        <is>
          <t>300분</t>
        </is>
      </c>
      <c r="D1104" s="47" t="inlineStr">
        <is>
          <t>300건</t>
        </is>
      </c>
      <c r="E1104" s="47" t="inlineStr">
        <is>
          <t>월 15GB + 3Mbps</t>
        </is>
      </c>
      <c r="F1104" s="47" t="inlineStr">
        <is>
          <t>SKT</t>
        </is>
      </c>
      <c r="G1104" s="47" t="inlineStr">
        <is>
          <t>LTE</t>
        </is>
      </c>
      <c r="H1104" s="48" t="n">
        <v>6001</v>
      </c>
      <c r="I1104" s="48" t="n">
        <v>7</v>
      </c>
      <c r="J1104" s="48" t="n">
        <v>29900</v>
      </c>
      <c r="K1104" s="47">
        <f t="array" ref="K1104">_xlfn.XLOOKUP(1,(참조!$B$2:$B$15=E1104)*(참조!$D$2:$D$15=C1104)*(참조!$E$2:$E$15=D1104),참조!$C$2:$C$15,"")</f>
        <v/>
      </c>
    </row>
    <row r="1105" hidden="1" s="27">
      <c r="A1105" s="47" t="inlineStr">
        <is>
          <t>찬스모바일</t>
        </is>
      </c>
      <c r="B1105" s="47" t="inlineStr">
        <is>
          <t>음성기본 맥스150GB+</t>
        </is>
      </c>
      <c r="C1105" s="47" t="inlineStr">
        <is>
          <t>무제한</t>
        </is>
      </c>
      <c r="D1105" s="47" t="inlineStr">
        <is>
          <t>무제한</t>
        </is>
      </c>
      <c r="E1105" s="47" t="inlineStr">
        <is>
          <t>월 150GB + 5Mbps</t>
        </is>
      </c>
      <c r="F1105" s="47" t="inlineStr">
        <is>
          <t>LG U+</t>
        </is>
      </c>
      <c r="G1105" s="47" t="inlineStr">
        <is>
          <t>5G</t>
        </is>
      </c>
      <c r="H1105" s="48" t="n">
        <v>30800</v>
      </c>
      <c r="I1105" s="48" t="n">
        <v>7</v>
      </c>
      <c r="J1105" s="48" t="n">
        <v>64900</v>
      </c>
      <c r="K1105" s="47">
        <f t="array" ref="K1105">_xlfn.XLOOKUP(1,(참조!$B$2:$B$15=E1105)*(참조!$D$2:$D$15=C1105)*(참조!$E$2:$E$15=D1105),참조!$C$2:$C$15,"")</f>
        <v/>
      </c>
    </row>
    <row r="1106" hidden="1" s="27">
      <c r="A1106" s="47" t="inlineStr">
        <is>
          <t>티플러스</t>
        </is>
      </c>
      <c r="B1106" s="47" t="inlineStr">
        <is>
          <t>티플 위드유 7GB+ (G car+세차클링)</t>
        </is>
      </c>
      <c r="C1106" s="47" t="inlineStr">
        <is>
          <t>무제한</t>
        </is>
      </c>
      <c r="D1106" s="47" t="inlineStr">
        <is>
          <t>무제한</t>
        </is>
      </c>
      <c r="E1106" s="47" t="inlineStr">
        <is>
          <t>월 7GB + 1Mbps</t>
        </is>
      </c>
      <c r="F1106" s="47" t="inlineStr">
        <is>
          <t>SKT</t>
        </is>
      </c>
      <c r="G1106" s="47" t="inlineStr">
        <is>
          <t>LTE</t>
        </is>
      </c>
      <c r="H1106" s="48" t="n">
        <v>6900</v>
      </c>
      <c r="I1106" s="48" t="n">
        <v>7</v>
      </c>
      <c r="J1106" s="48" t="n">
        <v>25300</v>
      </c>
      <c r="K1106" s="47">
        <f t="array" ref="K1106">_xlfn.XLOOKUP(1,(참조!$B$2:$B$15=E1106)*(참조!$D$2:$D$15=C1106)*(참조!$E$2:$E$15=D1106),참조!$C$2:$C$15,"")</f>
        <v/>
      </c>
    </row>
    <row r="1107" hidden="1" s="27">
      <c r="A1107" s="47" t="inlineStr">
        <is>
          <t>LG헬로모바일</t>
        </is>
      </c>
      <c r="B1107" s="47" t="inlineStr">
        <is>
          <t>5G 유심 중간요금제 125GB</t>
        </is>
      </c>
      <c r="C1107" s="47" t="inlineStr">
        <is>
          <t>무제한</t>
        </is>
      </c>
      <c r="D1107" s="47" t="inlineStr">
        <is>
          <t>무제한</t>
        </is>
      </c>
      <c r="E1107" s="47" t="inlineStr">
        <is>
          <t>월 125GB + 5Mbps</t>
        </is>
      </c>
      <c r="F1107" s="47" t="inlineStr">
        <is>
          <t>LG U+</t>
        </is>
      </c>
      <c r="G1107" s="47" t="inlineStr">
        <is>
          <t>5G</t>
        </is>
      </c>
      <c r="H1107" s="48" t="n">
        <v>43000</v>
      </c>
      <c r="I1107" s="48" t="n"/>
      <c r="J1107" s="48" t="n"/>
      <c r="K1107" s="47">
        <f t="array" ref="K1107">_xlfn.XLOOKUP(1,(참조!$B$2:$B$15=E1107)*(참조!$D$2:$D$15=C1107)*(참조!$E$2:$E$15=D1107),참조!$C$2:$C$15,"")</f>
        <v/>
      </c>
    </row>
    <row r="1108" hidden="1" s="27">
      <c r="A1108" s="47" t="inlineStr">
        <is>
          <t>시월모바일</t>
        </is>
      </c>
      <c r="B1108" s="47" t="inlineStr">
        <is>
          <t>쿠폰팩 100분15GB+</t>
        </is>
      </c>
      <c r="C1108" s="47" t="inlineStr">
        <is>
          <t>100분</t>
        </is>
      </c>
      <c r="D1108" s="47" t="inlineStr">
        <is>
          <t>100건</t>
        </is>
      </c>
      <c r="E1108" s="47" t="inlineStr">
        <is>
          <t>월 15GB + 3Mbps</t>
        </is>
      </c>
      <c r="F1108" s="47" t="inlineStr">
        <is>
          <t>LG U+</t>
        </is>
      </c>
      <c r="G1108" s="47" t="inlineStr">
        <is>
          <t>LTE</t>
        </is>
      </c>
      <c r="H1108" s="48" t="n">
        <v>15460</v>
      </c>
      <c r="I1108" s="48" t="n">
        <v>7</v>
      </c>
      <c r="J1108" s="48" t="n">
        <v>33060</v>
      </c>
      <c r="K1108" s="47">
        <f t="array" ref="K1108">_xlfn.XLOOKUP(1,(참조!$B$2:$B$15=E1108)*(참조!$D$2:$D$15=C1108)*(참조!$E$2:$E$15=D1108),참조!$C$2:$C$15,"")</f>
        <v/>
      </c>
    </row>
    <row r="1109" hidden="1" s="27">
      <c r="A1109" s="47" t="inlineStr">
        <is>
          <t>U+유모바일</t>
        </is>
      </c>
      <c r="B1109" s="47" t="inlineStr">
        <is>
          <t>[평생할인] 5G 5GB/통화기본</t>
        </is>
      </c>
      <c r="C1109" s="47" t="inlineStr">
        <is>
          <t>무제한</t>
        </is>
      </c>
      <c r="D1109" s="47" t="inlineStr">
        <is>
          <t>무제한</t>
        </is>
      </c>
      <c r="E1109" s="47" t="inlineStr">
        <is>
          <t>월 5GB</t>
        </is>
      </c>
      <c r="F1109" s="47" t="inlineStr">
        <is>
          <t>LG U+</t>
        </is>
      </c>
      <c r="G1109" s="47" t="inlineStr">
        <is>
          <t>5G</t>
        </is>
      </c>
      <c r="H1109" s="48" t="n">
        <v>9900</v>
      </c>
      <c r="I1109" s="48" t="n"/>
      <c r="J1109" s="48" t="n"/>
      <c r="K1109" s="47">
        <f t="array" ref="K1109">_xlfn.XLOOKUP(1,(참조!$B$2:$B$15=E1109)*(참조!$D$2:$D$15=C1109)*(참조!$E$2:$E$15=D1109),참조!$C$2:$C$15,"")</f>
        <v/>
      </c>
    </row>
    <row r="1110" hidden="1" s="27">
      <c r="A1110" s="47" t="inlineStr">
        <is>
          <t>KT스카이라이프</t>
        </is>
      </c>
      <c r="B1110" s="47" t="inlineStr">
        <is>
          <t>통화 충분 4.5GB</t>
        </is>
      </c>
      <c r="C1110" s="47" t="inlineStr">
        <is>
          <t>무제한</t>
        </is>
      </c>
      <c r="D1110" s="47" t="inlineStr">
        <is>
          <t>무제한</t>
        </is>
      </c>
      <c r="E1110" s="47" t="inlineStr">
        <is>
          <t>월 4.5GB</t>
        </is>
      </c>
      <c r="F1110" s="47" t="inlineStr">
        <is>
          <t>KT</t>
        </is>
      </c>
      <c r="G1110" s="47" t="inlineStr">
        <is>
          <t>LTE</t>
        </is>
      </c>
      <c r="H1110" s="48" t="n">
        <v>8850</v>
      </c>
      <c r="I1110" s="48" t="n"/>
      <c r="J1110" s="48" t="n"/>
      <c r="K1110" s="47">
        <f t="array" ref="K1110">_xlfn.XLOOKUP(1,(참조!$B$2:$B$15=E1110)*(참조!$D$2:$D$15=C1110)*(참조!$E$2:$E$15=D1110),참조!$C$2:$C$15,"")</f>
        <v/>
      </c>
    </row>
    <row r="1111" hidden="1" s="27">
      <c r="A1111" s="47" t="inlineStr">
        <is>
          <t>이야기모바일</t>
        </is>
      </c>
      <c r="B1111" s="47" t="inlineStr">
        <is>
          <t>이야기 라이트S 7GB+</t>
        </is>
      </c>
      <c r="C1111" s="47" t="inlineStr">
        <is>
          <t>무제한</t>
        </is>
      </c>
      <c r="D1111" s="47" t="inlineStr">
        <is>
          <t>무제한</t>
        </is>
      </c>
      <c r="E1111" s="47" t="inlineStr">
        <is>
          <t>월 7GB + 1Mbps</t>
        </is>
      </c>
      <c r="F1111" s="47" t="inlineStr">
        <is>
          <t>SKT</t>
        </is>
      </c>
      <c r="G1111" s="47" t="inlineStr">
        <is>
          <t>LTE</t>
        </is>
      </c>
      <c r="H1111" s="48" t="n">
        <v>18700</v>
      </c>
      <c r="I1111" s="48" t="n"/>
      <c r="J1111" s="48" t="n"/>
      <c r="K1111" s="47">
        <f t="array" ref="K1111">_xlfn.XLOOKUP(1,(참조!$B$2:$B$15=E1111)*(참조!$D$2:$D$15=C1111)*(참조!$E$2:$E$15=D1111),참조!$C$2:$C$15,"")</f>
        <v/>
      </c>
    </row>
    <row r="1112" hidden="1" s="27">
      <c r="A1112" s="47" t="inlineStr">
        <is>
          <t>더원모바일</t>
        </is>
      </c>
      <c r="B1112" s="47" t="inlineStr">
        <is>
          <t>TOP 5G 200GB 기본 (밀리의서재)</t>
        </is>
      </c>
      <c r="C1112" s="47" t="inlineStr">
        <is>
          <t>무제한</t>
        </is>
      </c>
      <c r="D1112" s="47" t="inlineStr">
        <is>
          <t>무제한</t>
        </is>
      </c>
      <c r="E1112" s="47" t="inlineStr">
        <is>
          <t>월 200GB + 10Mbps</t>
        </is>
      </c>
      <c r="F1112" s="47" t="inlineStr">
        <is>
          <t>KT</t>
        </is>
      </c>
      <c r="G1112" s="47" t="inlineStr">
        <is>
          <t>5G</t>
        </is>
      </c>
      <c r="H1112" s="48" t="n">
        <v>22000</v>
      </c>
      <c r="I1112" s="48" t="n">
        <v>7</v>
      </c>
      <c r="J1112" s="48" t="n">
        <v>55000</v>
      </c>
      <c r="K1112" s="47">
        <f t="array" ref="K1112">_xlfn.XLOOKUP(1,(참조!$B$2:$B$15=E1112)*(참조!$D$2:$D$15=C1112)*(참조!$E$2:$E$15=D1112),참조!$C$2:$C$15,"")</f>
        <v/>
      </c>
    </row>
    <row r="1113" hidden="1" s="27">
      <c r="A1113" s="47" t="inlineStr">
        <is>
          <t>에이모바일</t>
        </is>
      </c>
      <c r="B1113" s="47" t="inlineStr">
        <is>
          <t>A 스마트 10GB/100분</t>
        </is>
      </c>
      <c r="C1113" s="47" t="inlineStr">
        <is>
          <t>100분</t>
        </is>
      </c>
      <c r="D1113" s="47" t="inlineStr">
        <is>
          <t>100건</t>
        </is>
      </c>
      <c r="E1113" s="47" t="inlineStr">
        <is>
          <t>월 10GB</t>
        </is>
      </c>
      <c r="F1113" s="47" t="inlineStr">
        <is>
          <t>SKT</t>
        </is>
      </c>
      <c r="G1113" s="47" t="inlineStr">
        <is>
          <t>LTE</t>
        </is>
      </c>
      <c r="H1113" s="48" t="n">
        <v>110</v>
      </c>
      <c r="I1113" s="48" t="n">
        <v>7</v>
      </c>
      <c r="J1113" s="48" t="n">
        <v>12100</v>
      </c>
      <c r="K1113" s="47">
        <f t="array" ref="K1113">_xlfn.XLOOKUP(1,(참조!$B$2:$B$15=E1113)*(참조!$D$2:$D$15=C1113)*(참조!$E$2:$E$15=D1113),참조!$C$2:$C$15,"")</f>
        <v/>
      </c>
    </row>
    <row r="1114" hidden="1" s="27">
      <c r="A1114" s="47" t="inlineStr">
        <is>
          <t>KT스카이라이프</t>
        </is>
      </c>
      <c r="B1114" s="47" t="inlineStr">
        <is>
          <t>모두 충분 7GB+(다이소_5000)</t>
        </is>
      </c>
      <c r="C1114" s="47" t="inlineStr">
        <is>
          <t>무제한</t>
        </is>
      </c>
      <c r="D1114" s="47" t="inlineStr">
        <is>
          <t>무제한</t>
        </is>
      </c>
      <c r="E1114" s="47" t="inlineStr">
        <is>
          <t>월 7GB + 1Mbps</t>
        </is>
      </c>
      <c r="F1114" s="47" t="inlineStr">
        <is>
          <t>KT</t>
        </is>
      </c>
      <c r="G1114" s="47" t="inlineStr">
        <is>
          <t>LTE</t>
        </is>
      </c>
      <c r="H1114" s="48" t="n">
        <v>19000</v>
      </c>
      <c r="I1114" s="48" t="n"/>
      <c r="J1114" s="48" t="n"/>
      <c r="K1114" s="47">
        <f t="array" ref="K1114">_xlfn.XLOOKUP(1,(참조!$B$2:$B$15=E1114)*(참조!$D$2:$D$15=C1114)*(참조!$E$2:$E$15=D1114),참조!$C$2:$C$15,"")</f>
        <v/>
      </c>
    </row>
    <row r="1115" hidden="1" s="27">
      <c r="A1115" s="47" t="inlineStr">
        <is>
          <t>모빙</t>
        </is>
      </c>
      <c r="B1115" s="47" t="inlineStr">
        <is>
          <t>[L] 5G 데이터 95GB+</t>
        </is>
      </c>
      <c r="C1115" s="47" t="inlineStr">
        <is>
          <t>무제한</t>
        </is>
      </c>
      <c r="D1115" s="47" t="inlineStr">
        <is>
          <t>무제한</t>
        </is>
      </c>
      <c r="E1115" s="47" t="inlineStr">
        <is>
          <t>월 95GB + 3Mbps</t>
        </is>
      </c>
      <c r="F1115" s="47" t="inlineStr">
        <is>
          <t>LG U+</t>
        </is>
      </c>
      <c r="G1115" s="47" t="inlineStr">
        <is>
          <t>5G</t>
        </is>
      </c>
      <c r="H1115" s="48" t="n">
        <v>9900</v>
      </c>
      <c r="I1115" s="48" t="n">
        <v>7</v>
      </c>
      <c r="J1115" s="48" t="n">
        <v>51700</v>
      </c>
      <c r="K1115" s="47">
        <f t="array" ref="K1115">_xlfn.XLOOKUP(1,(참조!$B$2:$B$15=E1115)*(참조!$D$2:$D$15=C1115)*(참조!$E$2:$E$15=D1115),참조!$C$2:$C$15,"")</f>
        <v/>
      </c>
    </row>
    <row r="1116" hidden="1" s="27">
      <c r="A1116" s="47" t="inlineStr">
        <is>
          <t>모빙</t>
        </is>
      </c>
      <c r="B1116" s="47" t="inlineStr">
        <is>
          <t>[L] 데이터 매일5GB+_24개월</t>
        </is>
      </c>
      <c r="C1116" s="47" t="inlineStr">
        <is>
          <t>무제한</t>
        </is>
      </c>
      <c r="D1116" s="47" t="inlineStr">
        <is>
          <t>무제한</t>
        </is>
      </c>
      <c r="E1116" s="47" t="inlineStr">
        <is>
          <t>매일 5GB + 5Mbps</t>
        </is>
      </c>
      <c r="F1116" s="47" t="inlineStr">
        <is>
          <t>LG U+</t>
        </is>
      </c>
      <c r="G1116" s="47" t="inlineStr">
        <is>
          <t>LTE</t>
        </is>
      </c>
      <c r="H1116" s="48" t="n">
        <v>28000</v>
      </c>
      <c r="I1116" s="48" t="n">
        <v>24</v>
      </c>
      <c r="J1116" s="48" t="n">
        <v>53900</v>
      </c>
      <c r="K1116" s="47">
        <f t="array" ref="K1116">_xlfn.XLOOKUP(1,(참조!$B$2:$B$15=E1116)*(참조!$D$2:$D$15=C1116)*(참조!$E$2:$E$15=D1116),참조!$C$2:$C$15,"")</f>
        <v/>
      </c>
    </row>
    <row r="1117" hidden="1" s="27">
      <c r="A1117" s="47" t="inlineStr">
        <is>
          <t>KT스카이라이프</t>
        </is>
      </c>
      <c r="B1117" s="47" t="inlineStr">
        <is>
          <t>모두 충분 7GB+(Pay_5000)</t>
        </is>
      </c>
      <c r="C1117" s="47" t="inlineStr">
        <is>
          <t>무제한</t>
        </is>
      </c>
      <c r="D1117" s="47" t="inlineStr">
        <is>
          <t>무제한</t>
        </is>
      </c>
      <c r="E1117" s="47" t="inlineStr">
        <is>
          <t>월 7GB + 1Mbps</t>
        </is>
      </c>
      <c r="F1117" s="47" t="inlineStr">
        <is>
          <t>KT</t>
        </is>
      </c>
      <c r="G1117" s="47" t="inlineStr">
        <is>
          <t>LTE</t>
        </is>
      </c>
      <c r="H1117" s="48" t="n">
        <v>19000</v>
      </c>
      <c r="I1117" s="48" t="n"/>
      <c r="J1117" s="48" t="n"/>
      <c r="K1117" s="47">
        <f t="array" ref="K1117">_xlfn.XLOOKUP(1,(참조!$B$2:$B$15=E1117)*(참조!$D$2:$D$15=C1117)*(참조!$E$2:$E$15=D1117),참조!$C$2:$C$15,"")</f>
        <v/>
      </c>
    </row>
    <row r="1118" hidden="1" s="27">
      <c r="A1118" s="47" t="inlineStr">
        <is>
          <t>고고모바일</t>
        </is>
      </c>
      <c r="B1118" s="47" t="inlineStr">
        <is>
          <t>무제한 11GB+3M(다이소 매월 5000원)</t>
        </is>
      </c>
      <c r="C1118" s="47" t="inlineStr">
        <is>
          <t>무제한</t>
        </is>
      </c>
      <c r="D1118" s="47" t="inlineStr">
        <is>
          <t>무제한</t>
        </is>
      </c>
      <c r="E1118" s="47" t="inlineStr">
        <is>
          <t>월 11GB + 매일 2GB + 3Mbps</t>
        </is>
      </c>
      <c r="F1118" s="47" t="inlineStr">
        <is>
          <t>KT</t>
        </is>
      </c>
      <c r="G1118" s="47" t="inlineStr">
        <is>
          <t>LTE</t>
        </is>
      </c>
      <c r="H1118" s="48" t="n">
        <v>39160</v>
      </c>
      <c r="I1118" s="48" t="n"/>
      <c r="J1118" s="48" t="n"/>
      <c r="K1118" s="47">
        <f t="array" ref="K1118">_xlfn.XLOOKUP(1,(참조!$B$2:$B$15=E1118)*(참조!$D$2:$D$15=C1118)*(참조!$E$2:$E$15=D1118),참조!$C$2:$C$15,"")</f>
        <v/>
      </c>
    </row>
    <row r="1119" hidden="1" s="27">
      <c r="A1119" s="47" t="inlineStr">
        <is>
          <t>인스모바일</t>
        </is>
      </c>
      <c r="B1119" s="47" t="inlineStr">
        <is>
          <t>[평생할인]인스 유심 스트롱 100GB+</t>
        </is>
      </c>
      <c r="C1119" s="47" t="inlineStr">
        <is>
          <t>무제한</t>
        </is>
      </c>
      <c r="D1119" s="47" t="inlineStr">
        <is>
          <t>무제한</t>
        </is>
      </c>
      <c r="E1119" s="47" t="inlineStr">
        <is>
          <t>월 100GB + 5Mbps</t>
        </is>
      </c>
      <c r="F1119" s="47" t="inlineStr">
        <is>
          <t>LG U+</t>
        </is>
      </c>
      <c r="G1119" s="47" t="inlineStr">
        <is>
          <t>LTE</t>
        </is>
      </c>
      <c r="H1119" s="48" t="n">
        <v>35450</v>
      </c>
      <c r="I1119" s="48" t="n"/>
      <c r="J1119" s="48" t="n"/>
      <c r="K1119" s="47">
        <f t="array" ref="K1119">_xlfn.XLOOKUP(1,(참조!$B$2:$B$15=E1119)*(참조!$D$2:$D$15=C1119)*(참조!$E$2:$E$15=D1119),참조!$C$2:$C$15,"")</f>
        <v/>
      </c>
    </row>
    <row r="1120" hidden="1" s="27">
      <c r="A1120" s="47" t="inlineStr">
        <is>
          <t>고고모바일</t>
        </is>
      </c>
      <c r="B1120" s="47" t="inlineStr">
        <is>
          <t>무제한11GB+3Mbps(배달의민족 매월 5,000포인트)</t>
        </is>
      </c>
      <c r="C1120" s="47" t="inlineStr">
        <is>
          <t>무제한</t>
        </is>
      </c>
      <c r="D1120" s="47" t="inlineStr">
        <is>
          <t>무제한</t>
        </is>
      </c>
      <c r="E1120" s="47" t="inlineStr">
        <is>
          <t>월 11GB + 매일 2GB + 3Mbps</t>
        </is>
      </c>
      <c r="F1120" s="47" t="inlineStr">
        <is>
          <t>KT</t>
        </is>
      </c>
      <c r="G1120" s="47" t="inlineStr">
        <is>
          <t>LTE</t>
        </is>
      </c>
      <c r="H1120" s="48" t="n">
        <v>39160</v>
      </c>
      <c r="I1120" s="48" t="n"/>
      <c r="J1120" s="48" t="n"/>
      <c r="K1120" s="47">
        <f t="array" ref="K1120">_xlfn.XLOOKUP(1,(참조!$B$2:$B$15=E1120)*(참조!$D$2:$D$15=C1120)*(참조!$E$2:$E$15=D1120),참조!$C$2:$C$15,"")</f>
        <v/>
      </c>
    </row>
    <row r="1121" hidden="1" s="27">
      <c r="A1121" s="47" t="inlineStr">
        <is>
          <t>KG모바일</t>
        </is>
      </c>
      <c r="B1121" s="47" t="inlineStr">
        <is>
          <t>[KG모바일 스페셜] 데이터 마음대로 (15GB+/100분)</t>
        </is>
      </c>
      <c r="C1121" s="47" t="inlineStr">
        <is>
          <t>100분</t>
        </is>
      </c>
      <c r="D1121" s="47" t="inlineStr">
        <is>
          <t>100건</t>
        </is>
      </c>
      <c r="E1121" s="47" t="inlineStr">
        <is>
          <t>월 15GB + 3Mbps</t>
        </is>
      </c>
      <c r="F1121" s="47" t="inlineStr">
        <is>
          <t>LG U+</t>
        </is>
      </c>
      <c r="G1121" s="47" t="inlineStr">
        <is>
          <t>LTE</t>
        </is>
      </c>
      <c r="H1121" s="48" t="n">
        <v>15000</v>
      </c>
      <c r="I1121" s="48" t="n">
        <v>7</v>
      </c>
      <c r="J1121" s="48" t="n">
        <v>33000</v>
      </c>
      <c r="K1121" s="47">
        <f t="array" ref="K1121">_xlfn.XLOOKUP(1,(참조!$B$2:$B$15=E1121)*(참조!$D$2:$D$15=C1121)*(참조!$E$2:$E$15=D1121),참조!$C$2:$C$15,"")</f>
        <v/>
      </c>
    </row>
    <row r="1122" hidden="1" s="27">
      <c r="A1122" s="47" t="inlineStr">
        <is>
          <t>에이모바일</t>
        </is>
      </c>
      <c r="B1122" s="47" t="inlineStr">
        <is>
          <t>A 스마트 5GB/100분</t>
        </is>
      </c>
      <c r="C1122" s="47" t="inlineStr">
        <is>
          <t>100분</t>
        </is>
      </c>
      <c r="D1122" s="47" t="inlineStr">
        <is>
          <t>100건</t>
        </is>
      </c>
      <c r="E1122" s="47" t="inlineStr">
        <is>
          <t>월 5GB</t>
        </is>
      </c>
      <c r="F1122" s="47" t="inlineStr">
        <is>
          <t>SKT</t>
        </is>
      </c>
      <c r="G1122" s="47" t="inlineStr">
        <is>
          <t>LTE</t>
        </is>
      </c>
      <c r="H1122" s="48" t="n">
        <v>330</v>
      </c>
      <c r="I1122" s="48" t="n">
        <v>12</v>
      </c>
      <c r="J1122" s="48" t="n">
        <v>8800</v>
      </c>
      <c r="K1122" s="47">
        <f t="array" ref="K1122">_xlfn.XLOOKUP(1,(참조!$B$2:$B$15=E1122)*(참조!$D$2:$D$15=C1122)*(참조!$E$2:$E$15=D1122),참조!$C$2:$C$15,"")</f>
        <v/>
      </c>
    </row>
    <row r="1123" hidden="1" s="27">
      <c r="A1123" s="47" t="inlineStr">
        <is>
          <t>이야기모바일</t>
        </is>
      </c>
      <c r="B1123" s="47" t="inlineStr">
        <is>
          <t>이야기 스탠다드 11GB+</t>
        </is>
      </c>
      <c r="C1123" s="47" t="inlineStr">
        <is>
          <t>무제한</t>
        </is>
      </c>
      <c r="D1123" s="47" t="inlineStr">
        <is>
          <t>무제한</t>
        </is>
      </c>
      <c r="E1123" s="47" t="inlineStr">
        <is>
          <t>월 11GB + 매일 2GB + 3Mbps</t>
        </is>
      </c>
      <c r="F1123" s="47" t="inlineStr">
        <is>
          <t>LG U+</t>
        </is>
      </c>
      <c r="G1123" s="47" t="inlineStr">
        <is>
          <t>LTE</t>
        </is>
      </c>
      <c r="H1123" s="48" t="n">
        <v>18000</v>
      </c>
      <c r="I1123" s="48" t="n">
        <v>7</v>
      </c>
      <c r="J1123" s="48" t="n">
        <v>39600</v>
      </c>
      <c r="K1123" s="47">
        <f t="array" ref="K1123">_xlfn.XLOOKUP(1,(참조!$B$2:$B$15=E1123)*(참조!$D$2:$D$15=C1123)*(참조!$E$2:$E$15=D1123),참조!$C$2:$C$15,"")</f>
        <v/>
      </c>
    </row>
    <row r="1124" hidden="1" s="27">
      <c r="A1124" s="47" t="inlineStr">
        <is>
          <t>인스모바일</t>
        </is>
      </c>
      <c r="B1124" s="47" t="inlineStr">
        <is>
          <t>실속 300분+3GB(USIM)</t>
        </is>
      </c>
      <c r="C1124" s="47" t="inlineStr">
        <is>
          <t>300분</t>
        </is>
      </c>
      <c r="D1124" s="47" t="inlineStr">
        <is>
          <t>100건</t>
        </is>
      </c>
      <c r="E1124" s="47" t="inlineStr">
        <is>
          <t>월 3GB</t>
        </is>
      </c>
      <c r="F1124" s="47" t="inlineStr">
        <is>
          <t>LG U+</t>
        </is>
      </c>
      <c r="G1124" s="47" t="inlineStr">
        <is>
          <t>LTE</t>
        </is>
      </c>
      <c r="H1124" s="48" t="n">
        <v>1100</v>
      </c>
      <c r="I1124" s="48" t="n">
        <v>6</v>
      </c>
      <c r="J1124" s="48" t="n">
        <v>17600</v>
      </c>
      <c r="K1124" s="47">
        <f t="array" ref="K1124">_xlfn.XLOOKUP(1,(참조!$B$2:$B$15=E1124)*(참조!$D$2:$D$15=C1124)*(참조!$E$2:$E$15=D1124),참조!$C$2:$C$15,"")</f>
        <v/>
      </c>
    </row>
    <row r="1125" hidden="1" s="27">
      <c r="A1125" s="47" t="inlineStr">
        <is>
          <t>티플러스</t>
        </is>
      </c>
      <c r="B1125" s="47" t="inlineStr">
        <is>
          <t>티플 위드유 10GB＋(G car)</t>
        </is>
      </c>
      <c r="C1125" s="47" t="inlineStr">
        <is>
          <t>무제한</t>
        </is>
      </c>
      <c r="D1125" s="47" t="inlineStr">
        <is>
          <t>무제한</t>
        </is>
      </c>
      <c r="E1125" s="47" t="inlineStr">
        <is>
          <t>월 10GB + 1Mbps</t>
        </is>
      </c>
      <c r="F1125" s="47" t="inlineStr">
        <is>
          <t>SKT</t>
        </is>
      </c>
      <c r="G1125" s="47" t="inlineStr">
        <is>
          <t>LTE</t>
        </is>
      </c>
      <c r="H1125" s="48" t="n">
        <v>4900</v>
      </c>
      <c r="I1125" s="48" t="n">
        <v>7</v>
      </c>
      <c r="J1125" s="48" t="n">
        <v>29700</v>
      </c>
      <c r="K1125" s="47">
        <f t="array" ref="K1125">_xlfn.XLOOKUP(1,(참조!$B$2:$B$15=E1125)*(참조!$D$2:$D$15=C1125)*(참조!$E$2:$E$15=D1125),참조!$C$2:$C$15,"")</f>
        <v/>
      </c>
    </row>
    <row r="1126" hidden="1" s="27">
      <c r="A1126" s="47" t="inlineStr">
        <is>
          <t>위너스텔</t>
        </is>
      </c>
      <c r="B1126" s="47" t="inlineStr">
        <is>
          <t>7GB+1Mbps(다이소쿠폰 5,000P)</t>
        </is>
      </c>
      <c r="C1126" s="47" t="inlineStr">
        <is>
          <t>무제한</t>
        </is>
      </c>
      <c r="D1126" s="47" t="inlineStr">
        <is>
          <t>무제한</t>
        </is>
      </c>
      <c r="E1126" s="47" t="inlineStr">
        <is>
          <t>월 7GB + 1Mbps</t>
        </is>
      </c>
      <c r="F1126" s="47" t="inlineStr">
        <is>
          <t>KT</t>
        </is>
      </c>
      <c r="G1126" s="47" t="inlineStr">
        <is>
          <t>LTE</t>
        </is>
      </c>
      <c r="H1126" s="48" t="n">
        <v>19800</v>
      </c>
      <c r="I1126" s="48" t="n"/>
      <c r="J1126" s="48" t="n"/>
      <c r="K1126" s="47">
        <f t="array" ref="K1126">_xlfn.XLOOKUP(1,(참조!$B$2:$B$15=E1126)*(참조!$D$2:$D$15=C1126)*(참조!$E$2:$E$15=D1126),참조!$C$2:$C$15,"")</f>
        <v/>
      </c>
    </row>
    <row r="1127" hidden="1" s="27">
      <c r="A1127" s="47" t="inlineStr">
        <is>
          <t>모빙</t>
        </is>
      </c>
      <c r="B1127" s="47" t="inlineStr">
        <is>
          <t>모빙 500분 7GB</t>
        </is>
      </c>
      <c r="C1127" s="47" t="inlineStr">
        <is>
          <t>500분</t>
        </is>
      </c>
      <c r="D1127" s="47" t="inlineStr">
        <is>
          <t>500건</t>
        </is>
      </c>
      <c r="E1127" s="47" t="inlineStr">
        <is>
          <t>월 7GB</t>
        </is>
      </c>
      <c r="F1127" s="47" t="inlineStr">
        <is>
          <t>SKT</t>
        </is>
      </c>
      <c r="G1127" s="47" t="inlineStr">
        <is>
          <t>LTE</t>
        </is>
      </c>
      <c r="H1127" s="48" t="n">
        <v>5000</v>
      </c>
      <c r="I1127" s="48" t="n"/>
      <c r="J1127" s="48" t="n"/>
      <c r="K1127" s="47">
        <f t="array" ref="K1127">_xlfn.XLOOKUP(1,(참조!$B$2:$B$15=E1127)*(참조!$D$2:$D$15=C1127)*(참조!$E$2:$E$15=D1127),참조!$C$2:$C$15,"")</f>
        <v/>
      </c>
    </row>
    <row r="1128" hidden="1" s="27">
      <c r="A1128" s="47" t="inlineStr">
        <is>
          <t>KT스카이라이프</t>
        </is>
      </c>
      <c r="B1128" s="47" t="inlineStr">
        <is>
          <t>모두 충분 10GB+(밀리의서재)</t>
        </is>
      </c>
      <c r="C1128" s="47" t="inlineStr">
        <is>
          <t>무제한</t>
        </is>
      </c>
      <c r="D1128" s="47" t="inlineStr">
        <is>
          <t>무제한</t>
        </is>
      </c>
      <c r="E1128" s="47" t="inlineStr">
        <is>
          <t>월 10GB + 1Mbps</t>
        </is>
      </c>
      <c r="F1128" s="47" t="inlineStr">
        <is>
          <t>KT</t>
        </is>
      </c>
      <c r="G1128" s="47" t="inlineStr">
        <is>
          <t>LTE</t>
        </is>
      </c>
      <c r="H1128" s="48" t="n">
        <v>19400</v>
      </c>
      <c r="I1128" s="48" t="n"/>
      <c r="J1128" s="48" t="n"/>
      <c r="K1128" s="47">
        <f t="array" ref="K1128">_xlfn.XLOOKUP(1,(참조!$B$2:$B$15=E1128)*(참조!$D$2:$D$15=C1128)*(참조!$E$2:$E$15=D1128),참조!$C$2:$C$15,"")</f>
        <v/>
      </c>
    </row>
    <row r="1129" hidden="1" s="27">
      <c r="A1129" s="47" t="inlineStr">
        <is>
          <t>U+유모바일</t>
        </is>
      </c>
      <c r="B1129" s="47" t="inlineStr">
        <is>
          <t>[올리브영 12만원] 15GB+/300분</t>
        </is>
      </c>
      <c r="C1129" s="47" t="inlineStr">
        <is>
          <t>300분</t>
        </is>
      </c>
      <c r="D1129" s="47" t="inlineStr">
        <is>
          <t>300건</t>
        </is>
      </c>
      <c r="E1129" s="47" t="inlineStr">
        <is>
          <t>월 15GB + 3Mbps</t>
        </is>
      </c>
      <c r="F1129" s="47" t="inlineStr">
        <is>
          <t>LG U+</t>
        </is>
      </c>
      <c r="G1129" s="47" t="inlineStr">
        <is>
          <t>LTE</t>
        </is>
      </c>
      <c r="H1129" s="48" t="n">
        <v>28450</v>
      </c>
      <c r="I1129" s="48" t="n"/>
      <c r="J1129" s="48" t="n"/>
      <c r="K1129" s="47">
        <f t="array" ref="K1129">_xlfn.XLOOKUP(1,(참조!$B$2:$B$15=E1129)*(참조!$D$2:$D$15=C1129)*(참조!$E$2:$E$15=D1129),참조!$C$2:$C$15,"")</f>
        <v/>
      </c>
    </row>
    <row r="1130" hidden="1" s="27">
      <c r="A1130" s="47" t="inlineStr">
        <is>
          <t>위너스텔</t>
        </is>
      </c>
      <c r="B1130" s="47" t="inlineStr">
        <is>
          <t>7GB+1Mbps(밀리의서재 무료구독)</t>
        </is>
      </c>
      <c r="C1130" s="47" t="inlineStr">
        <is>
          <t>무제한</t>
        </is>
      </c>
      <c r="D1130" s="47" t="inlineStr">
        <is>
          <t>무제한</t>
        </is>
      </c>
      <c r="E1130" s="47" t="inlineStr">
        <is>
          <t>월 7GB + 1Mbps</t>
        </is>
      </c>
      <c r="F1130" s="47" t="inlineStr">
        <is>
          <t>KT</t>
        </is>
      </c>
      <c r="G1130" s="47" t="inlineStr">
        <is>
          <t>LTE</t>
        </is>
      </c>
      <c r="H1130" s="48" t="n">
        <v>19800</v>
      </c>
      <c r="I1130" s="48" t="n"/>
      <c r="J1130" s="48" t="n"/>
      <c r="K1130" s="47">
        <f t="array" ref="K1130">_xlfn.XLOOKUP(1,(참조!$B$2:$B$15=E1130)*(참조!$D$2:$D$15=C1130)*(참조!$E$2:$E$15=D1130),참조!$C$2:$C$15,"")</f>
        <v/>
      </c>
    </row>
    <row r="1131" hidden="1" s="27">
      <c r="A1131" s="47" t="inlineStr">
        <is>
          <t>KT스카이라이프</t>
        </is>
      </c>
      <c r="B1131" s="47" t="inlineStr">
        <is>
          <t>5G 모두 충분 200GB+</t>
        </is>
      </c>
      <c r="C1131" s="47" t="inlineStr">
        <is>
          <t>무제한</t>
        </is>
      </c>
      <c r="D1131" s="47" t="inlineStr">
        <is>
          <t>무제한</t>
        </is>
      </c>
      <c r="E1131" s="47" t="inlineStr">
        <is>
          <t>월 200GB + 10Mbps</t>
        </is>
      </c>
      <c r="F1131" s="47" t="inlineStr">
        <is>
          <t>KT</t>
        </is>
      </c>
      <c r="G1131" s="47" t="inlineStr">
        <is>
          <t>5G</t>
        </is>
      </c>
      <c r="H1131" s="48" t="n">
        <v>49200</v>
      </c>
      <c r="I1131" s="48" t="n"/>
      <c r="J1131" s="48" t="n"/>
      <c r="K1131" s="47">
        <f t="array" ref="K1131">_xlfn.XLOOKUP(1,(참조!$B$2:$B$15=E1131)*(참조!$D$2:$D$15=C1131)*(참조!$E$2:$E$15=D1131),참조!$C$2:$C$15,"")</f>
        <v/>
      </c>
    </row>
    <row r="1132" hidden="1" s="27">
      <c r="A1132" s="47" t="inlineStr">
        <is>
          <t>KT스카이라이프</t>
        </is>
      </c>
      <c r="B1132" s="47" t="inlineStr">
        <is>
          <t>모두 충분 11GB+(요기요)</t>
        </is>
      </c>
      <c r="C1132" s="47" t="inlineStr">
        <is>
          <t>무제한</t>
        </is>
      </c>
      <c r="D1132" s="47" t="inlineStr">
        <is>
          <t>무제한</t>
        </is>
      </c>
      <c r="E1132" s="47" t="inlineStr">
        <is>
          <t>월 11GB + 매일 2GB + 3Mbps</t>
        </is>
      </c>
      <c r="F1132" s="47" t="inlineStr">
        <is>
          <t>KT</t>
        </is>
      </c>
      <c r="G1132" s="47" t="inlineStr">
        <is>
          <t>LTE</t>
        </is>
      </c>
      <c r="H1132" s="48" t="n">
        <v>36600</v>
      </c>
      <c r="I1132" s="48" t="n"/>
      <c r="J1132" s="48" t="n"/>
      <c r="K1132" s="47">
        <f t="array" ref="K1132">_xlfn.XLOOKUP(1,(참조!$B$2:$B$15=E1132)*(참조!$D$2:$D$15=C1132)*(참조!$E$2:$E$15=D1132),참조!$C$2:$C$15,"")</f>
        <v/>
      </c>
    </row>
    <row r="1133" hidden="1" s="27">
      <c r="A1133" s="47" t="inlineStr">
        <is>
          <t>이야기모바일</t>
        </is>
      </c>
      <c r="B1133" s="47" t="inlineStr">
        <is>
          <t>내맘대로S(350+4GB)</t>
        </is>
      </c>
      <c r="C1133" s="47" t="inlineStr">
        <is>
          <t>350분</t>
        </is>
      </c>
      <c r="D1133" s="47" t="inlineStr">
        <is>
          <t>100건</t>
        </is>
      </c>
      <c r="E1133" s="47" t="inlineStr">
        <is>
          <t>월 4GB</t>
        </is>
      </c>
      <c r="F1133" s="47" t="inlineStr">
        <is>
          <t>SKT</t>
        </is>
      </c>
      <c r="G1133" s="47" t="inlineStr">
        <is>
          <t>LTE</t>
        </is>
      </c>
      <c r="H1133" s="48" t="n">
        <v>5500</v>
      </c>
      <c r="I1133" s="48" t="n">
        <v>12</v>
      </c>
      <c r="J1133" s="48" t="n">
        <v>11000</v>
      </c>
      <c r="K1133" s="47">
        <f t="array" ref="K1133">_xlfn.XLOOKUP(1,(참조!$B$2:$B$15=E1133)*(참조!$D$2:$D$15=C1133)*(참조!$E$2:$E$15=D1133),참조!$C$2:$C$15,"")</f>
        <v/>
      </c>
    </row>
    <row r="1134" hidden="1" s="27">
      <c r="A1134" s="47" t="inlineStr">
        <is>
          <t>이지모바일</t>
        </is>
      </c>
      <c r="B1134" s="47" t="inlineStr">
        <is>
          <t>EG CU 무제한 11G+3(CU할인)</t>
        </is>
      </c>
      <c r="C1134" s="47" t="inlineStr">
        <is>
          <t>무제한</t>
        </is>
      </c>
      <c r="D1134" s="47" t="inlineStr">
        <is>
          <t>무제한</t>
        </is>
      </c>
      <c r="E1134" s="47" t="inlineStr">
        <is>
          <t>월 11GB + 매일 2GB + 3Mbps</t>
        </is>
      </c>
      <c r="F1134" s="47" t="inlineStr">
        <is>
          <t>KT</t>
        </is>
      </c>
      <c r="G1134" s="47" t="inlineStr">
        <is>
          <t>LTE</t>
        </is>
      </c>
      <c r="H1134" s="48" t="n">
        <v>18900</v>
      </c>
      <c r="I1134" s="48" t="n">
        <v>7</v>
      </c>
      <c r="J1134" s="48" t="n">
        <v>37400</v>
      </c>
      <c r="K1134" s="47">
        <f t="array" ref="K1134">_xlfn.XLOOKUP(1,(참조!$B$2:$B$15=E1134)*(참조!$D$2:$D$15=C1134)*(참조!$E$2:$E$15=D1134),참조!$C$2:$C$15,"")</f>
        <v/>
      </c>
    </row>
    <row r="1135" hidden="1" s="27">
      <c r="A1135" s="47" t="inlineStr">
        <is>
          <t>모빙</t>
        </is>
      </c>
      <c r="B1135" s="47" t="inlineStr">
        <is>
          <t>[L] 200분2GB</t>
        </is>
      </c>
      <c r="C1135" s="47" t="inlineStr">
        <is>
          <t>200분</t>
        </is>
      </c>
      <c r="D1135" s="47" t="inlineStr">
        <is>
          <t>200건</t>
        </is>
      </c>
      <c r="E1135" s="47" t="inlineStr">
        <is>
          <t>월 2GB</t>
        </is>
      </c>
      <c r="F1135" s="47" t="inlineStr">
        <is>
          <t>LG U+</t>
        </is>
      </c>
      <c r="G1135" s="47" t="inlineStr">
        <is>
          <t>LTE</t>
        </is>
      </c>
      <c r="H1135" s="48" t="n">
        <v>2800</v>
      </c>
      <c r="I1135" s="48" t="n"/>
      <c r="J1135" s="48" t="n"/>
      <c r="K1135" s="47">
        <f t="array" ref="K1135">_xlfn.XLOOKUP(1,(참조!$B$2:$B$15=E1135)*(참조!$D$2:$D$15=C1135)*(참조!$E$2:$E$15=D1135),참조!$C$2:$C$15,"")</f>
        <v/>
      </c>
    </row>
    <row r="1136" hidden="1" s="27">
      <c r="A1136" s="47" t="inlineStr">
        <is>
          <t>이야기모바일</t>
        </is>
      </c>
      <c r="B1136" s="47" t="inlineStr">
        <is>
          <t>함께이야기해S(500분+30GB)</t>
        </is>
      </c>
      <c r="C1136" s="47" t="inlineStr">
        <is>
          <t>500분</t>
        </is>
      </c>
      <c r="D1136" s="47" t="inlineStr">
        <is>
          <t>300건</t>
        </is>
      </c>
      <c r="E1136" s="47" t="inlineStr">
        <is>
          <t>월 30GB</t>
        </is>
      </c>
      <c r="F1136" s="47" t="inlineStr">
        <is>
          <t>SKT</t>
        </is>
      </c>
      <c r="G1136" s="47" t="inlineStr">
        <is>
          <t>LTE</t>
        </is>
      </c>
      <c r="H1136" s="48" t="n">
        <v>27500</v>
      </c>
      <c r="I1136" s="48" t="n"/>
      <c r="J1136" s="48" t="n"/>
      <c r="K1136" s="47">
        <f t="array" ref="K1136">_xlfn.XLOOKUP(1,(참조!$B$2:$B$15=E1136)*(참조!$D$2:$D$15=C1136)*(참조!$E$2:$E$15=D1136),참조!$C$2:$C$15,"")</f>
        <v/>
      </c>
    </row>
    <row r="1137" hidden="1" s="27">
      <c r="A1137" s="47" t="inlineStr">
        <is>
          <t>모빙</t>
        </is>
      </c>
      <c r="B1137" s="47" t="inlineStr">
        <is>
          <t>[L] 5G 데이터 180GB+</t>
        </is>
      </c>
      <c r="C1137" s="47" t="inlineStr">
        <is>
          <t>무제한</t>
        </is>
      </c>
      <c r="D1137" s="47" t="inlineStr">
        <is>
          <t>무제한</t>
        </is>
      </c>
      <c r="E1137" s="47" t="inlineStr">
        <is>
          <t>월 180GB + 10Mbps</t>
        </is>
      </c>
      <c r="F1137" s="47" t="inlineStr">
        <is>
          <t>LG U+</t>
        </is>
      </c>
      <c r="G1137" s="47" t="inlineStr">
        <is>
          <t>5G</t>
        </is>
      </c>
      <c r="H1137" s="48" t="n">
        <v>14500</v>
      </c>
      <c r="I1137" s="48" t="n">
        <v>7</v>
      </c>
      <c r="J1137" s="48" t="n">
        <v>63400</v>
      </c>
      <c r="K1137" s="47">
        <f t="array" ref="K1137">_xlfn.XLOOKUP(1,(참조!$B$2:$B$15=E1137)*(참조!$D$2:$D$15=C1137)*(참조!$E$2:$E$15=D1137),참조!$C$2:$C$15,"")</f>
        <v/>
      </c>
    </row>
    <row r="1138" hidden="1" s="27">
      <c r="A1138" s="47" t="inlineStr">
        <is>
          <t>아이즈모바일</t>
        </is>
      </c>
      <c r="B1138" s="47" t="inlineStr">
        <is>
          <t>[K]울트라(100분/15GB)</t>
        </is>
      </c>
      <c r="C1138" s="47" t="inlineStr">
        <is>
          <t>100분</t>
        </is>
      </c>
      <c r="D1138" s="47" t="inlineStr">
        <is>
          <t>100건</t>
        </is>
      </c>
      <c r="E1138" s="47" t="inlineStr">
        <is>
          <t>월 15GB</t>
        </is>
      </c>
      <c r="F1138" s="47" t="inlineStr">
        <is>
          <t>KT</t>
        </is>
      </c>
      <c r="G1138" s="47" t="inlineStr">
        <is>
          <t>LTE</t>
        </is>
      </c>
      <c r="H1138" s="48" t="n">
        <v>10</v>
      </c>
      <c r="I1138" s="48" t="n">
        <v>10</v>
      </c>
      <c r="J1138" s="48" t="n">
        <v>23100</v>
      </c>
      <c r="K1138" s="47">
        <f t="array" ref="K1138">_xlfn.XLOOKUP(1,(참조!$B$2:$B$15=E1138)*(참조!$D$2:$D$15=C1138)*(참조!$E$2:$E$15=D1138),참조!$C$2:$C$15,"")</f>
        <v/>
      </c>
    </row>
    <row r="1139" hidden="1" s="27">
      <c r="A1139" s="47" t="inlineStr">
        <is>
          <t>시월모바일</t>
        </is>
      </c>
      <c r="B1139" s="47" t="inlineStr">
        <is>
          <t>쿠폰팩 통화기본15GB+</t>
        </is>
      </c>
      <c r="C1139" s="47" t="inlineStr">
        <is>
          <t>무제한</t>
        </is>
      </c>
      <c r="D1139" s="47" t="inlineStr">
        <is>
          <t>무제한</t>
        </is>
      </c>
      <c r="E1139" s="47" t="inlineStr">
        <is>
          <t>월 15GB + 1Mbps</t>
        </is>
      </c>
      <c r="F1139" s="47" t="inlineStr">
        <is>
          <t>LG U+</t>
        </is>
      </c>
      <c r="G1139" s="47" t="inlineStr">
        <is>
          <t>LTE</t>
        </is>
      </c>
      <c r="H1139" s="48" t="n">
        <v>14360</v>
      </c>
      <c r="I1139" s="48" t="n">
        <v>7</v>
      </c>
      <c r="J1139" s="48" t="n">
        <v>33060</v>
      </c>
      <c r="K1139" s="47">
        <f t="array" ref="K1139">_xlfn.XLOOKUP(1,(참조!$B$2:$B$15=E1139)*(참조!$D$2:$D$15=C1139)*(참조!$E$2:$E$15=D1139),참조!$C$2:$C$15,"")</f>
        <v/>
      </c>
    </row>
    <row r="1140" hidden="1" s="27">
      <c r="A1140" s="47" t="inlineStr">
        <is>
          <t>모나</t>
        </is>
      </c>
      <c r="B1140" s="47" t="inlineStr">
        <is>
          <t>카카오이모티콘+_100G+5M</t>
        </is>
      </c>
      <c r="C1140" s="47" t="inlineStr">
        <is>
          <t>무제한</t>
        </is>
      </c>
      <c r="D1140" s="47" t="inlineStr">
        <is>
          <t>무제한</t>
        </is>
      </c>
      <c r="E1140" s="47" t="inlineStr">
        <is>
          <t>월 100GB + 5Mbps</t>
        </is>
      </c>
      <c r="F1140" s="47" t="inlineStr">
        <is>
          <t>LG U+</t>
        </is>
      </c>
      <c r="G1140" s="47" t="inlineStr">
        <is>
          <t>LTE</t>
        </is>
      </c>
      <c r="H1140" s="48" t="n">
        <v>20900</v>
      </c>
      <c r="I1140" s="48" t="n">
        <v>7</v>
      </c>
      <c r="J1140" s="48" t="n">
        <v>48400</v>
      </c>
      <c r="K1140" s="47">
        <f t="array" ref="K1140">_xlfn.XLOOKUP(1,(참조!$B$2:$B$15=E1140)*(참조!$D$2:$D$15=C1140)*(참조!$E$2:$E$15=D1140),참조!$C$2:$C$15,"")</f>
        <v/>
      </c>
    </row>
    <row r="1141" hidden="1" s="27">
      <c r="A1141" s="47" t="inlineStr">
        <is>
          <t>스마텔</t>
        </is>
      </c>
      <c r="B1141" s="47" t="inlineStr">
        <is>
          <t>LTE 음성무제한 11GB</t>
        </is>
      </c>
      <c r="C1141" s="47" t="inlineStr">
        <is>
          <t>무제한</t>
        </is>
      </c>
      <c r="D1141" s="47" t="inlineStr">
        <is>
          <t>200건</t>
        </is>
      </c>
      <c r="E1141" s="47" t="inlineStr">
        <is>
          <t>월 11GB</t>
        </is>
      </c>
      <c r="F1141" s="47" t="inlineStr">
        <is>
          <t>SKT</t>
        </is>
      </c>
      <c r="G1141" s="47" t="inlineStr">
        <is>
          <t>LTE</t>
        </is>
      </c>
      <c r="H1141" s="48" t="n">
        <v>4500</v>
      </c>
      <c r="I1141" s="48" t="n">
        <v>7</v>
      </c>
      <c r="J1141" s="48" t="n">
        <v>19800</v>
      </c>
      <c r="K1141" s="47">
        <f t="array" ref="K1141">_xlfn.XLOOKUP(1,(참조!$B$2:$B$15=E1141)*(참조!$D$2:$D$15=C1141)*(참조!$E$2:$E$15=D1141),참조!$C$2:$C$15,"")</f>
        <v/>
      </c>
    </row>
    <row r="1142" hidden="1" s="27">
      <c r="A1142" s="47" t="inlineStr">
        <is>
          <t>위너스텔</t>
        </is>
      </c>
      <c r="B1142" s="47" t="inlineStr">
        <is>
          <t>공유 240분</t>
        </is>
      </c>
      <c r="C1142" s="47" t="inlineStr">
        <is>
          <t>240분</t>
        </is>
      </c>
      <c r="D1142" s="47" t="inlineStr">
        <is>
          <t>240건</t>
        </is>
      </c>
      <c r="E1142" s="47" t="inlineStr">
        <is>
          <t>데이터 제공안함</t>
        </is>
      </c>
      <c r="F1142" s="47" t="inlineStr">
        <is>
          <t>KT</t>
        </is>
      </c>
      <c r="G1142" s="47" t="inlineStr">
        <is>
          <t>LTE</t>
        </is>
      </c>
      <c r="H1142" s="48" t="n">
        <v>4950</v>
      </c>
      <c r="I1142" s="48" t="n"/>
      <c r="J1142" s="48" t="n"/>
      <c r="K1142" s="47">
        <f t="array" ref="K1142">_xlfn.XLOOKUP(1,(참조!$B$2:$B$15=E1142)*(참조!$D$2:$D$15=C1142)*(참조!$E$2:$E$15=D1142),참조!$C$2:$C$15,"")</f>
        <v/>
      </c>
    </row>
    <row r="1143" hidden="1" s="27">
      <c r="A1143" s="47" t="inlineStr">
        <is>
          <t>이지모바일</t>
        </is>
      </c>
      <c r="B1143" s="47" t="inlineStr">
        <is>
          <t>EG 무한 100G+5(밀리의 서재 구독)</t>
        </is>
      </c>
      <c r="C1143" s="47" t="inlineStr">
        <is>
          <t>무제한</t>
        </is>
      </c>
      <c r="D1143" s="47" t="inlineStr">
        <is>
          <t>무제한</t>
        </is>
      </c>
      <c r="E1143" s="47" t="inlineStr">
        <is>
          <t>월 100GB + 5Mbps</t>
        </is>
      </c>
      <c r="F1143" s="47" t="inlineStr">
        <is>
          <t>KT</t>
        </is>
      </c>
      <c r="G1143" s="47" t="inlineStr">
        <is>
          <t>LTE</t>
        </is>
      </c>
      <c r="H1143" s="48" t="n">
        <v>19800</v>
      </c>
      <c r="I1143" s="48" t="n">
        <v>7</v>
      </c>
      <c r="J1143" s="48" t="n">
        <v>44000</v>
      </c>
      <c r="K1143" s="47">
        <f t="array" ref="K1143">_xlfn.XLOOKUP(1,(참조!$B$2:$B$15=E1143)*(참조!$D$2:$D$15=C1143)*(참조!$E$2:$E$15=D1143),참조!$C$2:$C$15,"")</f>
        <v/>
      </c>
    </row>
    <row r="1144" hidden="1" s="27">
      <c r="A1144" s="47" t="inlineStr">
        <is>
          <t>이야기모바일</t>
        </is>
      </c>
      <c r="B1144" s="47" t="inlineStr">
        <is>
          <t>함께이야기해S(200분+30GB)</t>
        </is>
      </c>
      <c r="C1144" s="47" t="inlineStr">
        <is>
          <t>200분</t>
        </is>
      </c>
      <c r="D1144" s="47" t="inlineStr">
        <is>
          <t>300건</t>
        </is>
      </c>
      <c r="E1144" s="47" t="inlineStr">
        <is>
          <t>월 30GB</t>
        </is>
      </c>
      <c r="F1144" s="47" t="inlineStr">
        <is>
          <t>SKT</t>
        </is>
      </c>
      <c r="G1144" s="47" t="inlineStr">
        <is>
          <t>LTE</t>
        </is>
      </c>
      <c r="H1144" s="48" t="n">
        <v>23500</v>
      </c>
      <c r="I1144" s="48" t="n"/>
      <c r="J1144" s="48" t="n"/>
      <c r="K1144" s="47">
        <f t="array" ref="K1144">_xlfn.XLOOKUP(1,(참조!$B$2:$B$15=E1144)*(참조!$D$2:$D$15=C1144)*(참조!$E$2:$E$15=D1144),참조!$C$2:$C$15,"")</f>
        <v/>
      </c>
    </row>
    <row r="1145" hidden="1" s="27">
      <c r="A1145" s="47" t="inlineStr">
        <is>
          <t>스마텔</t>
        </is>
      </c>
      <c r="B1145" s="47" t="inlineStr">
        <is>
          <t>스위트3 10GB+(밀리의서재) (+10GB 24개월간 추가 제공)</t>
        </is>
      </c>
      <c r="C1145" s="47" t="inlineStr">
        <is>
          <t>무제한</t>
        </is>
      </c>
      <c r="D1145" s="47" t="inlineStr">
        <is>
          <t>무제한</t>
        </is>
      </c>
      <c r="E1145" s="47" t="inlineStr">
        <is>
          <t>월 10GB + 1Mbps</t>
        </is>
      </c>
      <c r="F1145" s="47" t="inlineStr">
        <is>
          <t>KT</t>
        </is>
      </c>
      <c r="G1145" s="47" t="inlineStr">
        <is>
          <t>LTE</t>
        </is>
      </c>
      <c r="H1145" s="48" t="n">
        <v>17000</v>
      </c>
      <c r="I1145" s="48" t="n">
        <v>12</v>
      </c>
      <c r="J1145" s="48" t="n">
        <v>28600</v>
      </c>
      <c r="K1145" s="47">
        <f t="array" ref="K1145">_xlfn.XLOOKUP(1,(참조!$B$2:$B$15=E1145)*(참조!$D$2:$D$15=C1145)*(참조!$E$2:$E$15=D1145),참조!$C$2:$C$15,"")</f>
        <v/>
      </c>
    </row>
    <row r="1146" hidden="1" s="27">
      <c r="A1146" s="47" t="inlineStr">
        <is>
          <t>아이즈모바일</t>
        </is>
      </c>
      <c r="B1146" s="47" t="inlineStr">
        <is>
          <t>[L]무한100GB+</t>
        </is>
      </c>
      <c r="C1146" s="47" t="inlineStr">
        <is>
          <t>무제한</t>
        </is>
      </c>
      <c r="D1146" s="47" t="inlineStr">
        <is>
          <t>무제한</t>
        </is>
      </c>
      <c r="E1146" s="47" t="inlineStr">
        <is>
          <t>월 100GB + 5Mbps</t>
        </is>
      </c>
      <c r="F1146" s="47" t="inlineStr">
        <is>
          <t>LG U+</t>
        </is>
      </c>
      <c r="G1146" s="47" t="inlineStr">
        <is>
          <t>LTE</t>
        </is>
      </c>
      <c r="H1146" s="48" t="n">
        <v>29500</v>
      </c>
      <c r="I1146" s="48" t="n"/>
      <c r="J1146" s="48" t="n"/>
      <c r="K1146" s="47">
        <f t="array" ref="K1146">_xlfn.XLOOKUP(1,(참조!$B$2:$B$15=E1146)*(참조!$D$2:$D$15=C1146)*(참조!$E$2:$E$15=D1146),참조!$C$2:$C$15,"")</f>
        <v/>
      </c>
    </row>
    <row r="1147" hidden="1" s="27">
      <c r="A1147" s="47" t="inlineStr">
        <is>
          <t>고고모바일</t>
        </is>
      </c>
      <c r="B1147" s="47" t="inlineStr">
        <is>
          <t>[모요only] 5G 무제한 90GB+1Mbps</t>
        </is>
      </c>
      <c r="C1147" s="47" t="inlineStr">
        <is>
          <t>무제한</t>
        </is>
      </c>
      <c r="D1147" s="47" t="inlineStr">
        <is>
          <t>무제한</t>
        </is>
      </c>
      <c r="E1147" s="47" t="inlineStr">
        <is>
          <t>월 90GB + 1Mbps</t>
        </is>
      </c>
      <c r="F1147" s="47" t="inlineStr">
        <is>
          <t>KT</t>
        </is>
      </c>
      <c r="G1147" s="47" t="inlineStr">
        <is>
          <t>5G</t>
        </is>
      </c>
      <c r="H1147" s="48" t="n">
        <v>32000</v>
      </c>
      <c r="I1147" s="48" t="n">
        <v>12</v>
      </c>
      <c r="J1147" s="48" t="n">
        <v>44000</v>
      </c>
      <c r="K1147" s="47">
        <f t="array" ref="K1147">_xlfn.XLOOKUP(1,(참조!$B$2:$B$15=E1147)*(참조!$D$2:$D$15=C1147)*(참조!$E$2:$E$15=D1147),참조!$C$2:$C$15,"")</f>
        <v/>
      </c>
    </row>
    <row r="1148" hidden="1" s="27">
      <c r="A1148" s="47" t="inlineStr">
        <is>
          <t>KT엠모바일</t>
        </is>
      </c>
      <c r="B1148" s="47" t="inlineStr">
        <is>
          <t>5G 모두다 맘껏 70GB+(밀리의 서재 FREE)</t>
        </is>
      </c>
      <c r="C1148" s="47" t="inlineStr">
        <is>
          <t>무제한</t>
        </is>
      </c>
      <c r="D1148" s="47" t="inlineStr">
        <is>
          <t>무제한</t>
        </is>
      </c>
      <c r="E1148" s="47" t="inlineStr">
        <is>
          <t>월 70GB + 1Mbps</t>
        </is>
      </c>
      <c r="F1148" s="47" t="inlineStr">
        <is>
          <t>KT</t>
        </is>
      </c>
      <c r="G1148" s="47" t="inlineStr">
        <is>
          <t>5G</t>
        </is>
      </c>
      <c r="H1148" s="48" t="n">
        <v>39100</v>
      </c>
      <c r="I1148" s="48" t="n"/>
      <c r="J1148" s="48" t="n"/>
      <c r="K1148" s="47">
        <f t="array" ref="K1148">_xlfn.XLOOKUP(1,(참조!$B$2:$B$15=E1148)*(참조!$D$2:$D$15=C1148)*(참조!$E$2:$E$15=D1148),참조!$C$2:$C$15,"")</f>
        <v/>
      </c>
    </row>
    <row r="1149" hidden="1" s="27">
      <c r="A1149" s="47" t="inlineStr">
        <is>
          <t>에이모바일</t>
        </is>
      </c>
      <c r="B1149" s="47" t="inlineStr">
        <is>
          <t>A 스마트 13GB</t>
        </is>
      </c>
      <c r="C1149" s="47" t="inlineStr">
        <is>
          <t>무제한</t>
        </is>
      </c>
      <c r="D1149" s="47" t="inlineStr">
        <is>
          <t>무제한</t>
        </is>
      </c>
      <c r="E1149" s="47" t="inlineStr">
        <is>
          <t>월 13GB</t>
        </is>
      </c>
      <c r="F1149" s="47" t="inlineStr">
        <is>
          <t>SKT</t>
        </is>
      </c>
      <c r="G1149" s="47" t="inlineStr">
        <is>
          <t>LTE</t>
        </is>
      </c>
      <c r="H1149" s="48" t="n">
        <v>990</v>
      </c>
      <c r="I1149" s="48" t="n">
        <v>7</v>
      </c>
      <c r="J1149" s="48" t="n">
        <v>17160</v>
      </c>
      <c r="K1149" s="47">
        <f t="array" ref="K1149">_xlfn.XLOOKUP(1,(참조!$B$2:$B$15=E1149)*(참조!$D$2:$D$15=C1149)*(참조!$E$2:$E$15=D1149),참조!$C$2:$C$15,"")</f>
        <v/>
      </c>
    </row>
    <row r="1150" hidden="1" s="27">
      <c r="A1150" s="47" t="inlineStr">
        <is>
          <t>모빙</t>
        </is>
      </c>
      <c r="B1150" s="47" t="inlineStr">
        <is>
          <t>[L] 데이터 15GB+_2y_plus</t>
        </is>
      </c>
      <c r="C1150" s="47" t="inlineStr">
        <is>
          <t>무제한</t>
        </is>
      </c>
      <c r="D1150" s="47" t="inlineStr">
        <is>
          <t>무제한</t>
        </is>
      </c>
      <c r="E1150" s="47" t="inlineStr">
        <is>
          <t>월 15GB + 1Mbps</t>
        </is>
      </c>
      <c r="F1150" s="47" t="inlineStr">
        <is>
          <t>LG U+</t>
        </is>
      </c>
      <c r="G1150" s="47" t="inlineStr">
        <is>
          <t>LTE</t>
        </is>
      </c>
      <c r="H1150" s="48" t="n">
        <v>13500</v>
      </c>
      <c r="I1150" s="48" t="n">
        <v>24</v>
      </c>
      <c r="J1150" s="48" t="n">
        <v>33000</v>
      </c>
      <c r="K1150" s="47">
        <f t="array" ref="K1150">_xlfn.XLOOKUP(1,(참조!$B$2:$B$15=E1150)*(참조!$D$2:$D$15=C1150)*(참조!$E$2:$E$15=D1150),참조!$C$2:$C$15,"")</f>
        <v/>
      </c>
    </row>
    <row r="1151" hidden="1" s="27">
      <c r="A1151" s="47" t="inlineStr">
        <is>
          <t>스마텔</t>
        </is>
      </c>
      <c r="B1151" s="47" t="inlineStr">
        <is>
          <t>우주LTE데이터(15GB+)</t>
        </is>
      </c>
      <c r="C1151" s="47" t="inlineStr">
        <is>
          <t>100분</t>
        </is>
      </c>
      <c r="D1151" s="47" t="inlineStr">
        <is>
          <t>100건</t>
        </is>
      </c>
      <c r="E1151" s="47" t="inlineStr">
        <is>
          <t>월 15GB + 3Mbps</t>
        </is>
      </c>
      <c r="F1151" s="47" t="inlineStr">
        <is>
          <t>LG U+</t>
        </is>
      </c>
      <c r="G1151" s="47" t="inlineStr">
        <is>
          <t>LTE</t>
        </is>
      </c>
      <c r="H1151" s="48" t="n">
        <v>27000</v>
      </c>
      <c r="I1151" s="48" t="n"/>
      <c r="J1151" s="48" t="n"/>
      <c r="K1151" s="47">
        <f t="array" ref="K1151">_xlfn.XLOOKUP(1,(참조!$B$2:$B$15=E1151)*(참조!$D$2:$D$15=C1151)*(참조!$E$2:$E$15=D1151),참조!$C$2:$C$15,"")</f>
        <v/>
      </c>
    </row>
    <row r="1152" hidden="1" s="27">
      <c r="A1152" s="47" t="inlineStr">
        <is>
          <t>LG헬로모바일</t>
        </is>
      </c>
      <c r="B1152" s="47" t="inlineStr">
        <is>
          <t>5G 유심 중간요금제 31GB</t>
        </is>
      </c>
      <c r="C1152" s="47" t="inlineStr">
        <is>
          <t>무제한</t>
        </is>
      </c>
      <c r="D1152" s="47" t="inlineStr">
        <is>
          <t>무제한</t>
        </is>
      </c>
      <c r="E1152" s="47" t="inlineStr">
        <is>
          <t>월 31GB + 1Mbps</t>
        </is>
      </c>
      <c r="F1152" s="47" t="inlineStr">
        <is>
          <t>LG U+</t>
        </is>
      </c>
      <c r="G1152" s="47" t="inlineStr">
        <is>
          <t>5G</t>
        </is>
      </c>
      <c r="H1152" s="48" t="n">
        <v>39600</v>
      </c>
      <c r="I1152" s="48" t="n"/>
      <c r="J1152" s="48" t="n"/>
      <c r="K1152" s="47">
        <f t="array" ref="K1152">_xlfn.XLOOKUP(1,(참조!$B$2:$B$15=E1152)*(참조!$D$2:$D$15=C1152)*(참조!$E$2:$E$15=D1152),참조!$C$2:$C$15,"")</f>
        <v/>
      </c>
    </row>
    <row r="1153" hidden="1" s="27">
      <c r="A1153" s="47" t="inlineStr">
        <is>
          <t>U+유모바일</t>
        </is>
      </c>
      <c r="B1153" s="47" t="inlineStr">
        <is>
          <t>[평생할인] 10GB+/통화기본</t>
        </is>
      </c>
      <c r="C1153" s="47" t="inlineStr">
        <is>
          <t>무제한</t>
        </is>
      </c>
      <c r="D1153" s="47" t="inlineStr">
        <is>
          <t>무제한</t>
        </is>
      </c>
      <c r="E1153" s="47" t="inlineStr">
        <is>
          <t>월 10GB + 1Mbps</t>
        </is>
      </c>
      <c r="F1153" s="47" t="inlineStr">
        <is>
          <t>LG U+</t>
        </is>
      </c>
      <c r="G1153" s="47" t="inlineStr">
        <is>
          <t>LTE</t>
        </is>
      </c>
      <c r="H1153" s="48" t="n">
        <v>18900</v>
      </c>
      <c r="I1153" s="48" t="n"/>
      <c r="J1153" s="48" t="n"/>
      <c r="K1153" s="47">
        <f t="array" ref="K1153">_xlfn.XLOOKUP(1,(참조!$B$2:$B$15=E1153)*(참조!$D$2:$D$15=C1153)*(참조!$E$2:$E$15=D1153),참조!$C$2:$C$15,"")</f>
        <v/>
      </c>
    </row>
    <row r="1154" hidden="1" s="27">
      <c r="A1154" s="47" t="inlineStr">
        <is>
          <t>에이모바일</t>
        </is>
      </c>
      <c r="B1154" s="47" t="inlineStr">
        <is>
          <t>A 갓성비 6GB/200분 6</t>
        </is>
      </c>
      <c r="C1154" s="47" t="inlineStr">
        <is>
          <t>200분</t>
        </is>
      </c>
      <c r="D1154" s="47" t="inlineStr">
        <is>
          <t>100건</t>
        </is>
      </c>
      <c r="E1154" s="47" t="inlineStr">
        <is>
          <t>월 6GB</t>
        </is>
      </c>
      <c r="F1154" s="47" t="inlineStr">
        <is>
          <t>LG U+</t>
        </is>
      </c>
      <c r="G1154" s="47" t="inlineStr">
        <is>
          <t>LTE</t>
        </is>
      </c>
      <c r="H1154" s="48" t="n">
        <v>220</v>
      </c>
      <c r="I1154" s="48" t="n">
        <v>6</v>
      </c>
      <c r="J1154" s="48" t="n">
        <v>10450</v>
      </c>
      <c r="K1154" s="47">
        <f t="array" ref="K1154">_xlfn.XLOOKUP(1,(참조!$B$2:$B$15=E1154)*(참조!$D$2:$D$15=C1154)*(참조!$E$2:$E$15=D1154),참조!$C$2:$C$15,"")</f>
        <v/>
      </c>
    </row>
    <row r="1155" hidden="1" s="27">
      <c r="A1155" s="47" t="inlineStr">
        <is>
          <t>고고모바일</t>
        </is>
      </c>
      <c r="B1155" s="47" t="inlineStr">
        <is>
          <t>LTE무제한 11GB+3M(CU20%할인)</t>
        </is>
      </c>
      <c r="C1155" s="47" t="inlineStr">
        <is>
          <t>무제한</t>
        </is>
      </c>
      <c r="D1155" s="47" t="inlineStr">
        <is>
          <t>무제한</t>
        </is>
      </c>
      <c r="E1155" s="47" t="inlineStr">
        <is>
          <t>월 11GB + 매일 2GB + 3Mbps</t>
        </is>
      </c>
      <c r="F1155" s="47" t="inlineStr">
        <is>
          <t>KT</t>
        </is>
      </c>
      <c r="G1155" s="47" t="inlineStr">
        <is>
          <t>LTE</t>
        </is>
      </c>
      <c r="H1155" s="48" t="n">
        <v>36850</v>
      </c>
      <c r="I1155" s="48" t="n"/>
      <c r="J1155" s="48" t="n"/>
      <c r="K1155" s="47">
        <f t="array" ref="K1155">_xlfn.XLOOKUP(1,(참조!$B$2:$B$15=E1155)*(참조!$D$2:$D$15=C1155)*(참조!$E$2:$E$15=D1155),참조!$C$2:$C$15,"")</f>
        <v/>
      </c>
    </row>
    <row r="1156" hidden="1" s="27">
      <c r="A1156" s="47" t="inlineStr">
        <is>
          <t>U+유모바일</t>
        </is>
      </c>
      <c r="B1156" s="47" t="inlineStr">
        <is>
          <t>[평생할인] 3GB+/100분</t>
        </is>
      </c>
      <c r="C1156" s="47" t="inlineStr">
        <is>
          <t>100분</t>
        </is>
      </c>
      <c r="D1156" s="47" t="inlineStr">
        <is>
          <t>100건</t>
        </is>
      </c>
      <c r="E1156" s="47" t="inlineStr">
        <is>
          <t>월 3GB + 1Mbps</t>
        </is>
      </c>
      <c r="F1156" s="47" t="inlineStr">
        <is>
          <t>LG U+</t>
        </is>
      </c>
      <c r="G1156" s="47" t="inlineStr">
        <is>
          <t>LTE</t>
        </is>
      </c>
      <c r="H1156" s="48" t="n">
        <v>9500</v>
      </c>
      <c r="I1156" s="48" t="n"/>
      <c r="J1156" s="48" t="n"/>
      <c r="K1156" s="47">
        <f t="array" ref="K1156">_xlfn.XLOOKUP(1,(참조!$B$2:$B$15=E1156)*(참조!$D$2:$D$15=C1156)*(참조!$E$2:$E$15=D1156),참조!$C$2:$C$15,"")</f>
        <v/>
      </c>
    </row>
    <row r="1157" hidden="1" s="27">
      <c r="A1157" s="47" t="inlineStr">
        <is>
          <t>아이즈모바일</t>
        </is>
      </c>
      <c r="B1157" s="47" t="inlineStr">
        <is>
          <t>[L]5G 아이즈팩 95GB+3Mbps</t>
        </is>
      </c>
      <c r="C1157" s="47" t="inlineStr">
        <is>
          <t>무제한</t>
        </is>
      </c>
      <c r="D1157" s="47" t="inlineStr">
        <is>
          <t>무제한</t>
        </is>
      </c>
      <c r="E1157" s="47" t="inlineStr">
        <is>
          <t>월 95GB + 3Mbps</t>
        </is>
      </c>
      <c r="F1157" s="47" t="inlineStr">
        <is>
          <t>LG U+</t>
        </is>
      </c>
      <c r="G1157" s="47" t="inlineStr">
        <is>
          <t>5G</t>
        </is>
      </c>
      <c r="H1157" s="48" t="n">
        <v>27600</v>
      </c>
      <c r="I1157" s="48" t="n">
        <v>24</v>
      </c>
      <c r="J1157" s="48" t="n">
        <v>53900</v>
      </c>
      <c r="K1157" s="47">
        <f t="array" ref="K1157">_xlfn.XLOOKUP(1,(참조!$B$2:$B$15=E1157)*(참조!$D$2:$D$15=C1157)*(참조!$E$2:$E$15=D1157),참조!$C$2:$C$15,"")</f>
        <v/>
      </c>
    </row>
    <row r="1158" hidden="1" s="27">
      <c r="A1158" s="47" t="inlineStr">
        <is>
          <t>티플러스</t>
        </is>
      </c>
      <c r="B1158" s="47" t="inlineStr">
        <is>
          <t>티플북 10G+(도서문화상품권 매월 5000P)</t>
        </is>
      </c>
      <c r="C1158" s="47" t="inlineStr">
        <is>
          <t>무제한</t>
        </is>
      </c>
      <c r="D1158" s="47" t="inlineStr">
        <is>
          <t>무제한</t>
        </is>
      </c>
      <c r="E1158" s="47" t="inlineStr">
        <is>
          <t>월 10GB + 1Mbps</t>
        </is>
      </c>
      <c r="F1158" s="47" t="inlineStr">
        <is>
          <t>SKT</t>
        </is>
      </c>
      <c r="G1158" s="47" t="inlineStr">
        <is>
          <t>LTE</t>
        </is>
      </c>
      <c r="H1158" s="48" t="n">
        <v>6900</v>
      </c>
      <c r="I1158" s="48" t="n">
        <v>7</v>
      </c>
      <c r="J1158" s="48" t="n">
        <v>33000</v>
      </c>
      <c r="K1158" s="47">
        <f t="array" ref="K1158">_xlfn.XLOOKUP(1,(참조!$B$2:$B$15=E1158)*(참조!$D$2:$D$15=C1158)*(참조!$E$2:$E$15=D1158),참조!$C$2:$C$15,"")</f>
        <v/>
      </c>
    </row>
    <row r="1159" hidden="1" s="27">
      <c r="A1159" s="47" t="inlineStr">
        <is>
          <t>이야기모바일</t>
        </is>
      </c>
      <c r="B1159" s="47" t="inlineStr">
        <is>
          <t>함께이야기해S(1000분+20GB)</t>
        </is>
      </c>
      <c r="C1159" s="47" t="inlineStr">
        <is>
          <t>1,000분</t>
        </is>
      </c>
      <c r="D1159" s="47" t="inlineStr">
        <is>
          <t>200건</t>
        </is>
      </c>
      <c r="E1159" s="47" t="inlineStr">
        <is>
          <t>월 20GB</t>
        </is>
      </c>
      <c r="F1159" s="47" t="inlineStr">
        <is>
          <t>SKT</t>
        </is>
      </c>
      <c r="G1159" s="47" t="inlineStr">
        <is>
          <t>LTE</t>
        </is>
      </c>
      <c r="H1159" s="48" t="n">
        <v>23500</v>
      </c>
      <c r="I1159" s="48" t="n">
        <v>12</v>
      </c>
      <c r="J1159" s="48" t="n">
        <v>29700</v>
      </c>
      <c r="K1159" s="47">
        <f t="array" ref="K1159">_xlfn.XLOOKUP(1,(참조!$B$2:$B$15=E1159)*(참조!$D$2:$D$15=C1159)*(참조!$E$2:$E$15=D1159),참조!$C$2:$C$15,"")</f>
        <v/>
      </c>
    </row>
    <row r="1160" hidden="1" s="27">
      <c r="A1160" s="47" t="inlineStr">
        <is>
          <t>티플러스</t>
        </is>
      </c>
      <c r="B1160" s="47" t="inlineStr">
        <is>
          <t>티플포유(3G/100분)</t>
        </is>
      </c>
      <c r="C1160" s="47" t="inlineStr">
        <is>
          <t>100분</t>
        </is>
      </c>
      <c r="D1160" s="47" t="inlineStr">
        <is>
          <t>100건</t>
        </is>
      </c>
      <c r="E1160" s="47" t="inlineStr">
        <is>
          <t>월 3GB</t>
        </is>
      </c>
      <c r="F1160" s="47" t="inlineStr">
        <is>
          <t>LG U+</t>
        </is>
      </c>
      <c r="G1160" s="47" t="inlineStr">
        <is>
          <t>LTE</t>
        </is>
      </c>
      <c r="H1160" s="48" t="n">
        <v>5500</v>
      </c>
      <c r="I1160" s="48" t="n"/>
      <c r="J1160" s="48" t="n"/>
      <c r="K1160" s="47">
        <f t="array" ref="K1160">_xlfn.XLOOKUP(1,(참조!$B$2:$B$15=E1160)*(참조!$D$2:$D$15=C1160)*(참조!$E$2:$E$15=D1160),참조!$C$2:$C$15,"")</f>
        <v/>
      </c>
    </row>
    <row r="1161" hidden="1" s="27">
      <c r="A1161" s="47" t="inlineStr">
        <is>
          <t>티플러스</t>
        </is>
      </c>
      <c r="B1161" s="47" t="inlineStr">
        <is>
          <t>티플포유(2G/200분)</t>
        </is>
      </c>
      <c r="C1161" s="47" t="inlineStr">
        <is>
          <t>200분</t>
        </is>
      </c>
      <c r="D1161" s="47" t="inlineStr">
        <is>
          <t>100건</t>
        </is>
      </c>
      <c r="E1161" s="47" t="inlineStr">
        <is>
          <t>월 2GB</t>
        </is>
      </c>
      <c r="F1161" s="47" t="inlineStr">
        <is>
          <t>LG U+</t>
        </is>
      </c>
      <c r="G1161" s="47" t="inlineStr">
        <is>
          <t>LTE</t>
        </is>
      </c>
      <c r="H1161" s="48" t="n">
        <v>5500</v>
      </c>
      <c r="I1161" s="48" t="n"/>
      <c r="J1161" s="48" t="n"/>
      <c r="K1161" s="47">
        <f t="array" ref="K1161">_xlfn.XLOOKUP(1,(참조!$B$2:$B$15=E1161)*(참조!$D$2:$D$15=C1161)*(참조!$E$2:$E$15=D1161),참조!$C$2:$C$15,"")</f>
        <v/>
      </c>
    </row>
    <row r="1162" hidden="1" s="27">
      <c r="A1162" s="47" t="inlineStr">
        <is>
          <t>티플러스</t>
        </is>
      </c>
      <c r="B1162" s="47" t="inlineStr">
        <is>
          <t>티플 드림(2GB/100분)</t>
        </is>
      </c>
      <c r="C1162" s="47" t="inlineStr">
        <is>
          <t>100분</t>
        </is>
      </c>
      <c r="D1162" s="47" t="inlineStr">
        <is>
          <t>100건</t>
        </is>
      </c>
      <c r="E1162" s="47" t="inlineStr">
        <is>
          <t>월 2GB</t>
        </is>
      </c>
      <c r="F1162" s="47" t="inlineStr">
        <is>
          <t>SKT</t>
        </is>
      </c>
      <c r="G1162" s="47" t="inlineStr">
        <is>
          <t>LTE</t>
        </is>
      </c>
      <c r="H1162" s="48" t="n">
        <v>5500</v>
      </c>
      <c r="I1162" s="48" t="n"/>
      <c r="J1162" s="48" t="n"/>
      <c r="K1162" s="47">
        <f t="array" ref="K1162">_xlfn.XLOOKUP(1,(참조!$B$2:$B$15=E1162)*(참조!$D$2:$D$15=C1162)*(참조!$E$2:$E$15=D1162),참조!$C$2:$C$15,"")</f>
        <v/>
      </c>
    </row>
    <row r="1163" hidden="1" s="27">
      <c r="A1163" s="47" t="inlineStr">
        <is>
          <t>에이모바일</t>
        </is>
      </c>
      <c r="B1163" s="47" t="inlineStr">
        <is>
          <t>A 올라잇 15GB+ 밀리의서재</t>
        </is>
      </c>
      <c r="C1163" s="47" t="inlineStr">
        <is>
          <t>무제한</t>
        </is>
      </c>
      <c r="D1163" s="47" t="inlineStr">
        <is>
          <t>무제한</t>
        </is>
      </c>
      <c r="E1163" s="47" t="inlineStr">
        <is>
          <t>월 15GB + 1Mbps</t>
        </is>
      </c>
      <c r="F1163" s="47" t="inlineStr">
        <is>
          <t>KT</t>
        </is>
      </c>
      <c r="G1163" s="47" t="inlineStr">
        <is>
          <t>LTE</t>
        </is>
      </c>
      <c r="H1163" s="48" t="n">
        <v>5500</v>
      </c>
      <c r="I1163" s="48" t="n">
        <v>7</v>
      </c>
      <c r="J1163" s="48" t="n">
        <v>24200</v>
      </c>
      <c r="K1163" s="47">
        <f t="array" ref="K1163">_xlfn.XLOOKUP(1,(참조!$B$2:$B$15=E1163)*(참조!$D$2:$D$15=C1163)*(참조!$E$2:$E$15=D1163),참조!$C$2:$C$15,"")</f>
        <v/>
      </c>
    </row>
    <row r="1164" hidden="1" s="27">
      <c r="A1164" s="47" t="inlineStr">
        <is>
          <t>KG모바일</t>
        </is>
      </c>
      <c r="B1164" s="47" t="inlineStr">
        <is>
          <t>[KG모바일 스페셜] 데이터 마음대로 (15GB+/300분)</t>
        </is>
      </c>
      <c r="C1164" s="47" t="inlineStr">
        <is>
          <t>300분</t>
        </is>
      </c>
      <c r="D1164" s="47" t="inlineStr">
        <is>
          <t>300건</t>
        </is>
      </c>
      <c r="E1164" s="47" t="inlineStr">
        <is>
          <t>월 15GB + 3Mbps</t>
        </is>
      </c>
      <c r="F1164" s="47" t="inlineStr">
        <is>
          <t>LG U+</t>
        </is>
      </c>
      <c r="G1164" s="47" t="inlineStr">
        <is>
          <t>LTE</t>
        </is>
      </c>
      <c r="H1164" s="48" t="n">
        <v>16000</v>
      </c>
      <c r="I1164" s="48" t="n">
        <v>7</v>
      </c>
      <c r="J1164" s="48" t="n">
        <v>35200</v>
      </c>
      <c r="K1164" s="47">
        <f t="array" ref="K1164">_xlfn.XLOOKUP(1,(참조!$B$2:$B$15=E1164)*(참조!$D$2:$D$15=C1164)*(참조!$E$2:$E$15=D1164),참조!$C$2:$C$15,"")</f>
        <v/>
      </c>
    </row>
    <row r="1165" hidden="1" s="27">
      <c r="A1165" s="47" t="inlineStr">
        <is>
          <t>스마텔</t>
        </is>
      </c>
      <c r="B1165" s="47" t="inlineStr">
        <is>
          <t>스위트 15GB+</t>
        </is>
      </c>
      <c r="C1165" s="47" t="inlineStr">
        <is>
          <t>100분</t>
        </is>
      </c>
      <c r="D1165" s="47" t="inlineStr">
        <is>
          <t>100건</t>
        </is>
      </c>
      <c r="E1165" s="47" t="inlineStr">
        <is>
          <t>월 15GB + 3Mbps</t>
        </is>
      </c>
      <c r="F1165" s="47" t="inlineStr">
        <is>
          <t>KT</t>
        </is>
      </c>
      <c r="G1165" s="47" t="inlineStr">
        <is>
          <t>LTE</t>
        </is>
      </c>
      <c r="H1165" s="48" t="n">
        <v>27500</v>
      </c>
      <c r="I1165" s="48" t="n">
        <v>36</v>
      </c>
      <c r="J1165" s="48" t="n">
        <v>33000</v>
      </c>
      <c r="K1165" s="47">
        <f t="array" ref="K1165">_xlfn.XLOOKUP(1,(참조!$B$2:$B$15=E1165)*(참조!$D$2:$D$15=C1165)*(참조!$E$2:$E$15=D1165),참조!$C$2:$C$15,"")</f>
        <v/>
      </c>
    </row>
    <row r="1166" hidden="1" s="27">
      <c r="A1166" s="47" t="inlineStr">
        <is>
          <t>아이즈모바일</t>
        </is>
      </c>
      <c r="B1166" s="47" t="inlineStr">
        <is>
          <t>[L]5G 데이터125GB+5Mbps</t>
        </is>
      </c>
      <c r="C1166" s="47" t="inlineStr">
        <is>
          <t>무제한</t>
        </is>
      </c>
      <c r="D1166" s="47" t="inlineStr">
        <is>
          <t>무제한</t>
        </is>
      </c>
      <c r="E1166" s="47" t="inlineStr">
        <is>
          <t>월 125GB + 5Mbps</t>
        </is>
      </c>
      <c r="F1166" s="47" t="inlineStr">
        <is>
          <t>LG U+</t>
        </is>
      </c>
      <c r="G1166" s="47" t="inlineStr">
        <is>
          <t>5G</t>
        </is>
      </c>
      <c r="H1166" s="48" t="n">
        <v>27800</v>
      </c>
      <c r="I1166" s="48" t="n">
        <v>24</v>
      </c>
      <c r="J1166" s="48" t="n">
        <v>59400</v>
      </c>
      <c r="K1166" s="47">
        <f t="array" ref="K1166">_xlfn.XLOOKUP(1,(참조!$B$2:$B$15=E1166)*(참조!$D$2:$D$15=C1166)*(참조!$E$2:$E$15=D1166),참조!$C$2:$C$15,"")</f>
        <v/>
      </c>
    </row>
    <row r="1167" hidden="1" s="27">
      <c r="A1167" s="47" t="inlineStr">
        <is>
          <t>U+유모바일</t>
        </is>
      </c>
      <c r="B1167" s="47" t="inlineStr">
        <is>
          <t>[GS25 12만] 150GB+/통화기본</t>
        </is>
      </c>
      <c r="C1167" s="47" t="inlineStr">
        <is>
          <t>무제한</t>
        </is>
      </c>
      <c r="D1167" s="47" t="inlineStr">
        <is>
          <t>무제한</t>
        </is>
      </c>
      <c r="E1167" s="47" t="inlineStr">
        <is>
          <t>월 150GB + 5Mbps</t>
        </is>
      </c>
      <c r="F1167" s="47" t="inlineStr">
        <is>
          <t>LG U+</t>
        </is>
      </c>
      <c r="G1167" s="47" t="inlineStr">
        <is>
          <t>LTE</t>
        </is>
      </c>
      <c r="H1167" s="48" t="n">
        <v>40500</v>
      </c>
      <c r="I1167" s="48" t="n"/>
      <c r="J1167" s="48" t="n"/>
      <c r="K1167" s="47">
        <f t="array" ref="K1167">_xlfn.XLOOKUP(1,(참조!$B$2:$B$15=E1167)*(참조!$D$2:$D$15=C1167)*(참조!$E$2:$E$15=D1167),참조!$C$2:$C$15,"")</f>
        <v/>
      </c>
    </row>
    <row r="1168" hidden="1" s="27">
      <c r="A1168" s="47" t="inlineStr">
        <is>
          <t>스마텔</t>
        </is>
      </c>
      <c r="B1168" s="47" t="inlineStr">
        <is>
          <t>스마일 플러스(50분+1.8GB)</t>
        </is>
      </c>
      <c r="C1168" s="47" t="inlineStr">
        <is>
          <t>50분</t>
        </is>
      </c>
      <c r="D1168" s="47" t="inlineStr">
        <is>
          <t>50건</t>
        </is>
      </c>
      <c r="E1168" s="47" t="inlineStr">
        <is>
          <t>월 1.8GB</t>
        </is>
      </c>
      <c r="F1168" s="47" t="inlineStr">
        <is>
          <t>SKT</t>
        </is>
      </c>
      <c r="G1168" s="47" t="inlineStr">
        <is>
          <t>LTE</t>
        </is>
      </c>
      <c r="H1168" s="48" t="n">
        <v>1760</v>
      </c>
      <c r="I1168" s="48" t="n">
        <v>5</v>
      </c>
      <c r="J1168" s="48" t="n">
        <v>3300</v>
      </c>
      <c r="K1168" s="47">
        <f t="array" ref="K1168">_xlfn.XLOOKUP(1,(참조!$B$2:$B$15=E1168)*(참조!$D$2:$D$15=C1168)*(참조!$E$2:$E$15=D1168),참조!$C$2:$C$15,"")</f>
        <v/>
      </c>
    </row>
    <row r="1169" hidden="1" s="27">
      <c r="A1169" s="47" t="inlineStr">
        <is>
          <t>쉐이크모바일</t>
        </is>
      </c>
      <c r="B1169" s="47" t="inlineStr">
        <is>
          <t>[모요only] 쉐이크 LTE 7GB+_모아진 전자 구독</t>
        </is>
      </c>
      <c r="C1169" s="47" t="inlineStr">
        <is>
          <t>무제한</t>
        </is>
      </c>
      <c r="D1169" s="47" t="inlineStr">
        <is>
          <t>무제한</t>
        </is>
      </c>
      <c r="E1169" s="47" t="inlineStr">
        <is>
          <t>월 7GB + 1Mbps</t>
        </is>
      </c>
      <c r="F1169" s="47" t="inlineStr">
        <is>
          <t>KT</t>
        </is>
      </c>
      <c r="G1169" s="47" t="inlineStr">
        <is>
          <t>LTE</t>
        </is>
      </c>
      <c r="H1169" s="48" t="n">
        <v>7700</v>
      </c>
      <c r="I1169" s="48" t="n">
        <v>7</v>
      </c>
      <c r="J1169" s="48" t="n">
        <v>23100</v>
      </c>
      <c r="K1169" s="47">
        <f t="array" ref="K1169">_xlfn.XLOOKUP(1,(참조!$B$2:$B$15=E1169)*(참조!$D$2:$D$15=C1169)*(참조!$E$2:$E$15=D1169),참조!$C$2:$C$15,"")</f>
        <v/>
      </c>
    </row>
    <row r="1170" hidden="1" s="27">
      <c r="A1170" s="47" t="inlineStr">
        <is>
          <t>모빙</t>
        </is>
      </c>
      <c r="B1170" s="47" t="inlineStr">
        <is>
          <t>[S] 200분5GB</t>
        </is>
      </c>
      <c r="C1170" s="47" t="inlineStr">
        <is>
          <t>200분</t>
        </is>
      </c>
      <c r="D1170" s="47" t="inlineStr">
        <is>
          <t>100건</t>
        </is>
      </c>
      <c r="E1170" s="47" t="inlineStr">
        <is>
          <t>월 5GB</t>
        </is>
      </c>
      <c r="F1170" s="47" t="inlineStr">
        <is>
          <t>SKT</t>
        </is>
      </c>
      <c r="G1170" s="47" t="inlineStr">
        <is>
          <t>LTE</t>
        </is>
      </c>
      <c r="H1170" s="48" t="n">
        <v>990</v>
      </c>
      <c r="I1170" s="48" t="n">
        <v>12</v>
      </c>
      <c r="J1170" s="48" t="n">
        <v>16500</v>
      </c>
      <c r="K1170" s="47">
        <f t="array" ref="K1170">_xlfn.XLOOKUP(1,(참조!$B$2:$B$15=E1170)*(참조!$D$2:$D$15=C1170)*(참조!$E$2:$E$15=D1170),참조!$C$2:$C$15,"")</f>
        <v/>
      </c>
    </row>
    <row r="1171" hidden="1" s="27">
      <c r="A1171" s="47" t="inlineStr">
        <is>
          <t>모빙</t>
        </is>
      </c>
      <c r="B1171" s="47" t="inlineStr">
        <is>
          <t>[K] 5G 200분15GB</t>
        </is>
      </c>
      <c r="C1171" s="47" t="inlineStr">
        <is>
          <t>200분</t>
        </is>
      </c>
      <c r="D1171" s="47" t="inlineStr">
        <is>
          <t>100건</t>
        </is>
      </c>
      <c r="E1171" s="47" t="inlineStr">
        <is>
          <t>월 15GB</t>
        </is>
      </c>
      <c r="F1171" s="47" t="inlineStr">
        <is>
          <t>KT</t>
        </is>
      </c>
      <c r="G1171" s="47" t="inlineStr">
        <is>
          <t>5G</t>
        </is>
      </c>
      <c r="H1171" s="48" t="n">
        <v>5610</v>
      </c>
      <c r="I1171" s="48" t="n">
        <v>7</v>
      </c>
      <c r="J1171" s="48" t="n">
        <v>34100</v>
      </c>
      <c r="K1171" s="47">
        <f t="array" ref="K1171">_xlfn.XLOOKUP(1,(참조!$B$2:$B$15=E1171)*(참조!$D$2:$D$15=C1171)*(참조!$E$2:$E$15=D1171),참조!$C$2:$C$15,"")</f>
        <v/>
      </c>
    </row>
    <row r="1172" hidden="1" s="27">
      <c r="A1172" s="47" t="inlineStr">
        <is>
          <t>인스모바일</t>
        </is>
      </c>
      <c r="B1172" s="47" t="inlineStr">
        <is>
          <t>인스 유심 올프리 7GB+</t>
        </is>
      </c>
      <c r="C1172" s="47" t="inlineStr">
        <is>
          <t>무제한</t>
        </is>
      </c>
      <c r="D1172" s="47" t="inlineStr">
        <is>
          <t>무제한</t>
        </is>
      </c>
      <c r="E1172" s="47" t="inlineStr">
        <is>
          <t>월 7GB + 1Mbps</t>
        </is>
      </c>
      <c r="F1172" s="47" t="inlineStr">
        <is>
          <t>LG U+</t>
        </is>
      </c>
      <c r="G1172" s="47" t="inlineStr">
        <is>
          <t>LTE</t>
        </is>
      </c>
      <c r="H1172" s="48" t="n">
        <v>4950</v>
      </c>
      <c r="I1172" s="48" t="n">
        <v>7</v>
      </c>
      <c r="J1172" s="48" t="n">
        <v>29700</v>
      </c>
      <c r="K1172" s="47">
        <f t="array" ref="K1172">_xlfn.XLOOKUP(1,(참조!$B$2:$B$15=E1172)*(참조!$D$2:$D$15=C1172)*(참조!$E$2:$E$15=D1172),참조!$C$2:$C$15,"")</f>
        <v/>
      </c>
    </row>
    <row r="1173" hidden="1" s="27">
      <c r="A1173" s="47" t="inlineStr">
        <is>
          <t>고고모바일</t>
        </is>
      </c>
      <c r="B1173" s="47" t="inlineStr">
        <is>
          <t>무제한11GB+3Mbps(지니뮤직 매월 무료)</t>
        </is>
      </c>
      <c r="C1173" s="47" t="inlineStr">
        <is>
          <t>무제한</t>
        </is>
      </c>
      <c r="D1173" s="47" t="inlineStr">
        <is>
          <t>무제한</t>
        </is>
      </c>
      <c r="E1173" s="47" t="inlineStr">
        <is>
          <t>월 11GB + 매일 2GB + 3Mbps</t>
        </is>
      </c>
      <c r="F1173" s="47" t="inlineStr">
        <is>
          <t>KT</t>
        </is>
      </c>
      <c r="G1173" s="47" t="inlineStr">
        <is>
          <t>LTE</t>
        </is>
      </c>
      <c r="H1173" s="48" t="n">
        <v>39600</v>
      </c>
      <c r="I1173" s="48" t="n"/>
      <c r="J1173" s="48" t="n"/>
      <c r="K1173" s="47">
        <f t="array" ref="K1173">_xlfn.XLOOKUP(1,(참조!$B$2:$B$15=E1173)*(참조!$D$2:$D$15=C1173)*(참조!$E$2:$E$15=D1173),참조!$C$2:$C$15,"")</f>
        <v/>
      </c>
    </row>
    <row r="1174" hidden="1" s="27">
      <c r="A1174" s="47" t="inlineStr">
        <is>
          <t>티플러스</t>
        </is>
      </c>
      <c r="B1174" s="47" t="inlineStr">
        <is>
          <t>티플 데이터마음껏15G＋(100분)</t>
        </is>
      </c>
      <c r="C1174" s="47" t="inlineStr">
        <is>
          <t>100분</t>
        </is>
      </c>
      <c r="D1174" s="47" t="inlineStr">
        <is>
          <t>100건</t>
        </is>
      </c>
      <c r="E1174" s="47" t="inlineStr">
        <is>
          <t>월 15GB + 3Mbps</t>
        </is>
      </c>
      <c r="F1174" s="47" t="inlineStr">
        <is>
          <t>LG U+</t>
        </is>
      </c>
      <c r="G1174" s="47" t="inlineStr">
        <is>
          <t>LTE</t>
        </is>
      </c>
      <c r="H1174" s="48" t="n">
        <v>27500</v>
      </c>
      <c r="I1174" s="48" t="n"/>
      <c r="J1174" s="48" t="n"/>
      <c r="K1174" s="47">
        <f t="array" ref="K1174">_xlfn.XLOOKUP(1,(참조!$B$2:$B$15=E1174)*(참조!$D$2:$D$15=C1174)*(참조!$E$2:$E$15=D1174),참조!$C$2:$C$15,"")</f>
        <v/>
      </c>
    </row>
    <row r="1175" hidden="1" s="27">
      <c r="A1175" s="47" t="inlineStr">
        <is>
          <t>KT엠모바일</t>
        </is>
      </c>
      <c r="B1175" s="47" t="inlineStr">
        <is>
          <t>모두다 맘껏 100GB+(PAY쿠폰 5000P)</t>
        </is>
      </c>
      <c r="C1175" s="47" t="inlineStr">
        <is>
          <t>무제한</t>
        </is>
      </c>
      <c r="D1175" s="47" t="inlineStr">
        <is>
          <t>무제한</t>
        </is>
      </c>
      <c r="E1175" s="47" t="inlineStr">
        <is>
          <t>월 100GB + 5Mbps</t>
        </is>
      </c>
      <c r="F1175" s="47" t="inlineStr">
        <is>
          <t>KT</t>
        </is>
      </c>
      <c r="G1175" s="47" t="inlineStr">
        <is>
          <t>LTE</t>
        </is>
      </c>
      <c r="H1175" s="48" t="n">
        <v>41700</v>
      </c>
      <c r="I1175" s="48" t="n"/>
      <c r="J1175" s="48" t="n"/>
      <c r="K1175" s="47">
        <f t="array" ref="K1175">_xlfn.XLOOKUP(1,(참조!$B$2:$B$15=E1175)*(참조!$D$2:$D$15=C1175)*(참조!$E$2:$E$15=D1175),참조!$C$2:$C$15,"")</f>
        <v/>
      </c>
    </row>
    <row r="1176" hidden="1" s="27">
      <c r="A1176" s="47" t="inlineStr">
        <is>
          <t>KT스카이라이프</t>
        </is>
      </c>
      <c r="B1176" s="47" t="inlineStr">
        <is>
          <t>5G 모두 충분 70GB+</t>
        </is>
      </c>
      <c r="C1176" s="47" t="inlineStr">
        <is>
          <t>무제한</t>
        </is>
      </c>
      <c r="D1176" s="47" t="inlineStr">
        <is>
          <t>무제한</t>
        </is>
      </c>
      <c r="E1176" s="47" t="inlineStr">
        <is>
          <t>월 70GB + 1Mbps</t>
        </is>
      </c>
      <c r="F1176" s="47" t="inlineStr">
        <is>
          <t>KT</t>
        </is>
      </c>
      <c r="G1176" s="47" t="inlineStr">
        <is>
          <t>5G</t>
        </is>
      </c>
      <c r="H1176" s="48" t="n">
        <v>39700</v>
      </c>
      <c r="I1176" s="48" t="n"/>
      <c r="J1176" s="48" t="n"/>
      <c r="K1176" s="47">
        <f t="array" ref="K1176">_xlfn.XLOOKUP(1,(참조!$B$2:$B$15=E1176)*(참조!$D$2:$D$15=C1176)*(참조!$E$2:$E$15=D1176),참조!$C$2:$C$15,"")</f>
        <v/>
      </c>
    </row>
    <row r="1177" hidden="1" s="27">
      <c r="A1177" s="47" t="inlineStr">
        <is>
          <t>아이즈모바일</t>
        </is>
      </c>
      <c r="B1177" s="47" t="inlineStr">
        <is>
          <t>[K]5G 네이버페이 110GB+</t>
        </is>
      </c>
      <c r="C1177" s="47" t="inlineStr">
        <is>
          <t>무제한</t>
        </is>
      </c>
      <c r="D1177" s="47" t="inlineStr">
        <is>
          <t>무제한</t>
        </is>
      </c>
      <c r="E1177" s="47" t="inlineStr">
        <is>
          <t>월 110GB + 5Mbps</t>
        </is>
      </c>
      <c r="F1177" s="47" t="inlineStr">
        <is>
          <t>KT</t>
        </is>
      </c>
      <c r="G1177" s="47" t="inlineStr">
        <is>
          <t>5G</t>
        </is>
      </c>
      <c r="H1177" s="48" t="n">
        <v>11900</v>
      </c>
      <c r="I1177" s="48" t="n">
        <v>7</v>
      </c>
      <c r="J1177" s="48" t="n">
        <v>58300</v>
      </c>
      <c r="K1177" s="47">
        <f t="array" ref="K1177">_xlfn.XLOOKUP(1,(참조!$B$2:$B$15=E1177)*(참조!$D$2:$D$15=C1177)*(참조!$E$2:$E$15=D1177),참조!$C$2:$C$15,"")</f>
        <v/>
      </c>
    </row>
    <row r="1178" hidden="1" s="27">
      <c r="A1178" s="47" t="inlineStr">
        <is>
          <t>KT스카이라이프</t>
        </is>
      </c>
      <c r="B1178" s="47" t="inlineStr">
        <is>
          <t>모두 충분 11GB+(웨이브)</t>
        </is>
      </c>
      <c r="C1178" s="47" t="inlineStr">
        <is>
          <t>무제한</t>
        </is>
      </c>
      <c r="D1178" s="47" t="inlineStr">
        <is>
          <t>무제한</t>
        </is>
      </c>
      <c r="E1178" s="47" t="inlineStr">
        <is>
          <t>월 11GB + 매일 2GB + 3Mbps</t>
        </is>
      </c>
      <c r="F1178" s="47" t="inlineStr">
        <is>
          <t>KT</t>
        </is>
      </c>
      <c r="G1178" s="47" t="inlineStr">
        <is>
          <t>LTE</t>
        </is>
      </c>
      <c r="H1178" s="48" t="n">
        <v>37800</v>
      </c>
      <c r="I1178" s="48" t="n"/>
      <c r="J1178" s="48" t="n"/>
      <c r="K1178" s="47">
        <f t="array" ref="K1178">_xlfn.XLOOKUP(1,(참조!$B$2:$B$15=E1178)*(참조!$D$2:$D$15=C1178)*(참조!$E$2:$E$15=D1178),참조!$C$2:$C$15,"")</f>
        <v/>
      </c>
    </row>
    <row r="1179" hidden="1" s="27">
      <c r="A1179" s="47" t="inlineStr">
        <is>
          <t>티플러스</t>
        </is>
      </c>
      <c r="B1179" s="47" t="inlineStr">
        <is>
          <t>티플 CGV 15GB＋(300분)</t>
        </is>
      </c>
      <c r="C1179" s="47" t="inlineStr">
        <is>
          <t>300분</t>
        </is>
      </c>
      <c r="D1179" s="47" t="inlineStr">
        <is>
          <t>300건</t>
        </is>
      </c>
      <c r="E1179" s="47" t="inlineStr">
        <is>
          <t>월 15GB + 3Mbps</t>
        </is>
      </c>
      <c r="F1179" s="47" t="inlineStr">
        <is>
          <t>SKT</t>
        </is>
      </c>
      <c r="G1179" s="47" t="inlineStr">
        <is>
          <t>LTE</t>
        </is>
      </c>
      <c r="H1179" s="48" t="n">
        <v>13900</v>
      </c>
      <c r="I1179" s="48" t="n">
        <v>7</v>
      </c>
      <c r="J1179" s="48" t="n">
        <v>46200</v>
      </c>
      <c r="K1179" s="47">
        <f t="array" ref="K1179">_xlfn.XLOOKUP(1,(참조!$B$2:$B$15=E1179)*(참조!$D$2:$D$15=C1179)*(참조!$E$2:$E$15=D1179),참조!$C$2:$C$15,"")</f>
        <v/>
      </c>
    </row>
    <row r="1180" hidden="1" s="27">
      <c r="A1180" s="47" t="inlineStr">
        <is>
          <t>마블링</t>
        </is>
      </c>
      <c r="B1180" s="47" t="inlineStr">
        <is>
          <t>[모요only] 프라임 15GB+3Mbps 300분</t>
        </is>
      </c>
      <c r="C1180" s="47" t="inlineStr">
        <is>
          <t>300분</t>
        </is>
      </c>
      <c r="D1180" s="47" t="inlineStr">
        <is>
          <t>300건</t>
        </is>
      </c>
      <c r="E1180" s="47" t="inlineStr">
        <is>
          <t>월 15GB + 3Mbps</t>
        </is>
      </c>
      <c r="F1180" s="47" t="inlineStr">
        <is>
          <t>LG U+</t>
        </is>
      </c>
      <c r="G1180" s="47" t="inlineStr">
        <is>
          <t>LTE</t>
        </is>
      </c>
      <c r="H1180" s="48" t="n">
        <v>16000</v>
      </c>
      <c r="I1180" s="48" t="n">
        <v>7</v>
      </c>
      <c r="J1180" s="48" t="n">
        <v>29900</v>
      </c>
      <c r="K1180" s="47">
        <f t="array" ref="K1180">_xlfn.XLOOKUP(1,(참조!$B$2:$B$15=E1180)*(참조!$D$2:$D$15=C1180)*(참조!$E$2:$E$15=D1180),참조!$C$2:$C$15,"")</f>
        <v/>
      </c>
    </row>
    <row r="1181" hidden="1" s="27">
      <c r="A1181" s="47" t="inlineStr">
        <is>
          <t>고고모바일</t>
        </is>
      </c>
      <c r="B1181" s="47" t="inlineStr">
        <is>
          <t>LTE무제한 100GB+5M(CU20%할인)</t>
        </is>
      </c>
      <c r="C1181" s="47" t="inlineStr">
        <is>
          <t>무제한</t>
        </is>
      </c>
      <c r="D1181" s="47" t="inlineStr">
        <is>
          <t>무제한</t>
        </is>
      </c>
      <c r="E1181" s="47" t="inlineStr">
        <is>
          <t>월 100GB + 5Mbps</t>
        </is>
      </c>
      <c r="F1181" s="47" t="inlineStr">
        <is>
          <t>KT</t>
        </is>
      </c>
      <c r="G1181" s="47" t="inlineStr">
        <is>
          <t>LTE</t>
        </is>
      </c>
      <c r="H1181" s="48" t="n">
        <v>42020</v>
      </c>
      <c r="I1181" s="48" t="n"/>
      <c r="J1181" s="48" t="n"/>
      <c r="K1181" s="47">
        <f t="array" ref="K1181">_xlfn.XLOOKUP(1,(참조!$B$2:$B$15=E1181)*(참조!$D$2:$D$15=C1181)*(참조!$E$2:$E$15=D1181),참조!$C$2:$C$15,"")</f>
        <v/>
      </c>
    </row>
    <row r="1182" hidden="1" s="27">
      <c r="A1182" s="47" t="inlineStr">
        <is>
          <t>U+유모바일</t>
        </is>
      </c>
      <c r="B1182" s="47" t="inlineStr">
        <is>
          <t>[평생할인] 5GB+/100분</t>
        </is>
      </c>
      <c r="C1182" s="47" t="inlineStr">
        <is>
          <t>100분</t>
        </is>
      </c>
      <c r="D1182" s="47" t="inlineStr">
        <is>
          <t>100건</t>
        </is>
      </c>
      <c r="E1182" s="47" t="inlineStr">
        <is>
          <t>월 5GB + 1Mbps</t>
        </is>
      </c>
      <c r="F1182" s="47" t="inlineStr">
        <is>
          <t>LG U+</t>
        </is>
      </c>
      <c r="G1182" s="47" t="inlineStr">
        <is>
          <t>LTE</t>
        </is>
      </c>
      <c r="H1182" s="48" t="n">
        <v>11500</v>
      </c>
      <c r="I1182" s="48" t="n"/>
      <c r="J1182" s="48" t="n"/>
      <c r="K1182" s="47">
        <f t="array" ref="K1182">_xlfn.XLOOKUP(1,(참조!$B$2:$B$15=E1182)*(참조!$D$2:$D$15=C1182)*(참조!$E$2:$E$15=D1182),참조!$C$2:$C$15,"")</f>
        <v/>
      </c>
    </row>
    <row r="1183" hidden="1" s="27">
      <c r="A1183" s="47" t="inlineStr">
        <is>
          <t>티플러스</t>
        </is>
      </c>
      <c r="B1183" s="47" t="inlineStr">
        <is>
          <t>The 완전마음껏10G＋(올리브영 매월 5000P)</t>
        </is>
      </c>
      <c r="C1183" s="47" t="inlineStr">
        <is>
          <t>무제한</t>
        </is>
      </c>
      <c r="D1183" s="47" t="inlineStr">
        <is>
          <t>무제한</t>
        </is>
      </c>
      <c r="E1183" s="47" t="inlineStr">
        <is>
          <t>월 10GB + 1Mbps</t>
        </is>
      </c>
      <c r="F1183" s="47" t="inlineStr">
        <is>
          <t>LG U+</t>
        </is>
      </c>
      <c r="G1183" s="47" t="inlineStr">
        <is>
          <t>LTE</t>
        </is>
      </c>
      <c r="H1183" s="48" t="n">
        <v>17500</v>
      </c>
      <c r="I1183" s="48" t="n">
        <v>24</v>
      </c>
      <c r="J1183" s="48" t="n">
        <v>27830</v>
      </c>
      <c r="K1183" s="47">
        <f t="array" ref="K1183">_xlfn.XLOOKUP(1,(참조!$B$2:$B$15=E1183)*(참조!$D$2:$D$15=C1183)*(참조!$E$2:$E$15=D1183),참조!$C$2:$C$15,"")</f>
        <v/>
      </c>
    </row>
    <row r="1184" hidden="1" s="27">
      <c r="A1184" s="47" t="inlineStr">
        <is>
          <t>티플러스</t>
        </is>
      </c>
      <c r="B1184" s="47" t="inlineStr">
        <is>
          <t>The 완전마음껏10G+(카톡 이모티콘+예스24e북)</t>
        </is>
      </c>
      <c r="C1184" s="47" t="inlineStr">
        <is>
          <t>무제한</t>
        </is>
      </c>
      <c r="D1184" s="47" t="inlineStr">
        <is>
          <t>무제한</t>
        </is>
      </c>
      <c r="E1184" s="47" t="inlineStr">
        <is>
          <t>월 10GB + 1Mbps</t>
        </is>
      </c>
      <c r="F1184" s="47" t="inlineStr">
        <is>
          <t>LG U+</t>
        </is>
      </c>
      <c r="G1184" s="47" t="inlineStr">
        <is>
          <t>LTE</t>
        </is>
      </c>
      <c r="H1184" s="48" t="n">
        <v>17500</v>
      </c>
      <c r="I1184" s="48" t="n">
        <v>24</v>
      </c>
      <c r="J1184" s="48" t="n">
        <v>27830</v>
      </c>
      <c r="K1184" s="47">
        <f t="array" ref="K1184">_xlfn.XLOOKUP(1,(참조!$B$2:$B$15=E1184)*(참조!$D$2:$D$15=C1184)*(참조!$E$2:$E$15=D1184),참조!$C$2:$C$15,"")</f>
        <v/>
      </c>
    </row>
    <row r="1185" hidden="1" s="27">
      <c r="A1185" s="47" t="inlineStr">
        <is>
          <t>티플러스</t>
        </is>
      </c>
      <c r="B1185" s="47" t="inlineStr">
        <is>
          <t>The 완전마음껏10G+(컬쳐랜드 문화상품권 매월 5000P)</t>
        </is>
      </c>
      <c r="C1185" s="47" t="inlineStr">
        <is>
          <t>무제한</t>
        </is>
      </c>
      <c r="D1185" s="47" t="inlineStr">
        <is>
          <t>무제한</t>
        </is>
      </c>
      <c r="E1185" s="47" t="inlineStr">
        <is>
          <t>월 10GB + 1Mbps</t>
        </is>
      </c>
      <c r="F1185" s="47" t="inlineStr">
        <is>
          <t>LG U+</t>
        </is>
      </c>
      <c r="G1185" s="47" t="inlineStr">
        <is>
          <t>LTE</t>
        </is>
      </c>
      <c r="H1185" s="48" t="n">
        <v>17500</v>
      </c>
      <c r="I1185" s="48" t="n">
        <v>24</v>
      </c>
      <c r="J1185" s="48" t="n">
        <v>27830</v>
      </c>
      <c r="K1185" s="47">
        <f t="array" ref="K1185">_xlfn.XLOOKUP(1,(참조!$B$2:$B$15=E1185)*(참조!$D$2:$D$15=C1185)*(참조!$E$2:$E$15=D1185),참조!$C$2:$C$15,"")</f>
        <v/>
      </c>
    </row>
    <row r="1186" hidden="1" s="27">
      <c r="A1186" s="47" t="inlineStr">
        <is>
          <t>아이즈모바일</t>
        </is>
      </c>
      <c r="B1186" s="47" t="inlineStr">
        <is>
          <t>[L]아이즈팩 300분/15GB+</t>
        </is>
      </c>
      <c r="C1186" s="47" t="inlineStr">
        <is>
          <t>300분</t>
        </is>
      </c>
      <c r="D1186" s="47" t="inlineStr">
        <is>
          <t>300건</t>
        </is>
      </c>
      <c r="E1186" s="47" t="inlineStr">
        <is>
          <t>월 15GB + 3Mbps</t>
        </is>
      </c>
      <c r="F1186" s="47" t="inlineStr">
        <is>
          <t>LG U+</t>
        </is>
      </c>
      <c r="G1186" s="47" t="inlineStr">
        <is>
          <t>LTE</t>
        </is>
      </c>
      <c r="H1186" s="48" t="n">
        <v>19500</v>
      </c>
      <c r="I1186" s="48" t="n">
        <v>24</v>
      </c>
      <c r="J1186" s="48" t="n">
        <v>36900</v>
      </c>
      <c r="K1186" s="47">
        <f t="array" ref="K1186">_xlfn.XLOOKUP(1,(참조!$B$2:$B$15=E1186)*(참조!$D$2:$D$15=C1186)*(참조!$E$2:$E$15=D1186),참조!$C$2:$C$15,"")</f>
        <v/>
      </c>
    </row>
    <row r="1187" hidden="1" s="27">
      <c r="A1187" s="47" t="inlineStr">
        <is>
          <t>KT스카이라이프</t>
        </is>
      </c>
      <c r="B1187" s="47" t="inlineStr">
        <is>
          <t>모두 충분 100GB+(올리브영_5000)</t>
        </is>
      </c>
      <c r="C1187" s="47" t="inlineStr">
        <is>
          <t>무제한</t>
        </is>
      </c>
      <c r="D1187" s="47" t="inlineStr">
        <is>
          <t>무제한</t>
        </is>
      </c>
      <c r="E1187" s="47" t="inlineStr">
        <is>
          <t>월 100GB + 5Mbps</t>
        </is>
      </c>
      <c r="F1187" s="47" t="inlineStr">
        <is>
          <t>KT</t>
        </is>
      </c>
      <c r="G1187" s="47" t="inlineStr">
        <is>
          <t>LTE</t>
        </is>
      </c>
      <c r="H1187" s="48" t="n">
        <v>41800</v>
      </c>
      <c r="I1187" s="48" t="n"/>
      <c r="J1187" s="48" t="n"/>
      <c r="K1187" s="47">
        <f t="array" ref="K1187">_xlfn.XLOOKUP(1,(참조!$B$2:$B$15=E1187)*(참조!$D$2:$D$15=C1187)*(참조!$E$2:$E$15=D1187),참조!$C$2:$C$15,"")</f>
        <v/>
      </c>
    </row>
    <row r="1188" hidden="1" s="27">
      <c r="A1188" s="47" t="inlineStr">
        <is>
          <t>티플러스</t>
        </is>
      </c>
      <c r="B1188" s="47" t="inlineStr">
        <is>
          <t>The 완전마음껏10G＋(스타벅스 매월 5000P)</t>
        </is>
      </c>
      <c r="C1188" s="47" t="inlineStr">
        <is>
          <t>무제한</t>
        </is>
      </c>
      <c r="D1188" s="47" t="inlineStr">
        <is>
          <t>무제한</t>
        </is>
      </c>
      <c r="E1188" s="47" t="inlineStr">
        <is>
          <t>월 10GB + 1Mbps</t>
        </is>
      </c>
      <c r="F1188" s="47" t="inlineStr">
        <is>
          <t>LG U+</t>
        </is>
      </c>
      <c r="G1188" s="47" t="inlineStr">
        <is>
          <t>LTE</t>
        </is>
      </c>
      <c r="H1188" s="48" t="n">
        <v>17500</v>
      </c>
      <c r="I1188" s="48" t="n">
        <v>24</v>
      </c>
      <c r="J1188" s="48" t="n">
        <v>27830</v>
      </c>
      <c r="K1188" s="47">
        <f t="array" ref="K1188">_xlfn.XLOOKUP(1,(참조!$B$2:$B$15=E1188)*(참조!$D$2:$D$15=C1188)*(참조!$E$2:$E$15=D1188),참조!$C$2:$C$15,"")</f>
        <v/>
      </c>
    </row>
    <row r="1189" hidden="1" s="27">
      <c r="A1189" s="47" t="inlineStr">
        <is>
          <t>에이모바일</t>
        </is>
      </c>
      <c r="B1189" s="47" t="inlineStr">
        <is>
          <t>A 넥스트 100GB+(네이버페이 1만x7개월)</t>
        </is>
      </c>
      <c r="C1189" s="47" t="inlineStr">
        <is>
          <t>무제한</t>
        </is>
      </c>
      <c r="D1189" s="47" t="inlineStr">
        <is>
          <t>무제한</t>
        </is>
      </c>
      <c r="E1189" s="47" t="inlineStr">
        <is>
          <t>월 100GB + 5Mbps</t>
        </is>
      </c>
      <c r="F1189" s="47" t="inlineStr">
        <is>
          <t>SKT</t>
        </is>
      </c>
      <c r="G1189" s="47" t="inlineStr">
        <is>
          <t>LTE</t>
        </is>
      </c>
      <c r="H1189" s="48" t="n">
        <v>15000</v>
      </c>
      <c r="I1189" s="48" t="n">
        <v>7</v>
      </c>
      <c r="J1189" s="48" t="n">
        <v>45100</v>
      </c>
      <c r="K1189" s="47">
        <f t="array" ref="K1189">_xlfn.XLOOKUP(1,(참조!$B$2:$B$15=E1189)*(참조!$D$2:$D$15=C1189)*(참조!$E$2:$E$15=D1189),참조!$C$2:$C$15,"")</f>
        <v/>
      </c>
    </row>
    <row r="1190" hidden="1" s="27">
      <c r="A1190" s="47" t="inlineStr">
        <is>
          <t>아이즈모바일</t>
        </is>
      </c>
      <c r="B1190" s="47" t="inlineStr">
        <is>
          <t>[S]이디야 블루 11GB+</t>
        </is>
      </c>
      <c r="C1190" s="47" t="inlineStr">
        <is>
          <t>무제한</t>
        </is>
      </c>
      <c r="D1190" s="47" t="inlineStr">
        <is>
          <t>무제한</t>
        </is>
      </c>
      <c r="E1190" s="47" t="inlineStr">
        <is>
          <t>월 11GB + 매일 2GB + 3Mbps</t>
        </is>
      </c>
      <c r="F1190" s="47" t="inlineStr">
        <is>
          <t>SKT</t>
        </is>
      </c>
      <c r="G1190" s="47" t="inlineStr">
        <is>
          <t>LTE</t>
        </is>
      </c>
      <c r="H1190" s="48" t="n">
        <v>8900</v>
      </c>
      <c r="I1190" s="48" t="n">
        <v>7</v>
      </c>
      <c r="J1190" s="48" t="n">
        <v>48400</v>
      </c>
      <c r="K1190" s="47">
        <f t="array" ref="K1190">_xlfn.XLOOKUP(1,(참조!$B$2:$B$15=E1190)*(참조!$D$2:$D$15=C1190)*(참조!$E$2:$E$15=D1190),참조!$C$2:$C$15,"")</f>
        <v/>
      </c>
    </row>
    <row r="1191" hidden="1" s="27">
      <c r="A1191" s="47" t="inlineStr">
        <is>
          <t>모빙</t>
        </is>
      </c>
      <c r="B1191" s="47" t="inlineStr">
        <is>
          <t>[L] 5G 데이터 150GB+</t>
        </is>
      </c>
      <c r="C1191" s="47" t="inlineStr">
        <is>
          <t>무제한</t>
        </is>
      </c>
      <c r="D1191" s="47" t="inlineStr">
        <is>
          <t>무제한</t>
        </is>
      </c>
      <c r="E1191" s="47" t="inlineStr">
        <is>
          <t>월 150GB + 5Mbps</t>
        </is>
      </c>
      <c r="F1191" s="47" t="inlineStr">
        <is>
          <t>LG U+</t>
        </is>
      </c>
      <c r="G1191" s="47" t="inlineStr">
        <is>
          <t>5G</t>
        </is>
      </c>
      <c r="H1191" s="48" t="n">
        <v>13000</v>
      </c>
      <c r="I1191" s="48" t="n">
        <v>7</v>
      </c>
      <c r="J1191" s="48" t="n">
        <v>63800</v>
      </c>
      <c r="K1191" s="47">
        <f t="array" ref="K1191">_xlfn.XLOOKUP(1,(참조!$B$2:$B$15=E1191)*(참조!$D$2:$D$15=C1191)*(참조!$E$2:$E$15=D1191),참조!$C$2:$C$15,"")</f>
        <v/>
      </c>
    </row>
    <row r="1192" hidden="1" s="27">
      <c r="A1192" s="47" t="inlineStr">
        <is>
          <t>KT스카이라이프</t>
        </is>
      </c>
      <c r="B1192" s="47" t="inlineStr">
        <is>
          <t>모두 충분 100GB+(다이소_5000)</t>
        </is>
      </c>
      <c r="C1192" s="47" t="inlineStr">
        <is>
          <t>무제한</t>
        </is>
      </c>
      <c r="D1192" s="47" t="inlineStr">
        <is>
          <t>무제한</t>
        </is>
      </c>
      <c r="E1192" s="47" t="inlineStr">
        <is>
          <t>월 100GB + 5Mbps</t>
        </is>
      </c>
      <c r="F1192" s="47" t="inlineStr">
        <is>
          <t>KT</t>
        </is>
      </c>
      <c r="G1192" s="47" t="inlineStr">
        <is>
          <t>LTE</t>
        </is>
      </c>
      <c r="H1192" s="48" t="n">
        <v>41800</v>
      </c>
      <c r="I1192" s="48" t="n"/>
      <c r="J1192" s="48" t="n"/>
      <c r="K1192" s="47">
        <f t="array" ref="K1192">_xlfn.XLOOKUP(1,(참조!$B$2:$B$15=E1192)*(참조!$D$2:$D$15=C1192)*(참조!$E$2:$E$15=D1192),참조!$C$2:$C$15,"")</f>
        <v/>
      </c>
    </row>
    <row r="1193" hidden="1" s="27">
      <c r="A1193" s="47" t="inlineStr">
        <is>
          <t>핀다이렉트</t>
        </is>
      </c>
      <c r="B1193" s="47" t="inlineStr">
        <is>
          <t>[L] 핀다이렉트Z 15GB+/100분</t>
        </is>
      </c>
      <c r="C1193" s="47" t="inlineStr">
        <is>
          <t>100분</t>
        </is>
      </c>
      <c r="D1193" s="47" t="inlineStr">
        <is>
          <t>100건</t>
        </is>
      </c>
      <c r="E1193" s="47" t="inlineStr">
        <is>
          <t>월 15GB + 3Mbps</t>
        </is>
      </c>
      <c r="F1193" s="47" t="inlineStr">
        <is>
          <t>LG U+</t>
        </is>
      </c>
      <c r="G1193" s="47" t="inlineStr">
        <is>
          <t>LTE</t>
        </is>
      </c>
      <c r="H1193" s="48" t="n">
        <v>16000</v>
      </c>
      <c r="I1193" s="48" t="n">
        <v>7</v>
      </c>
      <c r="J1193" s="48" t="n">
        <v>31900</v>
      </c>
      <c r="K1193" s="47">
        <f t="array" ref="K1193">_xlfn.XLOOKUP(1,(참조!$B$2:$B$15=E1193)*(참조!$D$2:$D$15=C1193)*(참조!$E$2:$E$15=D1193),참조!$C$2:$C$15,"")</f>
        <v/>
      </c>
    </row>
    <row r="1194" hidden="1" s="27">
      <c r="A1194" s="47" t="inlineStr">
        <is>
          <t>인스모바일</t>
        </is>
      </c>
      <c r="B1194" s="47" t="inlineStr">
        <is>
          <t>실속 200분+2GB(USIM)</t>
        </is>
      </c>
      <c r="C1194" s="47" t="inlineStr">
        <is>
          <t>200분</t>
        </is>
      </c>
      <c r="D1194" s="47" t="inlineStr">
        <is>
          <t>50건</t>
        </is>
      </c>
      <c r="E1194" s="47" t="inlineStr">
        <is>
          <t>월 2GB</t>
        </is>
      </c>
      <c r="F1194" s="47" t="inlineStr">
        <is>
          <t>LG U+</t>
        </is>
      </c>
      <c r="G1194" s="47" t="inlineStr">
        <is>
          <t>LTE</t>
        </is>
      </c>
      <c r="H1194" s="48" t="n">
        <v>1100</v>
      </c>
      <c r="I1194" s="48" t="n">
        <v>6</v>
      </c>
      <c r="J1194" s="48" t="n">
        <v>12100</v>
      </c>
      <c r="K1194" s="47">
        <f t="array" ref="K1194">_xlfn.XLOOKUP(1,(참조!$B$2:$B$15=E1194)*(참조!$D$2:$D$15=C1194)*(참조!$E$2:$E$15=D1194),참조!$C$2:$C$15,"")</f>
        <v/>
      </c>
    </row>
    <row r="1195" hidden="1" s="27">
      <c r="A1195" s="47" t="inlineStr">
        <is>
          <t>아이즈모바일</t>
        </is>
      </c>
      <c r="B1195" s="47" t="inlineStr">
        <is>
          <t>[S]올리브영100분/15GB+</t>
        </is>
      </c>
      <c r="C1195" s="47" t="inlineStr">
        <is>
          <t>100분</t>
        </is>
      </c>
      <c r="D1195" s="47" t="inlineStr">
        <is>
          <t>100건</t>
        </is>
      </c>
      <c r="E1195" s="47" t="inlineStr">
        <is>
          <t>월 15GB + 3Mbps</t>
        </is>
      </c>
      <c r="F1195" s="47" t="inlineStr">
        <is>
          <t>SKT</t>
        </is>
      </c>
      <c r="G1195" s="47" t="inlineStr">
        <is>
          <t>LTE</t>
        </is>
      </c>
      <c r="H1195" s="48" t="n">
        <v>6000</v>
      </c>
      <c r="I1195" s="48" t="n">
        <v>7</v>
      </c>
      <c r="J1195" s="48" t="n">
        <v>37400</v>
      </c>
      <c r="K1195" s="47">
        <f t="array" ref="K1195">_xlfn.XLOOKUP(1,(참조!$B$2:$B$15=E1195)*(참조!$D$2:$D$15=C1195)*(참조!$E$2:$E$15=D1195),참조!$C$2:$C$15,"")</f>
        <v/>
      </c>
    </row>
    <row r="1196" hidden="1" s="27">
      <c r="A1196" s="47" t="inlineStr">
        <is>
          <t>찬스모바일</t>
        </is>
      </c>
      <c r="B1196" s="47" t="inlineStr">
        <is>
          <t>음성 300분 15GB+3Mbps</t>
        </is>
      </c>
      <c r="C1196" s="47" t="inlineStr">
        <is>
          <t>300분</t>
        </is>
      </c>
      <c r="D1196" s="47" t="inlineStr">
        <is>
          <t>300건</t>
        </is>
      </c>
      <c r="E1196" s="47" t="inlineStr">
        <is>
          <t>월 15GB + 3Mbps</t>
        </is>
      </c>
      <c r="F1196" s="47" t="inlineStr">
        <is>
          <t>LG U+</t>
        </is>
      </c>
      <c r="G1196" s="47" t="inlineStr">
        <is>
          <t>LTE</t>
        </is>
      </c>
      <c r="H1196" s="48" t="n">
        <v>16000</v>
      </c>
      <c r="I1196" s="48" t="n">
        <v>7</v>
      </c>
      <c r="J1196" s="48" t="n">
        <v>33000</v>
      </c>
      <c r="K1196" s="47">
        <f t="array" ref="K1196">_xlfn.XLOOKUP(1,(참조!$B$2:$B$15=E1196)*(참조!$D$2:$D$15=C1196)*(참조!$E$2:$E$15=D1196),참조!$C$2:$C$15,"")</f>
        <v/>
      </c>
    </row>
    <row r="1197" hidden="1" s="27">
      <c r="A1197" s="47" t="inlineStr">
        <is>
          <t>아이즈모바일</t>
        </is>
      </c>
      <c r="B1197" s="47" t="inlineStr">
        <is>
          <t>[L]무한100분/15GB+</t>
        </is>
      </c>
      <c r="C1197" s="47" t="inlineStr">
        <is>
          <t>100분</t>
        </is>
      </c>
      <c r="D1197" s="47" t="inlineStr">
        <is>
          <t>100건</t>
        </is>
      </c>
      <c r="E1197" s="47" t="inlineStr">
        <is>
          <t>월 15GB + 3Mbps</t>
        </is>
      </c>
      <c r="F1197" s="47" t="inlineStr">
        <is>
          <t>LG U+</t>
        </is>
      </c>
      <c r="G1197" s="47" t="inlineStr">
        <is>
          <t>LTE</t>
        </is>
      </c>
      <c r="H1197" s="48" t="n">
        <v>18900</v>
      </c>
      <c r="I1197" s="48" t="n"/>
      <c r="J1197" s="48" t="n"/>
      <c r="K1197" s="47">
        <f t="array" ref="K1197">_xlfn.XLOOKUP(1,(참조!$B$2:$B$15=E1197)*(참조!$D$2:$D$15=C1197)*(참조!$E$2:$E$15=D1197),참조!$C$2:$C$15,"")</f>
        <v/>
      </c>
    </row>
    <row r="1198" hidden="1" s="27">
      <c r="A1198" s="47" t="inlineStr">
        <is>
          <t>모빙</t>
        </is>
      </c>
      <c r="B1198" s="47" t="inlineStr">
        <is>
          <t>[K] 5G 300분6GB</t>
        </is>
      </c>
      <c r="C1198" s="47" t="inlineStr">
        <is>
          <t>300분</t>
        </is>
      </c>
      <c r="D1198" s="47" t="inlineStr">
        <is>
          <t>300건</t>
        </is>
      </c>
      <c r="E1198" s="47" t="inlineStr">
        <is>
          <t>월 6GB</t>
        </is>
      </c>
      <c r="F1198" s="47" t="inlineStr">
        <is>
          <t>KT</t>
        </is>
      </c>
      <c r="G1198" s="47" t="inlineStr">
        <is>
          <t>5G</t>
        </is>
      </c>
      <c r="H1198" s="48" t="n">
        <v>110</v>
      </c>
      <c r="I1198" s="48" t="n">
        <v>5</v>
      </c>
      <c r="J1198" s="48" t="n">
        <v>19800</v>
      </c>
      <c r="K1198" s="47">
        <f t="array" ref="K1198">_xlfn.XLOOKUP(1,(참조!$B$2:$B$15=E1198)*(참조!$D$2:$D$15=C1198)*(참조!$E$2:$E$15=D1198),참조!$C$2:$C$15,"")</f>
        <v/>
      </c>
    </row>
    <row r="1199" hidden="1" s="27">
      <c r="A1199" s="47" t="inlineStr">
        <is>
          <t>에이모바일</t>
        </is>
      </c>
      <c r="B1199" s="47" t="inlineStr">
        <is>
          <t>A 넥스트 7GB+</t>
        </is>
      </c>
      <c r="C1199" s="47" t="inlineStr">
        <is>
          <t>무제한</t>
        </is>
      </c>
      <c r="D1199" s="47" t="inlineStr">
        <is>
          <t>무제한</t>
        </is>
      </c>
      <c r="E1199" s="47" t="inlineStr">
        <is>
          <t>월 7GB + 1Mbps</t>
        </is>
      </c>
      <c r="F1199" s="47" t="inlineStr">
        <is>
          <t>SKT</t>
        </is>
      </c>
      <c r="G1199" s="47" t="inlineStr">
        <is>
          <t>LTE</t>
        </is>
      </c>
      <c r="H1199" s="48" t="n">
        <v>3000</v>
      </c>
      <c r="I1199" s="48" t="n">
        <v>7</v>
      </c>
      <c r="J1199" s="48" t="n">
        <v>18900</v>
      </c>
      <c r="K1199" s="47">
        <f t="array" ref="K1199">_xlfn.XLOOKUP(1,(참조!$B$2:$B$15=E1199)*(참조!$D$2:$D$15=C1199)*(참조!$E$2:$E$15=D1199),참조!$C$2:$C$15,"")</f>
        <v/>
      </c>
    </row>
    <row r="1200" hidden="1" s="27">
      <c r="A1200" s="47" t="inlineStr">
        <is>
          <t>티플러스</t>
        </is>
      </c>
      <c r="B1200" s="47" t="inlineStr">
        <is>
          <t>The 데이터마음껏 15GB+(100분)</t>
        </is>
      </c>
      <c r="C1200" s="47" t="inlineStr">
        <is>
          <t>100분</t>
        </is>
      </c>
      <c r="D1200" s="47" t="inlineStr">
        <is>
          <t>100건</t>
        </is>
      </c>
      <c r="E1200" s="47" t="inlineStr">
        <is>
          <t>월 15GB + 3Mbps</t>
        </is>
      </c>
      <c r="F1200" s="47" t="inlineStr">
        <is>
          <t>KT</t>
        </is>
      </c>
      <c r="G1200" s="47" t="inlineStr">
        <is>
          <t>LTE</t>
        </is>
      </c>
      <c r="H1200" s="48" t="n">
        <v>15900</v>
      </c>
      <c r="I1200" s="48" t="n">
        <v>7</v>
      </c>
      <c r="J1200" s="48" t="n">
        <v>36300</v>
      </c>
      <c r="K1200" s="47">
        <f t="array" ref="K1200">_xlfn.XLOOKUP(1,(참조!$B$2:$B$15=E1200)*(참조!$D$2:$D$15=C1200)*(참조!$E$2:$E$15=D1200),참조!$C$2:$C$15,"")</f>
        <v/>
      </c>
    </row>
    <row r="1201" hidden="1" s="27">
      <c r="A1201" s="47" t="inlineStr">
        <is>
          <t>아이즈모바일</t>
        </is>
      </c>
      <c r="B1201" s="47" t="inlineStr">
        <is>
          <t>[S]이디야 화이트 20GB</t>
        </is>
      </c>
      <c r="C1201" s="47" t="inlineStr">
        <is>
          <t>200분</t>
        </is>
      </c>
      <c r="D1201" s="47" t="inlineStr">
        <is>
          <t>100건</t>
        </is>
      </c>
      <c r="E1201" s="47" t="inlineStr">
        <is>
          <t>월 20GB</t>
        </is>
      </c>
      <c r="F1201" s="47" t="inlineStr">
        <is>
          <t>SKT</t>
        </is>
      </c>
      <c r="G1201" s="47" t="inlineStr">
        <is>
          <t>LTE</t>
        </is>
      </c>
      <c r="H1201" s="48" t="n">
        <v>16400</v>
      </c>
      <c r="I1201" s="48" t="n"/>
      <c r="J1201" s="48" t="n"/>
      <c r="K1201" s="47">
        <f t="array" ref="K1201">_xlfn.XLOOKUP(1,(참조!$B$2:$B$15=E1201)*(참조!$D$2:$D$15=C1201)*(참조!$E$2:$E$15=D1201),참조!$C$2:$C$15,"")</f>
        <v/>
      </c>
    </row>
    <row r="1202" hidden="1" s="27">
      <c r="A1202" s="47" t="inlineStr">
        <is>
          <t>KT스카이라이프</t>
        </is>
      </c>
      <c r="B1202" s="47" t="inlineStr">
        <is>
          <t>모두 충분 100GB+(Pay_5000)</t>
        </is>
      </c>
      <c r="C1202" s="47" t="inlineStr">
        <is>
          <t>무제한</t>
        </is>
      </c>
      <c r="D1202" s="47" t="inlineStr">
        <is>
          <t>무제한</t>
        </is>
      </c>
      <c r="E1202" s="47" t="inlineStr">
        <is>
          <t>월 100GB + 5Mbps</t>
        </is>
      </c>
      <c r="F1202" s="47" t="inlineStr">
        <is>
          <t>KT</t>
        </is>
      </c>
      <c r="G1202" s="47" t="inlineStr">
        <is>
          <t>LTE</t>
        </is>
      </c>
      <c r="H1202" s="48" t="n">
        <v>41700</v>
      </c>
      <c r="I1202" s="48" t="n"/>
      <c r="J1202" s="48" t="n"/>
      <c r="K1202" s="47">
        <f t="array" ref="K1202">_xlfn.XLOOKUP(1,(참조!$B$2:$B$15=E1202)*(참조!$D$2:$D$15=C1202)*(참조!$E$2:$E$15=D1202),참조!$C$2:$C$15,"")</f>
        <v/>
      </c>
    </row>
    <row r="1203" hidden="1" s="27">
      <c r="A1203" s="47" t="inlineStr">
        <is>
          <t>KT스카이라이프</t>
        </is>
      </c>
      <c r="B1203" s="47" t="inlineStr">
        <is>
          <t>모두 충분 7GB+(지니뮤직)</t>
        </is>
      </c>
      <c r="C1203" s="47" t="inlineStr">
        <is>
          <t>무제한</t>
        </is>
      </c>
      <c r="D1203" s="47" t="inlineStr">
        <is>
          <t>무제한</t>
        </is>
      </c>
      <c r="E1203" s="47" t="inlineStr">
        <is>
          <t>월 7GB + 1Mbps</t>
        </is>
      </c>
      <c r="F1203" s="47" t="inlineStr">
        <is>
          <t>KT</t>
        </is>
      </c>
      <c r="G1203" s="47" t="inlineStr">
        <is>
          <t>LTE</t>
        </is>
      </c>
      <c r="H1203" s="48" t="n">
        <v>19500</v>
      </c>
      <c r="I1203" s="48" t="n"/>
      <c r="J1203" s="48" t="n"/>
      <c r="K1203" s="47">
        <f t="array" ref="K1203">_xlfn.XLOOKUP(1,(참조!$B$2:$B$15=E1203)*(참조!$D$2:$D$15=C1203)*(참조!$E$2:$E$15=D1203),참조!$C$2:$C$15,"")</f>
        <v/>
      </c>
    </row>
    <row r="1204" hidden="1" s="27">
      <c r="A1204" s="47" t="inlineStr">
        <is>
          <t>스마텔</t>
        </is>
      </c>
      <c r="B1204" s="47" t="inlineStr">
        <is>
          <t>스마트 매일 5GB+</t>
        </is>
      </c>
      <c r="C1204" s="47" t="inlineStr">
        <is>
          <t>무제한</t>
        </is>
      </c>
      <c r="D1204" s="47" t="inlineStr">
        <is>
          <t>무제한</t>
        </is>
      </c>
      <c r="E1204" s="47" t="inlineStr">
        <is>
          <t>매일 5GB + 5Mbps</t>
        </is>
      </c>
      <c r="F1204" s="47" t="inlineStr">
        <is>
          <t>LG U+</t>
        </is>
      </c>
      <c r="G1204" s="47" t="inlineStr">
        <is>
          <t>LTE</t>
        </is>
      </c>
      <c r="H1204" s="48" t="n">
        <v>21000</v>
      </c>
      <c r="I1204" s="48" t="n">
        <v>7</v>
      </c>
      <c r="J1204" s="48" t="n">
        <v>47300</v>
      </c>
      <c r="K1204" s="47">
        <f t="array" ref="K1204">_xlfn.XLOOKUP(1,(참조!$B$2:$B$15=E1204)*(참조!$D$2:$D$15=C1204)*(참조!$E$2:$E$15=D1204),참조!$C$2:$C$15,"")</f>
        <v/>
      </c>
    </row>
    <row r="1205" hidden="1" s="27">
      <c r="A1205" s="47" t="inlineStr">
        <is>
          <t>모빙</t>
        </is>
      </c>
      <c r="B1205" s="47" t="inlineStr">
        <is>
          <t>[L] 100분15GB+_2y_plus</t>
        </is>
      </c>
      <c r="C1205" s="47" t="inlineStr">
        <is>
          <t>100분</t>
        </is>
      </c>
      <c r="D1205" s="47" t="inlineStr">
        <is>
          <t>100건</t>
        </is>
      </c>
      <c r="E1205" s="47" t="inlineStr">
        <is>
          <t>월 15GB + 3Mbps</t>
        </is>
      </c>
      <c r="F1205" s="47" t="inlineStr">
        <is>
          <t>LG U+</t>
        </is>
      </c>
      <c r="G1205" s="47" t="inlineStr">
        <is>
          <t>LTE</t>
        </is>
      </c>
      <c r="H1205" s="48" t="n">
        <v>19000</v>
      </c>
      <c r="I1205" s="48" t="n">
        <v>24</v>
      </c>
      <c r="J1205" s="48" t="n">
        <v>39000</v>
      </c>
      <c r="K1205" s="47">
        <f t="array" ref="K1205">_xlfn.XLOOKUP(1,(참조!$B$2:$B$15=E1205)*(참조!$D$2:$D$15=C1205)*(참조!$E$2:$E$15=D1205),참조!$C$2:$C$15,"")</f>
        <v/>
      </c>
    </row>
    <row r="1206" hidden="1" s="27">
      <c r="A1206" s="47" t="inlineStr">
        <is>
          <t>고고모바일</t>
        </is>
      </c>
      <c r="B1206" s="47" t="inlineStr">
        <is>
          <t>무제한 7GB+1M(다이소 매월 5000원)</t>
        </is>
      </c>
      <c r="C1206" s="47" t="inlineStr">
        <is>
          <t>무제한</t>
        </is>
      </c>
      <c r="D1206" s="47" t="inlineStr">
        <is>
          <t>무제한</t>
        </is>
      </c>
      <c r="E1206" s="47" t="inlineStr">
        <is>
          <t>월 7GB + 1Mbps</t>
        </is>
      </c>
      <c r="F1206" s="47" t="inlineStr">
        <is>
          <t>KT</t>
        </is>
      </c>
      <c r="G1206" s="47" t="inlineStr">
        <is>
          <t>LTE</t>
        </is>
      </c>
      <c r="H1206" s="48" t="n">
        <v>21560</v>
      </c>
      <c r="I1206" s="48" t="n"/>
      <c r="J1206" s="48" t="n"/>
      <c r="K1206" s="47">
        <f t="array" ref="K1206">_xlfn.XLOOKUP(1,(참조!$B$2:$B$15=E1206)*(참조!$D$2:$D$15=C1206)*(참조!$E$2:$E$15=D1206),참조!$C$2:$C$15,"")</f>
        <v/>
      </c>
    </row>
    <row r="1207" hidden="1" s="27">
      <c r="A1207" s="47" t="inlineStr">
        <is>
          <t>고고모바일</t>
        </is>
      </c>
      <c r="B1207" s="47" t="inlineStr">
        <is>
          <t>무제한 7GB+1M(올리브영 매월 5000원)</t>
        </is>
      </c>
      <c r="C1207" s="47" t="inlineStr">
        <is>
          <t>무제한</t>
        </is>
      </c>
      <c r="D1207" s="47" t="inlineStr">
        <is>
          <t>무제한</t>
        </is>
      </c>
      <c r="E1207" s="47" t="inlineStr">
        <is>
          <t>월 7GB + 1Mbps</t>
        </is>
      </c>
      <c r="F1207" s="47" t="inlineStr">
        <is>
          <t>KT</t>
        </is>
      </c>
      <c r="G1207" s="47" t="inlineStr">
        <is>
          <t>LTE</t>
        </is>
      </c>
      <c r="H1207" s="48" t="n">
        <v>21560</v>
      </c>
      <c r="I1207" s="48" t="n"/>
      <c r="J1207" s="48" t="n"/>
      <c r="K1207" s="47">
        <f t="array" ref="K1207">_xlfn.XLOOKUP(1,(참조!$B$2:$B$15=E1207)*(참조!$D$2:$D$15=C1207)*(참조!$E$2:$E$15=D1207),참조!$C$2:$C$15,"")</f>
        <v/>
      </c>
    </row>
    <row r="1208" hidden="1" s="27">
      <c r="A1208" s="47" t="inlineStr">
        <is>
          <t>아이즈모바일</t>
        </is>
      </c>
      <c r="B1208" s="47" t="inlineStr">
        <is>
          <t>[S]이디야 블루 15GB+/100분</t>
        </is>
      </c>
      <c r="C1208" s="47" t="inlineStr">
        <is>
          <t>100분</t>
        </is>
      </c>
      <c r="D1208" s="47" t="inlineStr">
        <is>
          <t>100건</t>
        </is>
      </c>
      <c r="E1208" s="47" t="inlineStr">
        <is>
          <t>월 15GB + 3Mbps</t>
        </is>
      </c>
      <c r="F1208" s="47" t="inlineStr">
        <is>
          <t>SKT</t>
        </is>
      </c>
      <c r="G1208" s="47" t="inlineStr">
        <is>
          <t>LTE</t>
        </is>
      </c>
      <c r="H1208" s="48" t="n">
        <v>6000</v>
      </c>
      <c r="I1208" s="48" t="n">
        <v>7</v>
      </c>
      <c r="J1208" s="48" t="n">
        <v>37400</v>
      </c>
      <c r="K1208" s="47">
        <f t="array" ref="K1208">_xlfn.XLOOKUP(1,(참조!$B$2:$B$15=E1208)*(참조!$D$2:$D$15=C1208)*(참조!$E$2:$E$15=D1208),참조!$C$2:$C$15,"")</f>
        <v/>
      </c>
    </row>
    <row r="1209" hidden="1" s="27">
      <c r="A1209" s="47" t="inlineStr">
        <is>
          <t>아이즈모바일</t>
        </is>
      </c>
      <c r="B1209" s="47" t="inlineStr">
        <is>
          <t>[L]5G 데이터150GB+</t>
        </is>
      </c>
      <c r="C1209" s="47" t="inlineStr">
        <is>
          <t>무제한</t>
        </is>
      </c>
      <c r="D1209" s="47" t="inlineStr">
        <is>
          <t>무제한</t>
        </is>
      </c>
      <c r="E1209" s="47" t="inlineStr">
        <is>
          <t>월 150GB + 5Mbps</t>
        </is>
      </c>
      <c r="F1209" s="47" t="inlineStr">
        <is>
          <t>LG U+</t>
        </is>
      </c>
      <c r="G1209" s="47" t="inlineStr">
        <is>
          <t>5G</t>
        </is>
      </c>
      <c r="H1209" s="48" t="n">
        <v>27900</v>
      </c>
      <c r="I1209" s="48" t="n">
        <v>24</v>
      </c>
      <c r="J1209" s="48" t="n">
        <v>63000</v>
      </c>
      <c r="K1209" s="47">
        <f t="array" ref="K1209">_xlfn.XLOOKUP(1,(참조!$B$2:$B$15=E1209)*(참조!$D$2:$D$15=C1209)*(참조!$E$2:$E$15=D1209),참조!$C$2:$C$15,"")</f>
        <v/>
      </c>
    </row>
    <row r="1210" hidden="1" s="27">
      <c r="A1210" s="47" t="inlineStr">
        <is>
          <t>KT스카이라이프</t>
        </is>
      </c>
      <c r="B1210" s="47" t="inlineStr">
        <is>
          <t>5G 모두 충분 70GB+(밀리의서재)</t>
        </is>
      </c>
      <c r="C1210" s="47" t="inlineStr">
        <is>
          <t>무제한</t>
        </is>
      </c>
      <c r="D1210" s="47" t="inlineStr">
        <is>
          <t>무제한</t>
        </is>
      </c>
      <c r="E1210" s="47" t="inlineStr">
        <is>
          <t>월 70GB + 1Mbps</t>
        </is>
      </c>
      <c r="F1210" s="47" t="inlineStr">
        <is>
          <t>KT</t>
        </is>
      </c>
      <c r="G1210" s="47" t="inlineStr">
        <is>
          <t>5G</t>
        </is>
      </c>
      <c r="H1210" s="48" t="n">
        <v>39800</v>
      </c>
      <c r="I1210" s="48" t="n"/>
      <c r="J1210" s="48" t="n"/>
      <c r="K1210" s="47">
        <f t="array" ref="K1210">_xlfn.XLOOKUP(1,(참조!$B$2:$B$15=E1210)*(참조!$D$2:$D$15=C1210)*(참조!$E$2:$E$15=D1210),참조!$C$2:$C$15,"")</f>
        <v/>
      </c>
    </row>
    <row r="1211" hidden="1" s="27">
      <c r="A1211" s="47" t="inlineStr">
        <is>
          <t>스마텔</t>
        </is>
      </c>
      <c r="B1211" s="47" t="inlineStr">
        <is>
          <t>후후 스마트 매일 5GB+</t>
        </is>
      </c>
      <c r="C1211" s="47" t="inlineStr">
        <is>
          <t>무제한</t>
        </is>
      </c>
      <c r="D1211" s="47" t="inlineStr">
        <is>
          <t>무제한</t>
        </is>
      </c>
      <c r="E1211" s="47" t="inlineStr">
        <is>
          <t>매일 5GB + 5Mbps</t>
        </is>
      </c>
      <c r="F1211" s="47" t="inlineStr">
        <is>
          <t>LG U+</t>
        </is>
      </c>
      <c r="G1211" s="47" t="inlineStr">
        <is>
          <t>LTE</t>
        </is>
      </c>
      <c r="H1211" s="48" t="n">
        <v>21330</v>
      </c>
      <c r="I1211" s="48" t="n">
        <v>7</v>
      </c>
      <c r="J1211" s="48" t="n">
        <v>47630</v>
      </c>
      <c r="K1211" s="47">
        <f t="array" ref="K1211">_xlfn.XLOOKUP(1,(참조!$B$2:$B$15=E1211)*(참조!$D$2:$D$15=C1211)*(참조!$E$2:$E$15=D1211),참조!$C$2:$C$15,"")</f>
        <v/>
      </c>
    </row>
    <row r="1212" hidden="1" s="27">
      <c r="A1212" s="47" t="inlineStr">
        <is>
          <t>모빙</t>
        </is>
      </c>
      <c r="B1212" s="47" t="inlineStr">
        <is>
          <t>[S] 500분10GB</t>
        </is>
      </c>
      <c r="C1212" s="47" t="inlineStr">
        <is>
          <t>500분</t>
        </is>
      </c>
      <c r="D1212" s="47" t="inlineStr">
        <is>
          <t>500건</t>
        </is>
      </c>
      <c r="E1212" s="47" t="inlineStr">
        <is>
          <t>월 10GB</t>
        </is>
      </c>
      <c r="F1212" s="47" t="inlineStr">
        <is>
          <t>SKT</t>
        </is>
      </c>
      <c r="G1212" s="47" t="inlineStr">
        <is>
          <t>LTE</t>
        </is>
      </c>
      <c r="H1212" s="48" t="n">
        <v>10</v>
      </c>
      <c r="I1212" s="48" t="n">
        <v>7</v>
      </c>
      <c r="J1212" s="48" t="n">
        <v>28600</v>
      </c>
      <c r="K1212" s="47">
        <f t="array" ref="K1212">_xlfn.XLOOKUP(1,(참조!$B$2:$B$15=E1212)*(참조!$D$2:$D$15=C1212)*(참조!$E$2:$E$15=D1212),참조!$C$2:$C$15,"")</f>
        <v/>
      </c>
    </row>
    <row r="1213" hidden="1" s="27">
      <c r="A1213" s="47" t="inlineStr">
        <is>
          <t>모빙</t>
        </is>
      </c>
      <c r="B1213" s="47" t="inlineStr">
        <is>
          <t>[L] 데이터 100GB+_24개월</t>
        </is>
      </c>
      <c r="C1213" s="47" t="inlineStr">
        <is>
          <t>무제한</t>
        </is>
      </c>
      <c r="D1213" s="47" t="inlineStr">
        <is>
          <t>무제한</t>
        </is>
      </c>
      <c r="E1213" s="47" t="inlineStr">
        <is>
          <t>월 100GB + 5Mbps</t>
        </is>
      </c>
      <c r="F1213" s="47" t="inlineStr">
        <is>
          <t>LG U+</t>
        </is>
      </c>
      <c r="G1213" s="47" t="inlineStr">
        <is>
          <t>LTE</t>
        </is>
      </c>
      <c r="H1213" s="48" t="n">
        <v>28000</v>
      </c>
      <c r="I1213" s="48" t="n">
        <v>24</v>
      </c>
      <c r="J1213" s="48" t="n">
        <v>53900</v>
      </c>
      <c r="K1213" s="47">
        <f t="array" ref="K1213">_xlfn.XLOOKUP(1,(참조!$B$2:$B$15=E1213)*(참조!$D$2:$D$15=C1213)*(참조!$E$2:$E$15=D1213),참조!$C$2:$C$15,"")</f>
        <v/>
      </c>
    </row>
    <row r="1214" hidden="1" s="27">
      <c r="A1214" s="47" t="inlineStr">
        <is>
          <t>스마텔</t>
        </is>
      </c>
      <c r="B1214" s="47" t="inlineStr">
        <is>
          <t>USIM 안심데이터 11GB</t>
        </is>
      </c>
      <c r="C1214" s="47" t="inlineStr">
        <is>
          <t>무제한</t>
        </is>
      </c>
      <c r="D1214" s="47" t="inlineStr">
        <is>
          <t>무제한</t>
        </is>
      </c>
      <c r="E1214" s="47" t="inlineStr">
        <is>
          <t>월 11GB + 매일 2GB + 3Mbps</t>
        </is>
      </c>
      <c r="F1214" s="47" t="inlineStr">
        <is>
          <t>SKT</t>
        </is>
      </c>
      <c r="G1214" s="47" t="inlineStr">
        <is>
          <t>LTE</t>
        </is>
      </c>
      <c r="H1214" s="48" t="n">
        <v>36600</v>
      </c>
      <c r="I1214" s="48" t="n"/>
      <c r="J1214" s="48" t="n"/>
      <c r="K1214" s="47">
        <f t="array" ref="K1214">_xlfn.XLOOKUP(1,(참조!$B$2:$B$15=E1214)*(참조!$D$2:$D$15=C1214)*(참조!$E$2:$E$15=D1214),참조!$C$2:$C$15,"")</f>
        <v/>
      </c>
    </row>
    <row r="1215" hidden="1" s="27">
      <c r="A1215" s="47" t="inlineStr">
        <is>
          <t>모빙</t>
        </is>
      </c>
      <c r="B1215" s="47" t="inlineStr">
        <is>
          <t>[S] 데이터 7GB+</t>
        </is>
      </c>
      <c r="C1215" s="47" t="inlineStr">
        <is>
          <t>무제한</t>
        </is>
      </c>
      <c r="D1215" s="47" t="inlineStr">
        <is>
          <t>무제한</t>
        </is>
      </c>
      <c r="E1215" s="47" t="inlineStr">
        <is>
          <t>월 7GB + 1Mbps</t>
        </is>
      </c>
      <c r="F1215" s="47" t="inlineStr">
        <is>
          <t>SKT</t>
        </is>
      </c>
      <c r="G1215" s="47" t="inlineStr">
        <is>
          <t>LTE</t>
        </is>
      </c>
      <c r="H1215" s="48" t="n">
        <v>3000</v>
      </c>
      <c r="I1215" s="48" t="n">
        <v>7</v>
      </c>
      <c r="J1215" s="48" t="n">
        <v>26400</v>
      </c>
      <c r="K1215" s="47">
        <f t="array" ref="K1215">_xlfn.XLOOKUP(1,(참조!$B$2:$B$15=E1215)*(참조!$D$2:$D$15=C1215)*(참조!$E$2:$E$15=D1215),참조!$C$2:$C$15,"")</f>
        <v/>
      </c>
    </row>
    <row r="1216" hidden="1" s="27">
      <c r="A1216" s="47" t="inlineStr">
        <is>
          <t>KT엠모바일</t>
        </is>
      </c>
      <c r="B1216" s="47" t="inlineStr">
        <is>
          <t>5G 모두다 맘껏 110GB+(밀리의 서재 FREE)</t>
        </is>
      </c>
      <c r="C1216" s="47" t="inlineStr">
        <is>
          <t>무제한</t>
        </is>
      </c>
      <c r="D1216" s="47" t="inlineStr">
        <is>
          <t>무제한</t>
        </is>
      </c>
      <c r="E1216" s="47" t="inlineStr">
        <is>
          <t>월 110GB + 5Mbps</t>
        </is>
      </c>
      <c r="F1216" s="47" t="inlineStr">
        <is>
          <t>KT</t>
        </is>
      </c>
      <c r="G1216" s="47" t="inlineStr">
        <is>
          <t>5G</t>
        </is>
      </c>
      <c r="H1216" s="48" t="n">
        <v>41500</v>
      </c>
      <c r="I1216" s="48" t="n"/>
      <c r="J1216" s="48" t="n"/>
      <c r="K1216" s="47">
        <f t="array" ref="K1216">_xlfn.XLOOKUP(1,(참조!$B$2:$B$15=E1216)*(참조!$D$2:$D$15=C1216)*(참조!$E$2:$E$15=D1216),참조!$C$2:$C$15,"")</f>
        <v/>
      </c>
    </row>
    <row r="1217" hidden="1" s="27">
      <c r="A1217" s="47" t="inlineStr">
        <is>
          <t>모빙</t>
        </is>
      </c>
      <c r="B1217" s="47" t="inlineStr">
        <is>
          <t>[L] 5G 데이터 150GB+_2y_plus</t>
        </is>
      </c>
      <c r="C1217" s="47" t="inlineStr">
        <is>
          <t>무제한</t>
        </is>
      </c>
      <c r="D1217" s="47" t="inlineStr">
        <is>
          <t>무제한</t>
        </is>
      </c>
      <c r="E1217" s="47" t="inlineStr">
        <is>
          <t>월 150GB + 5Mbps</t>
        </is>
      </c>
      <c r="F1217" s="47" t="inlineStr">
        <is>
          <t>LG U+</t>
        </is>
      </c>
      <c r="G1217" s="47" t="inlineStr">
        <is>
          <t>5G</t>
        </is>
      </c>
      <c r="H1217" s="48" t="n">
        <v>29000</v>
      </c>
      <c r="I1217" s="48" t="n">
        <v>24</v>
      </c>
      <c r="J1217" s="48" t="n">
        <v>60500</v>
      </c>
      <c r="K1217" s="47">
        <f t="array" ref="K1217">_xlfn.XLOOKUP(1,(참조!$B$2:$B$15=E1217)*(참조!$D$2:$D$15=C1217)*(참조!$E$2:$E$15=D1217),참조!$C$2:$C$15,"")</f>
        <v/>
      </c>
    </row>
    <row r="1218" hidden="1" s="27">
      <c r="A1218" s="47" t="inlineStr">
        <is>
          <t>티플러스</t>
        </is>
      </c>
      <c r="B1218" s="47" t="inlineStr">
        <is>
          <t>티플 데이터마음껏1G(100분)</t>
        </is>
      </c>
      <c r="C1218" s="47" t="inlineStr">
        <is>
          <t>100분</t>
        </is>
      </c>
      <c r="D1218" s="47" t="inlineStr">
        <is>
          <t>100건</t>
        </is>
      </c>
      <c r="E1218" s="47" t="inlineStr">
        <is>
          <t>월 1GB + 1Mbps</t>
        </is>
      </c>
      <c r="F1218" s="47" t="inlineStr">
        <is>
          <t>LG U+</t>
        </is>
      </c>
      <c r="G1218" s="47" t="inlineStr">
        <is>
          <t>LTE</t>
        </is>
      </c>
      <c r="H1218" s="48" t="n">
        <v>6600</v>
      </c>
      <c r="I1218" s="48" t="n"/>
      <c r="J1218" s="48" t="n"/>
      <c r="K1218" s="47">
        <f t="array" ref="K1218">_xlfn.XLOOKUP(1,(참조!$B$2:$B$15=E1218)*(참조!$D$2:$D$15=C1218)*(참조!$E$2:$E$15=D1218),참조!$C$2:$C$15,"")</f>
        <v/>
      </c>
    </row>
    <row r="1219" hidden="1" s="27">
      <c r="A1219" s="47" t="inlineStr">
        <is>
          <t>에이모바일</t>
        </is>
      </c>
      <c r="B1219" s="47" t="inlineStr">
        <is>
          <t>A 스페셜 100GB+ (24개월)</t>
        </is>
      </c>
      <c r="C1219" s="47" t="inlineStr">
        <is>
          <t>무제한</t>
        </is>
      </c>
      <c r="D1219" s="47" t="inlineStr">
        <is>
          <t>무제한</t>
        </is>
      </c>
      <c r="E1219" s="47" t="inlineStr">
        <is>
          <t>월 100GB + 5Mbps</t>
        </is>
      </c>
      <c r="F1219" s="47" t="inlineStr">
        <is>
          <t>LG U+</t>
        </is>
      </c>
      <c r="G1219" s="47" t="inlineStr">
        <is>
          <t>LTE</t>
        </is>
      </c>
      <c r="H1219" s="48" t="n">
        <v>27900</v>
      </c>
      <c r="I1219" s="48" t="n">
        <v>24</v>
      </c>
      <c r="J1219" s="48" t="n">
        <v>47960</v>
      </c>
      <c r="K1219" s="47">
        <f t="array" ref="K1219">_xlfn.XLOOKUP(1,(참조!$B$2:$B$15=E1219)*(참조!$D$2:$D$15=C1219)*(참조!$E$2:$E$15=D1219),참조!$C$2:$C$15,"")</f>
        <v/>
      </c>
    </row>
    <row r="1220" hidden="1" s="27">
      <c r="A1220" s="47" t="inlineStr">
        <is>
          <t>에이모바일</t>
        </is>
      </c>
      <c r="B1220" s="47" t="inlineStr">
        <is>
          <t>A 갓성비 6GB/300분 6</t>
        </is>
      </c>
      <c r="C1220" s="47" t="inlineStr">
        <is>
          <t>300분</t>
        </is>
      </c>
      <c r="D1220" s="47" t="inlineStr">
        <is>
          <t>100건</t>
        </is>
      </c>
      <c r="E1220" s="47" t="inlineStr">
        <is>
          <t>월 6GB</t>
        </is>
      </c>
      <c r="F1220" s="47" t="inlineStr">
        <is>
          <t>LG U+</t>
        </is>
      </c>
      <c r="G1220" s="47" t="inlineStr">
        <is>
          <t>LTE</t>
        </is>
      </c>
      <c r="H1220" s="48" t="n">
        <v>110</v>
      </c>
      <c r="I1220" s="48" t="n">
        <v>6</v>
      </c>
      <c r="J1220" s="48" t="n">
        <v>11550</v>
      </c>
      <c r="K1220" s="47">
        <f t="array" ref="K1220">_xlfn.XLOOKUP(1,(참조!$B$2:$B$15=E1220)*(참조!$D$2:$D$15=C1220)*(참조!$E$2:$E$15=D1220),참조!$C$2:$C$15,"")</f>
        <v/>
      </c>
    </row>
    <row r="1221" hidden="1" s="27">
      <c r="A1221" s="47" t="inlineStr">
        <is>
          <t>모빙</t>
        </is>
      </c>
      <c r="B1221" s="47" t="inlineStr">
        <is>
          <t>[S] 데이터 100GB+</t>
        </is>
      </c>
      <c r="C1221" s="47" t="inlineStr">
        <is>
          <t>무제한</t>
        </is>
      </c>
      <c r="D1221" s="47" t="inlineStr">
        <is>
          <t>무제한</t>
        </is>
      </c>
      <c r="E1221" s="47" t="inlineStr">
        <is>
          <t>월 100GB + 5Mbps</t>
        </is>
      </c>
      <c r="F1221" s="47" t="inlineStr">
        <is>
          <t>SKT</t>
        </is>
      </c>
      <c r="G1221" s="47" t="inlineStr">
        <is>
          <t>LTE</t>
        </is>
      </c>
      <c r="H1221" s="48" t="n">
        <v>14000</v>
      </c>
      <c r="I1221" s="48" t="n">
        <v>7</v>
      </c>
      <c r="J1221" s="48" t="n">
        <v>53900</v>
      </c>
      <c r="K1221" s="47">
        <f t="array" ref="K1221">_xlfn.XLOOKUP(1,(참조!$B$2:$B$15=E1221)*(참조!$D$2:$D$15=C1221)*(참조!$E$2:$E$15=D1221),참조!$C$2:$C$15,"")</f>
        <v/>
      </c>
    </row>
    <row r="1222" hidden="1" s="27">
      <c r="A1222" s="47" t="inlineStr">
        <is>
          <t>아이즈모바일</t>
        </is>
      </c>
      <c r="B1222" s="47" t="inlineStr">
        <is>
          <t>[S]올리브영7GB+</t>
        </is>
      </c>
      <c r="C1222" s="47" t="inlineStr">
        <is>
          <t>무제한</t>
        </is>
      </c>
      <c r="D1222" s="47" t="inlineStr">
        <is>
          <t>무제한</t>
        </is>
      </c>
      <c r="E1222" s="47" t="inlineStr">
        <is>
          <t>월 7GB + 1Mbps</t>
        </is>
      </c>
      <c r="F1222" s="47" t="inlineStr">
        <is>
          <t>SKT</t>
        </is>
      </c>
      <c r="G1222" s="47" t="inlineStr">
        <is>
          <t>LTE</t>
        </is>
      </c>
      <c r="H1222" s="48" t="n">
        <v>3000</v>
      </c>
      <c r="I1222" s="48" t="n">
        <v>7</v>
      </c>
      <c r="J1222" s="48" t="n">
        <v>27500</v>
      </c>
      <c r="K1222" s="47">
        <f t="array" ref="K1222">_xlfn.XLOOKUP(1,(참조!$B$2:$B$15=E1222)*(참조!$D$2:$D$15=C1222)*(참조!$E$2:$E$15=D1222),참조!$C$2:$C$15,"")</f>
        <v/>
      </c>
    </row>
    <row r="1223" hidden="1" s="27">
      <c r="A1223" s="47" t="inlineStr">
        <is>
          <t>스마텔</t>
        </is>
      </c>
      <c r="B1223" s="47" t="inlineStr">
        <is>
          <t>스마트 11GB+</t>
        </is>
      </c>
      <c r="C1223" s="47" t="inlineStr">
        <is>
          <t>무제한</t>
        </is>
      </c>
      <c r="D1223" s="47" t="inlineStr">
        <is>
          <t>무제한</t>
        </is>
      </c>
      <c r="E1223" s="47" t="inlineStr">
        <is>
          <t>월 11GB + 매일 2GB + 3Mbps</t>
        </is>
      </c>
      <c r="F1223" s="47" t="inlineStr">
        <is>
          <t>LG U+</t>
        </is>
      </c>
      <c r="G1223" s="47" t="inlineStr">
        <is>
          <t>LTE</t>
        </is>
      </c>
      <c r="H1223" s="48" t="n">
        <v>20000</v>
      </c>
      <c r="I1223" s="48" t="n">
        <v>7</v>
      </c>
      <c r="J1223" s="48" t="n">
        <v>40700</v>
      </c>
      <c r="K1223" s="47">
        <f t="array" ref="K1223">_xlfn.XLOOKUP(1,(참조!$B$2:$B$15=E1223)*(참조!$D$2:$D$15=C1223)*(참조!$E$2:$E$15=D1223),참조!$C$2:$C$15,"")</f>
        <v/>
      </c>
    </row>
    <row r="1224" hidden="1" s="27">
      <c r="A1224" s="47" t="inlineStr">
        <is>
          <t>에이모바일</t>
        </is>
      </c>
      <c r="B1224" s="47" t="inlineStr">
        <is>
          <t>A 넥스트 15GB+/100분</t>
        </is>
      </c>
      <c r="C1224" s="47" t="inlineStr">
        <is>
          <t>100분</t>
        </is>
      </c>
      <c r="D1224" s="47" t="inlineStr">
        <is>
          <t>100건</t>
        </is>
      </c>
      <c r="E1224" s="47" t="inlineStr">
        <is>
          <t>월 15GB + 3Mbps</t>
        </is>
      </c>
      <c r="F1224" s="47" t="inlineStr">
        <is>
          <t>SKT</t>
        </is>
      </c>
      <c r="G1224" s="47" t="inlineStr">
        <is>
          <t>LTE</t>
        </is>
      </c>
      <c r="H1224" s="48" t="n">
        <v>6001</v>
      </c>
      <c r="I1224" s="48" t="n">
        <v>7</v>
      </c>
      <c r="J1224" s="48" t="n">
        <v>26400</v>
      </c>
      <c r="K1224" s="47">
        <f t="array" ref="K1224">_xlfn.XLOOKUP(1,(참조!$B$2:$B$15=E1224)*(참조!$D$2:$D$15=C1224)*(참조!$E$2:$E$15=D1224),참조!$C$2:$C$15,"")</f>
        <v/>
      </c>
    </row>
    <row r="1225" hidden="1" s="27">
      <c r="A1225" s="47" t="inlineStr">
        <is>
          <t>에이모바일</t>
        </is>
      </c>
      <c r="B1225" s="47" t="inlineStr">
        <is>
          <t>A 5G 스마트 10GB/200분</t>
        </is>
      </c>
      <c r="C1225" s="47" t="inlineStr">
        <is>
          <t>200분</t>
        </is>
      </c>
      <c r="D1225" s="47" t="inlineStr">
        <is>
          <t>100건</t>
        </is>
      </c>
      <c r="E1225" s="47" t="inlineStr">
        <is>
          <t>월 10GB</t>
        </is>
      </c>
      <c r="F1225" s="47" t="inlineStr">
        <is>
          <t>SKT</t>
        </is>
      </c>
      <c r="G1225" s="47" t="inlineStr">
        <is>
          <t>5G</t>
        </is>
      </c>
      <c r="H1225" s="48" t="n">
        <v>1100</v>
      </c>
      <c r="I1225" s="48" t="n">
        <v>7</v>
      </c>
      <c r="J1225" s="48" t="n">
        <v>14190</v>
      </c>
      <c r="K1225" s="47">
        <f t="array" ref="K1225">_xlfn.XLOOKUP(1,(참조!$B$2:$B$15=E1225)*(참조!$D$2:$D$15=C1225)*(참조!$E$2:$E$15=D1225),참조!$C$2:$C$15,"")</f>
        <v/>
      </c>
    </row>
    <row r="1226" hidden="1" s="27">
      <c r="A1226" s="47" t="inlineStr">
        <is>
          <t>모빙</t>
        </is>
      </c>
      <c r="B1226" s="47" t="inlineStr">
        <is>
          <t>5G 쏙쏙 300분20GB</t>
        </is>
      </c>
      <c r="C1226" s="47" t="inlineStr">
        <is>
          <t>300분</t>
        </is>
      </c>
      <c r="D1226" s="47" t="inlineStr">
        <is>
          <t>100건</t>
        </is>
      </c>
      <c r="E1226" s="47" t="inlineStr">
        <is>
          <t>월 20GB</t>
        </is>
      </c>
      <c r="F1226" s="47" t="inlineStr">
        <is>
          <t>KT</t>
        </is>
      </c>
      <c r="G1226" s="47" t="inlineStr">
        <is>
          <t>5G</t>
        </is>
      </c>
      <c r="H1226" s="48" t="n">
        <v>8800</v>
      </c>
      <c r="I1226" s="48" t="n">
        <v>7</v>
      </c>
      <c r="J1226" s="48" t="n">
        <v>41800</v>
      </c>
      <c r="K1226" s="47">
        <f t="array" ref="K1226">_xlfn.XLOOKUP(1,(참조!$B$2:$B$15=E1226)*(참조!$D$2:$D$15=C1226)*(참조!$E$2:$E$15=D1226),참조!$C$2:$C$15,"")</f>
        <v/>
      </c>
    </row>
    <row r="1227" hidden="1" s="27">
      <c r="A1227" s="47" t="inlineStr">
        <is>
          <t>스마텔</t>
        </is>
      </c>
      <c r="B1227" s="47" t="inlineStr">
        <is>
          <t>스위트 7GB+(후후) (+10GB 24개월간 추가 제공)</t>
        </is>
      </c>
      <c r="C1227" s="47" t="inlineStr">
        <is>
          <t>무제한</t>
        </is>
      </c>
      <c r="D1227" s="47" t="inlineStr">
        <is>
          <t>무제한</t>
        </is>
      </c>
      <c r="E1227" s="47" t="inlineStr">
        <is>
          <t>월 7GB + 1Mbps</t>
        </is>
      </c>
      <c r="F1227" s="47" t="inlineStr">
        <is>
          <t>KT</t>
        </is>
      </c>
      <c r="G1227" s="47" t="inlineStr">
        <is>
          <t>LTE</t>
        </is>
      </c>
      <c r="H1227" s="48" t="n">
        <v>18700</v>
      </c>
      <c r="I1227" s="48" t="n">
        <v>36</v>
      </c>
      <c r="J1227" s="48" t="n">
        <v>24200</v>
      </c>
      <c r="K1227" s="47">
        <f t="array" ref="K1227">_xlfn.XLOOKUP(1,(참조!$B$2:$B$15=E1227)*(참조!$D$2:$D$15=C1227)*(참조!$E$2:$E$15=D1227),참조!$C$2:$C$15,"")</f>
        <v/>
      </c>
    </row>
    <row r="1228" hidden="1" s="27">
      <c r="A1228" s="47" t="inlineStr">
        <is>
          <t>모빙</t>
        </is>
      </c>
      <c r="B1228" s="47" t="inlineStr">
        <is>
          <t>쏙쏙 100분(10GB)</t>
        </is>
      </c>
      <c r="C1228" s="47" t="inlineStr">
        <is>
          <t>100분</t>
        </is>
      </c>
      <c r="D1228" s="47" t="inlineStr">
        <is>
          <t>100건</t>
        </is>
      </c>
      <c r="E1228" s="47" t="inlineStr">
        <is>
          <t>월 10GB</t>
        </is>
      </c>
      <c r="F1228" s="47" t="inlineStr">
        <is>
          <t>KT</t>
        </is>
      </c>
      <c r="G1228" s="47" t="inlineStr">
        <is>
          <t>LTE</t>
        </is>
      </c>
      <c r="H1228" s="48" t="n">
        <v>8000</v>
      </c>
      <c r="I1228" s="48" t="n"/>
      <c r="J1228" s="48" t="n"/>
      <c r="K1228" s="47">
        <f t="array" ref="K1228">_xlfn.XLOOKUP(1,(참조!$B$2:$B$15=E1228)*(참조!$D$2:$D$15=C1228)*(참조!$E$2:$E$15=D1228),참조!$C$2:$C$15,"")</f>
        <v/>
      </c>
    </row>
    <row r="1229" hidden="1" s="27">
      <c r="A1229" s="47" t="inlineStr">
        <is>
          <t>모빙</t>
        </is>
      </c>
      <c r="B1229" s="47" t="inlineStr">
        <is>
          <t>[L] 데이터 11GB+</t>
        </is>
      </c>
      <c r="C1229" s="47" t="inlineStr">
        <is>
          <t>무제한</t>
        </is>
      </c>
      <c r="D1229" s="47" t="inlineStr">
        <is>
          <t>무제한</t>
        </is>
      </c>
      <c r="E1229" s="47" t="inlineStr">
        <is>
          <t>월 11GB + 매일 2GB + 3Mbps</t>
        </is>
      </c>
      <c r="F1229" s="47" t="inlineStr">
        <is>
          <t>LG U+</t>
        </is>
      </c>
      <c r="G1229" s="47" t="inlineStr">
        <is>
          <t>LTE</t>
        </is>
      </c>
      <c r="H1229" s="48" t="n">
        <v>13000</v>
      </c>
      <c r="I1229" s="48" t="n">
        <v>7</v>
      </c>
      <c r="J1229" s="48" t="n">
        <v>48400</v>
      </c>
      <c r="K1229" s="47">
        <f t="array" ref="K1229">_xlfn.XLOOKUP(1,(참조!$B$2:$B$15=E1229)*(참조!$D$2:$D$15=C1229)*(참조!$E$2:$E$15=D1229),참조!$C$2:$C$15,"")</f>
        <v/>
      </c>
    </row>
    <row r="1230" hidden="1" s="27">
      <c r="A1230" s="47" t="inlineStr">
        <is>
          <t>고고모바일</t>
        </is>
      </c>
      <c r="B1230" s="47" t="inlineStr">
        <is>
          <t>5G무제한 110GB+5M(밀리의서재 매월 무료)</t>
        </is>
      </c>
      <c r="C1230" s="47" t="inlineStr">
        <is>
          <t>무제한</t>
        </is>
      </c>
      <c r="D1230" s="47" t="inlineStr">
        <is>
          <t>무제한</t>
        </is>
      </c>
      <c r="E1230" s="47" t="inlineStr">
        <is>
          <t>월 110GB + 5Mbps</t>
        </is>
      </c>
      <c r="F1230" s="47" t="inlineStr">
        <is>
          <t>KT</t>
        </is>
      </c>
      <c r="G1230" s="47" t="inlineStr">
        <is>
          <t>5G</t>
        </is>
      </c>
      <c r="H1230" s="48" t="n">
        <v>48730</v>
      </c>
      <c r="I1230" s="48" t="n"/>
      <c r="J1230" s="48" t="n"/>
      <c r="K1230" s="47">
        <f t="array" ref="K1230">_xlfn.XLOOKUP(1,(참조!$B$2:$B$15=E1230)*(참조!$D$2:$D$15=C1230)*(참조!$E$2:$E$15=D1230),참조!$C$2:$C$15,"")</f>
        <v/>
      </c>
    </row>
    <row r="1231" hidden="1" s="27">
      <c r="A1231" s="47" t="inlineStr">
        <is>
          <t>모빙</t>
        </is>
      </c>
      <c r="B1231" s="47" t="inlineStr">
        <is>
          <t>[S] 5G 모빙 500분15GB</t>
        </is>
      </c>
      <c r="C1231" s="47" t="inlineStr">
        <is>
          <t>500분</t>
        </is>
      </c>
      <c r="D1231" s="47" t="inlineStr">
        <is>
          <t>100건</t>
        </is>
      </c>
      <c r="E1231" s="47" t="inlineStr">
        <is>
          <t>월 15GB</t>
        </is>
      </c>
      <c r="F1231" s="47" t="inlineStr">
        <is>
          <t>SKT</t>
        </is>
      </c>
      <c r="G1231" s="47" t="inlineStr">
        <is>
          <t>5G</t>
        </is>
      </c>
      <c r="H1231" s="48" t="n">
        <v>12000</v>
      </c>
      <c r="I1231" s="48" t="n"/>
      <c r="J1231" s="48" t="n"/>
      <c r="K1231" s="47">
        <f t="array" ref="K1231">_xlfn.XLOOKUP(1,(참조!$B$2:$B$15=E1231)*(참조!$D$2:$D$15=C1231)*(참조!$E$2:$E$15=D1231),참조!$C$2:$C$15,"")</f>
        <v/>
      </c>
    </row>
    <row r="1232" hidden="1" s="27">
      <c r="A1232" s="47" t="inlineStr">
        <is>
          <t>이야기모바일</t>
        </is>
      </c>
      <c r="B1232" s="47" t="inlineStr">
        <is>
          <t>이야기 라이트 100분5GB+</t>
        </is>
      </c>
      <c r="C1232" s="47" t="inlineStr">
        <is>
          <t>100분</t>
        </is>
      </c>
      <c r="D1232" s="47" t="inlineStr">
        <is>
          <t>100건</t>
        </is>
      </c>
      <c r="E1232" s="47" t="inlineStr">
        <is>
          <t>월 5GB + 1Mbps</t>
        </is>
      </c>
      <c r="F1232" s="47" t="inlineStr">
        <is>
          <t>LG U+</t>
        </is>
      </c>
      <c r="G1232" s="47" t="inlineStr">
        <is>
          <t>LTE</t>
        </is>
      </c>
      <c r="H1232" s="48" t="n">
        <v>8800</v>
      </c>
      <c r="I1232" s="48" t="n">
        <v>24</v>
      </c>
      <c r="J1232" s="48" t="n">
        <v>11000</v>
      </c>
      <c r="K1232" s="47">
        <f t="array" ref="K1232">_xlfn.XLOOKUP(1,(참조!$B$2:$B$15=E1232)*(참조!$D$2:$D$15=C1232)*(참조!$E$2:$E$15=D1232),참조!$C$2:$C$15,"")</f>
        <v/>
      </c>
    </row>
    <row r="1233" hidden="1" s="27">
      <c r="A1233" s="47" t="inlineStr">
        <is>
          <t>고고모바일</t>
        </is>
      </c>
      <c r="B1233" s="47" t="inlineStr">
        <is>
          <t>무제한7GB+1M(지니뮤직 매월 무료)</t>
        </is>
      </c>
      <c r="C1233" s="47" t="inlineStr">
        <is>
          <t>무제한</t>
        </is>
      </c>
      <c r="D1233" s="47" t="inlineStr">
        <is>
          <t>무제한</t>
        </is>
      </c>
      <c r="E1233" s="47" t="inlineStr">
        <is>
          <t>월 7GB + 1Mbps</t>
        </is>
      </c>
      <c r="F1233" s="47" t="inlineStr">
        <is>
          <t>KT</t>
        </is>
      </c>
      <c r="G1233" s="47" t="inlineStr">
        <is>
          <t>LTE</t>
        </is>
      </c>
      <c r="H1233" s="48" t="n">
        <v>22000</v>
      </c>
      <c r="I1233" s="48" t="n"/>
      <c r="J1233" s="48" t="n"/>
      <c r="K1233" s="47">
        <f t="array" ref="K1233">_xlfn.XLOOKUP(1,(참조!$B$2:$B$15=E1233)*(참조!$D$2:$D$15=C1233)*(참조!$E$2:$E$15=D1233),참조!$C$2:$C$15,"")</f>
        <v/>
      </c>
    </row>
    <row r="1234" hidden="1" s="27">
      <c r="A1234" s="47" t="inlineStr">
        <is>
          <t>LG헬로모바일</t>
        </is>
      </c>
      <c r="B1234" s="47" t="inlineStr">
        <is>
          <t>보편 안심 유심 15GB 300분</t>
        </is>
      </c>
      <c r="C1234" s="47" t="inlineStr">
        <is>
          <t>300분</t>
        </is>
      </c>
      <c r="D1234" s="47" t="inlineStr">
        <is>
          <t>300건</t>
        </is>
      </c>
      <c r="E1234" s="47" t="inlineStr">
        <is>
          <t>월 15GB + 3Mbps</t>
        </is>
      </c>
      <c r="F1234" s="47" t="inlineStr">
        <is>
          <t>LG U+</t>
        </is>
      </c>
      <c r="G1234" s="47" t="inlineStr">
        <is>
          <t>LTE</t>
        </is>
      </c>
      <c r="H1234" s="48" t="n">
        <v>31900</v>
      </c>
      <c r="I1234" s="48" t="n"/>
      <c r="J1234" s="48" t="n"/>
      <c r="K1234" s="47">
        <f t="array" ref="K1234">_xlfn.XLOOKUP(1,(참조!$B$2:$B$15=E1234)*(참조!$D$2:$D$15=C1234)*(참조!$E$2:$E$15=D1234),참조!$C$2:$C$15,"")</f>
        <v/>
      </c>
    </row>
    <row r="1235" hidden="1" s="27">
      <c r="A1235" s="47" t="inlineStr">
        <is>
          <t>에이모바일</t>
        </is>
      </c>
      <c r="B1235" s="47" t="inlineStr">
        <is>
          <t>A 올라잇 매일 5GB+</t>
        </is>
      </c>
      <c r="C1235" s="47" t="inlineStr">
        <is>
          <t>무제한</t>
        </is>
      </c>
      <c r="D1235" s="47" t="inlineStr">
        <is>
          <t>무제한</t>
        </is>
      </c>
      <c r="E1235" s="47" t="inlineStr">
        <is>
          <t>매일 5GB + 5Mbps</t>
        </is>
      </c>
      <c r="F1235" s="47" t="inlineStr">
        <is>
          <t>KT</t>
        </is>
      </c>
      <c r="G1235" s="47" t="inlineStr">
        <is>
          <t>LTE</t>
        </is>
      </c>
      <c r="H1235" s="48" t="n">
        <v>11499</v>
      </c>
      <c r="I1235" s="48" t="n">
        <v>7</v>
      </c>
      <c r="J1235" s="48" t="n">
        <v>46200</v>
      </c>
      <c r="K1235" s="47">
        <f t="array" ref="K1235">_xlfn.XLOOKUP(1,(참조!$B$2:$B$15=E1235)*(참조!$D$2:$D$15=C1235)*(참조!$E$2:$E$15=D1235),참조!$C$2:$C$15,"")</f>
        <v/>
      </c>
    </row>
    <row r="1236" hidden="1" s="27">
      <c r="A1236" s="47" t="inlineStr">
        <is>
          <t>모빙</t>
        </is>
      </c>
      <c r="B1236" s="47" t="inlineStr">
        <is>
          <t>쏙쏙 300분5GB</t>
        </is>
      </c>
      <c r="C1236" s="47" t="inlineStr">
        <is>
          <t>300분</t>
        </is>
      </c>
      <c r="D1236" s="47" t="inlineStr">
        <is>
          <t>100건</t>
        </is>
      </c>
      <c r="E1236" s="47" t="inlineStr">
        <is>
          <t>월 5GB</t>
        </is>
      </c>
      <c r="F1236" s="47" t="inlineStr">
        <is>
          <t>KT</t>
        </is>
      </c>
      <c r="G1236" s="47" t="inlineStr">
        <is>
          <t>LTE</t>
        </is>
      </c>
      <c r="H1236" s="48" t="n">
        <v>110</v>
      </c>
      <c r="I1236" s="48" t="n">
        <v>5</v>
      </c>
      <c r="J1236" s="48" t="n">
        <v>14300</v>
      </c>
      <c r="K1236" s="47">
        <f t="array" ref="K1236">_xlfn.XLOOKUP(1,(참조!$B$2:$B$15=E1236)*(참조!$D$2:$D$15=C1236)*(참조!$E$2:$E$15=D1236),참조!$C$2:$C$15,"")</f>
        <v/>
      </c>
    </row>
    <row r="1237" hidden="1" s="27">
      <c r="A1237" s="47" t="inlineStr">
        <is>
          <t>모빙</t>
        </is>
      </c>
      <c r="B1237" s="47" t="inlineStr">
        <is>
          <t>[L] 데이터 100GB+</t>
        </is>
      </c>
      <c r="C1237" s="47" t="inlineStr">
        <is>
          <t>무제한</t>
        </is>
      </c>
      <c r="D1237" s="47" t="inlineStr">
        <is>
          <t>무제한</t>
        </is>
      </c>
      <c r="E1237" s="47" t="inlineStr">
        <is>
          <t>월 100GB + 5Mbps</t>
        </is>
      </c>
      <c r="F1237" s="47" t="inlineStr">
        <is>
          <t>LG U+</t>
        </is>
      </c>
      <c r="G1237" s="47" t="inlineStr">
        <is>
          <t>LTE</t>
        </is>
      </c>
      <c r="H1237" s="48" t="n">
        <v>15000</v>
      </c>
      <c r="I1237" s="48" t="n">
        <v>7</v>
      </c>
      <c r="J1237" s="48" t="n">
        <v>53900</v>
      </c>
      <c r="K1237" s="47">
        <f t="array" ref="K1237">_xlfn.XLOOKUP(1,(참조!$B$2:$B$15=E1237)*(참조!$D$2:$D$15=C1237)*(참조!$E$2:$E$15=D1237),참조!$C$2:$C$15,"")</f>
        <v/>
      </c>
    </row>
    <row r="1238" hidden="1" s="27">
      <c r="A1238" s="47" t="inlineStr">
        <is>
          <t>스마텔</t>
        </is>
      </c>
      <c r="B1238" s="47" t="inlineStr">
        <is>
          <t>5G 스마트플러스(200분 + 5GB)</t>
        </is>
      </c>
      <c r="C1238" s="47" t="inlineStr">
        <is>
          <t>200분</t>
        </is>
      </c>
      <c r="D1238" s="47" t="inlineStr">
        <is>
          <t>100건</t>
        </is>
      </c>
      <c r="E1238" s="47" t="inlineStr">
        <is>
          <t>월 5GB</t>
        </is>
      </c>
      <c r="F1238" s="47" t="inlineStr">
        <is>
          <t>LG U+</t>
        </is>
      </c>
      <c r="G1238" s="47" t="inlineStr">
        <is>
          <t>5G</t>
        </is>
      </c>
      <c r="H1238" s="48" t="n">
        <v>7200</v>
      </c>
      <c r="I1238" s="48" t="n">
        <v>12</v>
      </c>
      <c r="J1238" s="48" t="n">
        <v>13000</v>
      </c>
      <c r="K1238" s="47">
        <f t="array" ref="K1238">_xlfn.XLOOKUP(1,(참조!$B$2:$B$15=E1238)*(참조!$D$2:$D$15=C1238)*(참조!$E$2:$E$15=D1238),참조!$C$2:$C$15,"")</f>
        <v/>
      </c>
    </row>
    <row r="1239" hidden="1" s="27">
      <c r="A1239" s="47" t="inlineStr">
        <is>
          <t>에이모바일</t>
        </is>
      </c>
      <c r="B1239" s="47" t="inlineStr">
        <is>
          <t>A 스페셜 매일 5GB+ (24개월)</t>
        </is>
      </c>
      <c r="C1239" s="47" t="inlineStr">
        <is>
          <t>무제한</t>
        </is>
      </c>
      <c r="D1239" s="47" t="inlineStr">
        <is>
          <t>무제한</t>
        </is>
      </c>
      <c r="E1239" s="47" t="inlineStr">
        <is>
          <t>매일 5GB + 5Mbps</t>
        </is>
      </c>
      <c r="F1239" s="47" t="inlineStr">
        <is>
          <t>LG U+</t>
        </is>
      </c>
      <c r="G1239" s="47" t="inlineStr">
        <is>
          <t>LTE</t>
        </is>
      </c>
      <c r="H1239" s="48" t="n">
        <v>27900</v>
      </c>
      <c r="I1239" s="48" t="n">
        <v>24</v>
      </c>
      <c r="J1239" s="48" t="n">
        <v>47960</v>
      </c>
      <c r="K1239" s="47">
        <f t="array" ref="K1239">_xlfn.XLOOKUP(1,(참조!$B$2:$B$15=E1239)*(참조!$D$2:$D$15=C1239)*(참조!$E$2:$E$15=D1239),참조!$C$2:$C$15,"")</f>
        <v/>
      </c>
    </row>
    <row r="1240" hidden="1" s="27">
      <c r="A1240" s="47" t="inlineStr">
        <is>
          <t>고고모바일</t>
        </is>
      </c>
      <c r="B1240" s="47" t="inlineStr">
        <is>
          <t>[모요only] 무제한 10GB+1M(다이소 5000원)</t>
        </is>
      </c>
      <c r="C1240" s="47" t="inlineStr">
        <is>
          <t>무제한</t>
        </is>
      </c>
      <c r="D1240" s="47" t="inlineStr">
        <is>
          <t>무제한</t>
        </is>
      </c>
      <c r="E1240" s="47" t="inlineStr">
        <is>
          <t>월 10GB + 1Mbps</t>
        </is>
      </c>
      <c r="F1240" s="47" t="inlineStr">
        <is>
          <t>KT</t>
        </is>
      </c>
      <c r="G1240" s="47" t="inlineStr">
        <is>
          <t>LTE</t>
        </is>
      </c>
      <c r="H1240" s="48" t="n">
        <v>9000</v>
      </c>
      <c r="I1240" s="48" t="n">
        <v>7</v>
      </c>
      <c r="J1240" s="48" t="n">
        <v>27500</v>
      </c>
      <c r="K1240" s="47">
        <f t="array" ref="K1240">_xlfn.XLOOKUP(1,(참조!$B$2:$B$15=E1240)*(참조!$D$2:$D$15=C1240)*(참조!$E$2:$E$15=D1240),참조!$C$2:$C$15,"")</f>
        <v/>
      </c>
    </row>
    <row r="1241" hidden="1" s="27">
      <c r="A1241" s="47" t="inlineStr">
        <is>
          <t>고고모바일</t>
        </is>
      </c>
      <c r="B1241" s="47" t="inlineStr">
        <is>
          <t>[모요only] 5G 무제한 30GB+1Mbps</t>
        </is>
      </c>
      <c r="C1241" s="47" t="inlineStr">
        <is>
          <t>무제한</t>
        </is>
      </c>
      <c r="D1241" s="47" t="inlineStr">
        <is>
          <t>무제한</t>
        </is>
      </c>
      <c r="E1241" s="47" t="inlineStr">
        <is>
          <t>월 30GB + 1Mbps</t>
        </is>
      </c>
      <c r="F1241" s="47" t="inlineStr">
        <is>
          <t>KT</t>
        </is>
      </c>
      <c r="G1241" s="47" t="inlineStr">
        <is>
          <t>5G</t>
        </is>
      </c>
      <c r="H1241" s="48" t="n">
        <v>29000</v>
      </c>
      <c r="I1241" s="48" t="n">
        <v>12</v>
      </c>
      <c r="J1241" s="48" t="n">
        <v>40040</v>
      </c>
      <c r="K1241" s="47">
        <f t="array" ref="K1241">_xlfn.XLOOKUP(1,(참조!$B$2:$B$15=E1241)*(참조!$D$2:$D$15=C1241)*(참조!$E$2:$E$15=D1241),참조!$C$2:$C$15,"")</f>
        <v/>
      </c>
    </row>
    <row r="1242" hidden="1" s="27">
      <c r="A1242" s="47" t="inlineStr">
        <is>
          <t>KT스카이라이프</t>
        </is>
      </c>
      <c r="B1242" s="47" t="inlineStr">
        <is>
          <t>5G 통화 충분 30GB</t>
        </is>
      </c>
      <c r="C1242" s="47" t="inlineStr">
        <is>
          <t>무제한</t>
        </is>
      </c>
      <c r="D1242" s="47" t="inlineStr">
        <is>
          <t>무제한</t>
        </is>
      </c>
      <c r="E1242" s="47" t="inlineStr">
        <is>
          <t>월 30GB</t>
        </is>
      </c>
      <c r="F1242" s="47" t="inlineStr">
        <is>
          <t>KT</t>
        </is>
      </c>
      <c r="G1242" s="47" t="inlineStr">
        <is>
          <t>5G</t>
        </is>
      </c>
      <c r="H1242" s="48" t="n">
        <v>29900</v>
      </c>
      <c r="I1242" s="48" t="n"/>
      <c r="J1242" s="48" t="n"/>
      <c r="K1242" s="47">
        <f t="array" ref="K1242">_xlfn.XLOOKUP(1,(참조!$B$2:$B$15=E1242)*(참조!$D$2:$D$15=C1242)*(참조!$E$2:$E$15=D1242),참조!$C$2:$C$15,"")</f>
        <v/>
      </c>
    </row>
    <row r="1243" hidden="1" s="27">
      <c r="A1243" s="47" t="inlineStr">
        <is>
          <t>모빙</t>
        </is>
      </c>
      <c r="B1243" s="47" t="inlineStr">
        <is>
          <t>실속 100분3GB</t>
        </is>
      </c>
      <c r="C1243" s="47" t="inlineStr">
        <is>
          <t>100분</t>
        </is>
      </c>
      <c r="D1243" s="47" t="inlineStr">
        <is>
          <t>100건</t>
        </is>
      </c>
      <c r="E1243" s="47" t="inlineStr">
        <is>
          <t>월 3GB</t>
        </is>
      </c>
      <c r="F1243" s="47" t="inlineStr">
        <is>
          <t>LG U+</t>
        </is>
      </c>
      <c r="G1243" s="47" t="inlineStr">
        <is>
          <t>LTE</t>
        </is>
      </c>
      <c r="H1243" s="48" t="n">
        <v>2800</v>
      </c>
      <c r="I1243" s="48" t="n"/>
      <c r="J1243" s="48" t="n"/>
      <c r="K1243" s="47">
        <f t="array" ref="K1243">_xlfn.XLOOKUP(1,(참조!$B$2:$B$15=E1243)*(참조!$D$2:$D$15=C1243)*(참조!$E$2:$E$15=D1243),참조!$C$2:$C$15,"")</f>
        <v/>
      </c>
    </row>
    <row r="1244" hidden="1" s="27">
      <c r="A1244" s="47" t="inlineStr">
        <is>
          <t>쉐이크모바일</t>
        </is>
      </c>
      <c r="B1244" s="47" t="inlineStr">
        <is>
          <t>[모요only] 쉐이크 LTE 15GB+/300분_CU</t>
        </is>
      </c>
      <c r="C1244" s="47" t="inlineStr">
        <is>
          <t>300분</t>
        </is>
      </c>
      <c r="D1244" s="47" t="inlineStr">
        <is>
          <t>300건</t>
        </is>
      </c>
      <c r="E1244" s="47" t="inlineStr">
        <is>
          <t>월 15GB + 3Mbps</t>
        </is>
      </c>
      <c r="F1244" s="47" t="inlineStr">
        <is>
          <t>KT</t>
        </is>
      </c>
      <c r="G1244" s="47" t="inlineStr">
        <is>
          <t>LTE</t>
        </is>
      </c>
      <c r="H1244" s="48" t="n">
        <v>16900</v>
      </c>
      <c r="I1244" s="48" t="n">
        <v>7</v>
      </c>
      <c r="J1244" s="48" t="n">
        <v>34100</v>
      </c>
      <c r="K1244" s="47">
        <f t="array" ref="K1244">_xlfn.XLOOKUP(1,(참조!$B$2:$B$15=E1244)*(참조!$D$2:$D$15=C1244)*(참조!$E$2:$E$15=D1244),참조!$C$2:$C$15,"")</f>
        <v/>
      </c>
    </row>
    <row r="1245" hidden="1" s="27">
      <c r="A1245" s="47" t="inlineStr">
        <is>
          <t>티플러스</t>
        </is>
      </c>
      <c r="B1245" s="47" t="inlineStr">
        <is>
          <t>5G 가성비플러스(3GB/350분)</t>
        </is>
      </c>
      <c r="C1245" s="47" t="inlineStr">
        <is>
          <t>350분</t>
        </is>
      </c>
      <c r="D1245" s="47" t="inlineStr">
        <is>
          <t>100건</t>
        </is>
      </c>
      <c r="E1245" s="47" t="inlineStr">
        <is>
          <t>월 3GB</t>
        </is>
      </c>
      <c r="F1245" s="47" t="inlineStr">
        <is>
          <t>LG U+</t>
        </is>
      </c>
      <c r="G1245" s="47" t="inlineStr">
        <is>
          <t>5G</t>
        </is>
      </c>
      <c r="H1245" s="48" t="n">
        <v>1900</v>
      </c>
      <c r="I1245" s="48" t="n">
        <v>6</v>
      </c>
      <c r="J1245" s="48" t="n">
        <v>7700</v>
      </c>
      <c r="K1245" s="47">
        <f t="array" ref="K1245">_xlfn.XLOOKUP(1,(참조!$B$2:$B$15=E1245)*(참조!$D$2:$D$15=C1245)*(참조!$E$2:$E$15=D1245),참조!$C$2:$C$15,"")</f>
        <v/>
      </c>
    </row>
    <row r="1246" hidden="1" s="27">
      <c r="A1246" s="47" t="inlineStr">
        <is>
          <t>티플러스</t>
        </is>
      </c>
      <c r="B1246" s="47" t="inlineStr">
        <is>
          <t>5G 티플 8GB(8GB/300분)</t>
        </is>
      </c>
      <c r="C1246" s="47" t="inlineStr">
        <is>
          <t>300분</t>
        </is>
      </c>
      <c r="D1246" s="47" t="inlineStr">
        <is>
          <t>100건</t>
        </is>
      </c>
      <c r="E1246" s="47" t="inlineStr">
        <is>
          <t>월 8GB</t>
        </is>
      </c>
      <c r="F1246" s="47" t="inlineStr">
        <is>
          <t>SKT</t>
        </is>
      </c>
      <c r="G1246" s="47" t="inlineStr">
        <is>
          <t>5G</t>
        </is>
      </c>
      <c r="H1246" s="48" t="n">
        <v>5000</v>
      </c>
      <c r="I1246" s="48" t="n">
        <v>4</v>
      </c>
      <c r="J1246" s="48" t="n">
        <v>14300</v>
      </c>
      <c r="K1246" s="47">
        <f t="array" ref="K1246">_xlfn.XLOOKUP(1,(참조!$B$2:$B$15=E1246)*(참조!$D$2:$D$15=C1246)*(참조!$E$2:$E$15=D1246),참조!$C$2:$C$15,"")</f>
        <v/>
      </c>
    </row>
    <row r="1247" hidden="1" s="27">
      <c r="A1247" s="47" t="inlineStr">
        <is>
          <t>이지모바일</t>
        </is>
      </c>
      <c r="B1247" s="47" t="inlineStr">
        <is>
          <t>EG 무제한 일5G+5</t>
        </is>
      </c>
      <c r="C1247" s="47" t="inlineStr">
        <is>
          <t>무제한</t>
        </is>
      </c>
      <c r="D1247" s="47" t="inlineStr">
        <is>
          <t>무제한</t>
        </is>
      </c>
      <c r="E1247" s="47" t="inlineStr">
        <is>
          <t>매일 5GB + 5Mbps</t>
        </is>
      </c>
      <c r="F1247" s="47" t="inlineStr">
        <is>
          <t>KT</t>
        </is>
      </c>
      <c r="G1247" s="47" t="inlineStr">
        <is>
          <t>LTE</t>
        </is>
      </c>
      <c r="H1247" s="48" t="n">
        <v>20350</v>
      </c>
      <c r="I1247" s="48" t="n">
        <v>7</v>
      </c>
      <c r="J1247" s="48" t="n">
        <v>45100</v>
      </c>
      <c r="K1247" s="47">
        <f t="array" ref="K1247">_xlfn.XLOOKUP(1,(참조!$B$2:$B$15=E1247)*(참조!$D$2:$D$15=C1247)*(참조!$E$2:$E$15=D1247),참조!$C$2:$C$15,"")</f>
        <v/>
      </c>
    </row>
    <row r="1248" hidden="1" s="27">
      <c r="A1248" s="47" t="inlineStr">
        <is>
          <t>모빙</t>
        </is>
      </c>
      <c r="B1248" s="47" t="inlineStr">
        <is>
          <t>[S] 300분1GB</t>
        </is>
      </c>
      <c r="C1248" s="47" t="inlineStr">
        <is>
          <t>300분</t>
        </is>
      </c>
      <c r="D1248" s="47" t="inlineStr">
        <is>
          <t>300건</t>
        </is>
      </c>
      <c r="E1248" s="47" t="inlineStr">
        <is>
          <t>월 1GB</t>
        </is>
      </c>
      <c r="F1248" s="47" t="inlineStr">
        <is>
          <t>SKT</t>
        </is>
      </c>
      <c r="G1248" s="47" t="inlineStr">
        <is>
          <t>LTE</t>
        </is>
      </c>
      <c r="H1248" s="48" t="n">
        <v>3000</v>
      </c>
      <c r="I1248" s="48" t="n"/>
      <c r="J1248" s="48" t="n"/>
      <c r="K1248" s="47">
        <f t="array" ref="K1248">_xlfn.XLOOKUP(1,(참조!$B$2:$B$15=E1248)*(참조!$D$2:$D$15=C1248)*(참조!$E$2:$E$15=D1248),참조!$C$2:$C$15,"")</f>
        <v/>
      </c>
    </row>
    <row r="1249" hidden="1" s="27">
      <c r="A1249" s="47" t="inlineStr">
        <is>
          <t>이야기모바일</t>
        </is>
      </c>
      <c r="B1249" s="47" t="inlineStr">
        <is>
          <t>[모요only] 내맘대로 (200분+1GB)</t>
        </is>
      </c>
      <c r="C1249" s="47" t="inlineStr">
        <is>
          <t>200분</t>
        </is>
      </c>
      <c r="D1249" s="47" t="inlineStr">
        <is>
          <t>50건</t>
        </is>
      </c>
      <c r="E1249" s="47" t="inlineStr">
        <is>
          <t>월 1GB</t>
        </is>
      </c>
      <c r="F1249" s="47" t="inlineStr">
        <is>
          <t>LG U+</t>
        </is>
      </c>
      <c r="G1249" s="47" t="inlineStr">
        <is>
          <t>LTE</t>
        </is>
      </c>
      <c r="H1249" s="48" t="n">
        <v>6050</v>
      </c>
      <c r="I1249" s="48" t="n"/>
      <c r="J1249" s="48" t="n"/>
      <c r="K1249" s="47">
        <f t="array" ref="K1249">_xlfn.XLOOKUP(1,(참조!$B$2:$B$15=E1249)*(참조!$D$2:$D$15=C1249)*(참조!$E$2:$E$15=D1249),참조!$C$2:$C$15,"")</f>
        <v/>
      </c>
    </row>
    <row r="1250" hidden="1" s="27">
      <c r="A1250" s="47" t="inlineStr">
        <is>
          <t>리브모바일</t>
        </is>
      </c>
      <c r="B1250" s="47" t="inlineStr">
        <is>
          <t>더블업 LTE 17GB+ (7+10 24개월) / 평생가 17,000원</t>
        </is>
      </c>
      <c r="C1250" s="47" t="inlineStr">
        <is>
          <t>무제한</t>
        </is>
      </c>
      <c r="D1250" s="47" t="inlineStr">
        <is>
          <t>무제한</t>
        </is>
      </c>
      <c r="E1250" s="47" t="inlineStr">
        <is>
          <t>월 17GB + 1Mbps</t>
        </is>
      </c>
      <c r="F1250" s="47" t="inlineStr">
        <is>
          <t>LG U+</t>
        </is>
      </c>
      <c r="G1250" s="47" t="inlineStr">
        <is>
          <t>LTE</t>
        </is>
      </c>
      <c r="H1250" s="48" t="n">
        <v>17000</v>
      </c>
      <c r="I1250" s="48" t="n"/>
      <c r="J1250" s="48" t="n"/>
      <c r="K1250" s="47">
        <f t="array" ref="K1250">_xlfn.XLOOKUP(1,(참조!$B$2:$B$15=E1250)*(참조!$D$2:$D$15=C1250)*(참조!$E$2:$E$15=D1250),참조!$C$2:$C$15,"")</f>
        <v/>
      </c>
    </row>
    <row r="1251" hidden="1" s="27">
      <c r="A1251" s="47" t="inlineStr">
        <is>
          <t>모빙</t>
        </is>
      </c>
      <c r="B1251" s="47" t="inlineStr">
        <is>
          <t>[L] 5G 데이터 125GB+_2y_plus</t>
        </is>
      </c>
      <c r="C1251" s="47" t="inlineStr">
        <is>
          <t>무제한</t>
        </is>
      </c>
      <c r="D1251" s="47" t="inlineStr">
        <is>
          <t>무제한</t>
        </is>
      </c>
      <c r="E1251" s="47" t="inlineStr">
        <is>
          <t>월 125GB + 5Mbps</t>
        </is>
      </c>
      <c r="F1251" s="47" t="inlineStr">
        <is>
          <t>LG U+</t>
        </is>
      </c>
      <c r="G1251" s="47" t="inlineStr">
        <is>
          <t>5G</t>
        </is>
      </c>
      <c r="H1251" s="48" t="n">
        <v>28500</v>
      </c>
      <c r="I1251" s="48" t="n">
        <v>24</v>
      </c>
      <c r="J1251" s="48" t="n">
        <v>53900</v>
      </c>
      <c r="K1251" s="47">
        <f t="array" ref="K1251">_xlfn.XLOOKUP(1,(참조!$B$2:$B$15=E1251)*(참조!$D$2:$D$15=C1251)*(참조!$E$2:$E$15=D1251),참조!$C$2:$C$15,"")</f>
        <v/>
      </c>
    </row>
    <row r="1252" hidden="1" s="27">
      <c r="A1252" s="47" t="inlineStr">
        <is>
          <t>이야기모바일</t>
        </is>
      </c>
      <c r="B1252" s="47" t="inlineStr">
        <is>
          <t>이야기 스탠다드 100분15GB+</t>
        </is>
      </c>
      <c r="C1252" s="47" t="inlineStr">
        <is>
          <t>100분</t>
        </is>
      </c>
      <c r="D1252" s="47" t="inlineStr">
        <is>
          <t>100건</t>
        </is>
      </c>
      <c r="E1252" s="47" t="inlineStr">
        <is>
          <t>월 15GB + 3Mbps</t>
        </is>
      </c>
      <c r="F1252" s="47" t="inlineStr">
        <is>
          <t>LG U+</t>
        </is>
      </c>
      <c r="G1252" s="47" t="inlineStr">
        <is>
          <t>LTE</t>
        </is>
      </c>
      <c r="H1252" s="48" t="n">
        <v>17000</v>
      </c>
      <c r="I1252" s="48" t="n">
        <v>7</v>
      </c>
      <c r="J1252" s="48" t="n">
        <v>31900</v>
      </c>
      <c r="K1252" s="47">
        <f t="array" ref="K1252">_xlfn.XLOOKUP(1,(참조!$B$2:$B$15=E1252)*(참조!$D$2:$D$15=C1252)*(참조!$E$2:$E$15=D1252),참조!$C$2:$C$15,"")</f>
        <v/>
      </c>
    </row>
    <row r="1253" hidden="1" s="27">
      <c r="A1253" s="47" t="inlineStr">
        <is>
          <t>모빙</t>
        </is>
      </c>
      <c r="B1253" s="47" t="inlineStr">
        <is>
          <t>[L] 데이터11GB+_2y_plus</t>
        </is>
      </c>
      <c r="C1253" s="47" t="inlineStr">
        <is>
          <t>무제한</t>
        </is>
      </c>
      <c r="D1253" s="47" t="inlineStr">
        <is>
          <t>무제한</t>
        </is>
      </c>
      <c r="E1253" s="47" t="inlineStr">
        <is>
          <t>월 11GB + 매일 2GB + 3Mbps</t>
        </is>
      </c>
      <c r="F1253" s="47" t="inlineStr">
        <is>
          <t>LG U+</t>
        </is>
      </c>
      <c r="G1253" s="47" t="inlineStr">
        <is>
          <t>LTE</t>
        </is>
      </c>
      <c r="H1253" s="48" t="n">
        <v>26500</v>
      </c>
      <c r="I1253" s="48" t="n">
        <v>24</v>
      </c>
      <c r="J1253" s="48" t="n">
        <v>46000</v>
      </c>
      <c r="K1253" s="47">
        <f t="array" ref="K1253">_xlfn.XLOOKUP(1,(참조!$B$2:$B$15=E1253)*(참조!$D$2:$D$15=C1253)*(참조!$E$2:$E$15=D1253),참조!$C$2:$C$15,"")</f>
        <v/>
      </c>
    </row>
    <row r="1254" hidden="1" s="27">
      <c r="A1254" s="47" t="inlineStr">
        <is>
          <t>티플러스</t>
        </is>
      </c>
      <c r="B1254" s="47" t="inlineStr">
        <is>
          <t>5G 티플온 180GB+_24개월프로모션</t>
        </is>
      </c>
      <c r="C1254" s="47" t="inlineStr">
        <is>
          <t>무제한</t>
        </is>
      </c>
      <c r="D1254" s="47" t="inlineStr">
        <is>
          <t>무제한</t>
        </is>
      </c>
      <c r="E1254" s="47" t="inlineStr">
        <is>
          <t>월 180GB + 10Mbps</t>
        </is>
      </c>
      <c r="F1254" s="47" t="inlineStr">
        <is>
          <t>LG U+</t>
        </is>
      </c>
      <c r="G1254" s="47" t="inlineStr">
        <is>
          <t>5G</t>
        </is>
      </c>
      <c r="H1254" s="48" t="n">
        <v>37900</v>
      </c>
      <c r="I1254" s="48" t="n">
        <v>24</v>
      </c>
      <c r="J1254" s="48" t="n">
        <v>62700</v>
      </c>
      <c r="K1254" s="47">
        <f t="array" ref="K1254">_xlfn.XLOOKUP(1,(참조!$B$2:$B$15=E1254)*(참조!$D$2:$D$15=C1254)*(참조!$E$2:$E$15=D1254),참조!$C$2:$C$15,"")</f>
        <v/>
      </c>
    </row>
    <row r="1255" hidden="1" s="27">
      <c r="A1255" s="47" t="inlineStr">
        <is>
          <t>KT스카이라이프</t>
        </is>
      </c>
      <c r="B1255" s="47" t="inlineStr">
        <is>
          <t>5G 모두 충분 110GB+(밀리의서재)</t>
        </is>
      </c>
      <c r="C1255" s="47" t="inlineStr">
        <is>
          <t>무제한</t>
        </is>
      </c>
      <c r="D1255" s="47" t="inlineStr">
        <is>
          <t>무제한</t>
        </is>
      </c>
      <c r="E1255" s="47" t="inlineStr">
        <is>
          <t>월 110GB + 5Mbps</t>
        </is>
      </c>
      <c r="F1255" s="47" t="inlineStr">
        <is>
          <t>KT</t>
        </is>
      </c>
      <c r="G1255" s="47" t="inlineStr">
        <is>
          <t>5G</t>
        </is>
      </c>
      <c r="H1255" s="48" t="n">
        <v>42900</v>
      </c>
      <c r="I1255" s="48" t="n"/>
      <c r="J1255" s="48" t="n"/>
      <c r="K1255" s="47">
        <f t="array" ref="K1255">_xlfn.XLOOKUP(1,(참조!$B$2:$B$15=E1255)*(참조!$D$2:$D$15=C1255)*(참조!$E$2:$E$15=D1255),참조!$C$2:$C$15,"")</f>
        <v/>
      </c>
    </row>
    <row r="1256" hidden="1" s="27">
      <c r="A1256" s="47" t="inlineStr">
        <is>
          <t>아이즈모바일</t>
        </is>
      </c>
      <c r="B1256" s="47" t="inlineStr">
        <is>
          <t>[L]아이즈팩 100분/15GB+</t>
        </is>
      </c>
      <c r="C1256" s="47" t="inlineStr">
        <is>
          <t>100분</t>
        </is>
      </c>
      <c r="D1256" s="47" t="inlineStr">
        <is>
          <t>100건</t>
        </is>
      </c>
      <c r="E1256" s="47" t="inlineStr">
        <is>
          <t>월 15GB + 3Mbps</t>
        </is>
      </c>
      <c r="F1256" s="47" t="inlineStr">
        <is>
          <t>LG U+</t>
        </is>
      </c>
      <c r="G1256" s="47" t="inlineStr">
        <is>
          <t>LTE</t>
        </is>
      </c>
      <c r="H1256" s="48" t="n">
        <v>17500</v>
      </c>
      <c r="I1256" s="48" t="n">
        <v>24</v>
      </c>
      <c r="J1256" s="48" t="n">
        <v>34100</v>
      </c>
      <c r="K1256" s="47">
        <f t="array" ref="K1256">_xlfn.XLOOKUP(1,(참조!$B$2:$B$15=E1256)*(참조!$D$2:$D$15=C1256)*(참조!$E$2:$E$15=D1256),참조!$C$2:$C$15,"")</f>
        <v/>
      </c>
    </row>
    <row r="1257" hidden="1" s="27">
      <c r="A1257" s="47" t="inlineStr">
        <is>
          <t>모빙</t>
        </is>
      </c>
      <c r="B1257" s="47" t="inlineStr">
        <is>
          <t>실속 데이터 매일5GB+</t>
        </is>
      </c>
      <c r="C1257" s="47" t="inlineStr">
        <is>
          <t>무제한</t>
        </is>
      </c>
      <c r="D1257" s="47" t="inlineStr">
        <is>
          <t>무제한</t>
        </is>
      </c>
      <c r="E1257" s="47" t="inlineStr">
        <is>
          <t>매일 5GB + 5Mbps</t>
        </is>
      </c>
      <c r="F1257" s="47" t="inlineStr">
        <is>
          <t>LG U+</t>
        </is>
      </c>
      <c r="G1257" s="47" t="inlineStr">
        <is>
          <t>LTE</t>
        </is>
      </c>
      <c r="H1257" s="48" t="n">
        <v>15000</v>
      </c>
      <c r="I1257" s="48" t="n">
        <v>7</v>
      </c>
      <c r="J1257" s="48" t="n">
        <v>51700</v>
      </c>
      <c r="K1257" s="47">
        <f t="array" ref="K1257">_xlfn.XLOOKUP(1,(참조!$B$2:$B$15=E1257)*(참조!$D$2:$D$15=C1257)*(참조!$E$2:$E$15=D1257),참조!$C$2:$C$15,"")</f>
        <v/>
      </c>
    </row>
    <row r="1258" hidden="1" s="27">
      <c r="A1258" s="47" t="inlineStr">
        <is>
          <t>LG U+</t>
        </is>
      </c>
      <c r="B1258" s="47" t="inlineStr">
        <is>
          <t>데일리 너겟59</t>
        </is>
      </c>
      <c r="C1258" s="47" t="inlineStr">
        <is>
          <t>무제한</t>
        </is>
      </c>
      <c r="D1258" s="47" t="inlineStr">
        <is>
          <t>무제한</t>
        </is>
      </c>
      <c r="E1258" s="47" t="inlineStr">
        <is>
          <t>무제한</t>
        </is>
      </c>
      <c r="F1258" s="47" t="inlineStr">
        <is>
          <t>LG U+</t>
        </is>
      </c>
      <c r="G1258" s="47" t="inlineStr">
        <is>
          <t>5G</t>
        </is>
      </c>
      <c r="H1258" s="48" t="n">
        <v>59000</v>
      </c>
      <c r="I1258" s="48" t="n"/>
      <c r="J1258" s="48" t="n"/>
      <c r="K1258" s="47">
        <f t="array" ref="K1258">_xlfn.XLOOKUP(1,(참조!$B$2:$B$15=E1258)*(참조!$D$2:$D$15=C1258)*(참조!$E$2:$E$15=D1258),참조!$C$2:$C$15,"")</f>
        <v/>
      </c>
    </row>
    <row r="1259" hidden="1" s="27">
      <c r="A1259" s="47" t="inlineStr">
        <is>
          <t>모나</t>
        </is>
      </c>
      <c r="B1259" s="47" t="inlineStr">
        <is>
          <t>수다맘껏데이터71G+</t>
        </is>
      </c>
      <c r="C1259" s="47" t="inlineStr">
        <is>
          <t>무제한</t>
        </is>
      </c>
      <c r="D1259" s="47" t="inlineStr">
        <is>
          <t>무제한</t>
        </is>
      </c>
      <c r="E1259" s="47" t="inlineStr">
        <is>
          <t>월 11GB + 매일 2GB + 3Mbps</t>
        </is>
      </c>
      <c r="F1259" s="47" t="inlineStr">
        <is>
          <t>LG U+</t>
        </is>
      </c>
      <c r="G1259" s="47" t="inlineStr">
        <is>
          <t>LTE</t>
        </is>
      </c>
      <c r="H1259" s="48" t="n">
        <v>37900</v>
      </c>
      <c r="I1259" s="48" t="n">
        <v>7</v>
      </c>
      <c r="J1259" s="48" t="n">
        <v>39600</v>
      </c>
      <c r="K1259" s="47">
        <f t="array" ref="K1259">_xlfn.XLOOKUP(1,(참조!$B$2:$B$15=E1259)*(참조!$D$2:$D$15=C1259)*(참조!$E$2:$E$15=D1259),참조!$C$2:$C$15,"")</f>
        <v/>
      </c>
    </row>
    <row r="1260" hidden="1" s="27">
      <c r="A1260" s="47" t="inlineStr">
        <is>
          <t>이야기모바일</t>
        </is>
      </c>
      <c r="B1260" s="47" t="inlineStr">
        <is>
          <t>이야기K 데이터 15GB+(밀리의서재)</t>
        </is>
      </c>
      <c r="C1260" s="47" t="inlineStr">
        <is>
          <t>100분</t>
        </is>
      </c>
      <c r="D1260" s="47" t="inlineStr">
        <is>
          <t>100건</t>
        </is>
      </c>
      <c r="E1260" s="47" t="inlineStr">
        <is>
          <t>월 15GB + 3Mbps</t>
        </is>
      </c>
      <c r="F1260" s="47" t="inlineStr">
        <is>
          <t>KT</t>
        </is>
      </c>
      <c r="G1260" s="47" t="inlineStr">
        <is>
          <t>LTE</t>
        </is>
      </c>
      <c r="H1260" s="48" t="n">
        <v>16500</v>
      </c>
      <c r="I1260" s="48" t="n">
        <v>7</v>
      </c>
      <c r="J1260" s="48" t="n">
        <v>33000</v>
      </c>
      <c r="K1260" s="47">
        <f t="array" ref="K1260">_xlfn.XLOOKUP(1,(참조!$B$2:$B$15=E1260)*(참조!$D$2:$D$15=C1260)*(참조!$E$2:$E$15=D1260),참조!$C$2:$C$15,"")</f>
        <v/>
      </c>
    </row>
    <row r="1261" hidden="1" s="27">
      <c r="A1261" s="47" t="inlineStr">
        <is>
          <t>아이즈모바일</t>
        </is>
      </c>
      <c r="B1261" s="47" t="inlineStr">
        <is>
          <t>[S]벤티(200분/10GB)</t>
        </is>
      </c>
      <c r="C1261" s="47" t="inlineStr">
        <is>
          <t>200분</t>
        </is>
      </c>
      <c r="D1261" s="47" t="inlineStr">
        <is>
          <t>100건</t>
        </is>
      </c>
      <c r="E1261" s="47" t="inlineStr">
        <is>
          <t>월 10GB</t>
        </is>
      </c>
      <c r="F1261" s="47" t="inlineStr">
        <is>
          <t>SKT</t>
        </is>
      </c>
      <c r="G1261" s="47" t="inlineStr">
        <is>
          <t>LTE</t>
        </is>
      </c>
      <c r="H1261" s="48" t="n">
        <v>9900</v>
      </c>
      <c r="I1261" s="48" t="n"/>
      <c r="J1261" s="48" t="n"/>
      <c r="K1261" s="47">
        <f t="array" ref="K1261">_xlfn.XLOOKUP(1,(참조!$B$2:$B$15=E1261)*(참조!$D$2:$D$15=C1261)*(참조!$E$2:$E$15=D1261),참조!$C$2:$C$15,"")</f>
        <v/>
      </c>
    </row>
    <row r="1262" hidden="1" s="27">
      <c r="A1262" s="47" t="inlineStr">
        <is>
          <t>이야기모바일</t>
        </is>
      </c>
      <c r="B1262" s="47" t="inlineStr">
        <is>
          <t>이야기K 데이터 15GB+(CU할인)</t>
        </is>
      </c>
      <c r="C1262" s="47" t="inlineStr">
        <is>
          <t>100분</t>
        </is>
      </c>
      <c r="D1262" s="47" t="inlineStr">
        <is>
          <t>100건</t>
        </is>
      </c>
      <c r="E1262" s="47" t="inlineStr">
        <is>
          <t>월 15GB + 3Mbps</t>
        </is>
      </c>
      <c r="F1262" s="47" t="inlineStr">
        <is>
          <t>KT</t>
        </is>
      </c>
      <c r="G1262" s="47" t="inlineStr">
        <is>
          <t>LTE</t>
        </is>
      </c>
      <c r="H1262" s="48" t="n">
        <v>16500</v>
      </c>
      <c r="I1262" s="48" t="n">
        <v>7</v>
      </c>
      <c r="J1262" s="48" t="n">
        <v>33000</v>
      </c>
      <c r="K1262" s="47">
        <f t="array" ref="K1262">_xlfn.XLOOKUP(1,(참조!$B$2:$B$15=E1262)*(참조!$D$2:$D$15=C1262)*(참조!$E$2:$E$15=D1262),참조!$C$2:$C$15,"")</f>
        <v/>
      </c>
    </row>
    <row r="1263" hidden="1" s="27">
      <c r="A1263" s="47" t="inlineStr">
        <is>
          <t>U+유모바일</t>
        </is>
      </c>
      <c r="B1263" s="47" t="inlineStr">
        <is>
          <t>[다이소 12만] 1.5GB/통화기본</t>
        </is>
      </c>
      <c r="C1263" s="47" t="inlineStr">
        <is>
          <t>무제한</t>
        </is>
      </c>
      <c r="D1263" s="47" t="inlineStr">
        <is>
          <t>무제한</t>
        </is>
      </c>
      <c r="E1263" s="47" t="inlineStr">
        <is>
          <t>월 1.5GB</t>
        </is>
      </c>
      <c r="F1263" s="47" t="inlineStr">
        <is>
          <t>LG U+</t>
        </is>
      </c>
      <c r="G1263" s="47" t="inlineStr">
        <is>
          <t>LTE</t>
        </is>
      </c>
      <c r="H1263" s="48" t="n">
        <v>9400</v>
      </c>
      <c r="I1263" s="48" t="n"/>
      <c r="J1263" s="48" t="n"/>
      <c r="K1263" s="47">
        <f t="array" ref="K1263">_xlfn.XLOOKUP(1,(참조!$B$2:$B$15=E1263)*(참조!$D$2:$D$15=C1263)*(참조!$E$2:$E$15=D1263),참조!$C$2:$C$15,"")</f>
        <v/>
      </c>
    </row>
    <row r="1264" hidden="1" s="27">
      <c r="A1264" s="47" t="inlineStr">
        <is>
          <t>아이즈모바일</t>
        </is>
      </c>
      <c r="B1264" s="47" t="inlineStr">
        <is>
          <t>[L]무한15GB+1Mbps</t>
        </is>
      </c>
      <c r="C1264" s="47" t="inlineStr">
        <is>
          <t>무제한</t>
        </is>
      </c>
      <c r="D1264" s="47" t="inlineStr">
        <is>
          <t>무제한</t>
        </is>
      </c>
      <c r="E1264" s="47" t="inlineStr">
        <is>
          <t>월 15GB + 1Mbps</t>
        </is>
      </c>
      <c r="F1264" s="47" t="inlineStr">
        <is>
          <t>LG U+</t>
        </is>
      </c>
      <c r="G1264" s="47" t="inlineStr">
        <is>
          <t>LTE</t>
        </is>
      </c>
      <c r="H1264" s="48" t="n">
        <v>19000</v>
      </c>
      <c r="I1264" s="48" t="n"/>
      <c r="J1264" s="48" t="n"/>
      <c r="K1264" s="47">
        <f t="array" ref="K1264">_xlfn.XLOOKUP(1,(참조!$B$2:$B$15=E1264)*(참조!$D$2:$D$15=C1264)*(참조!$E$2:$E$15=D1264),참조!$C$2:$C$15,"")</f>
        <v/>
      </c>
    </row>
    <row r="1265" hidden="1" s="27">
      <c r="A1265" s="47" t="inlineStr">
        <is>
          <t>리브모바일</t>
        </is>
      </c>
      <c r="B1265" s="47" t="inlineStr">
        <is>
          <t>LTE 71GB+</t>
        </is>
      </c>
      <c r="C1265" s="47" t="inlineStr">
        <is>
          <t>무제한</t>
        </is>
      </c>
      <c r="D1265" s="47" t="inlineStr">
        <is>
          <t>무제한</t>
        </is>
      </c>
      <c r="E1265" s="47" t="inlineStr">
        <is>
          <t>월 11GB + 매일 2GB + 3Mbps</t>
        </is>
      </c>
      <c r="F1265" s="47" t="inlineStr">
        <is>
          <t>LG U+</t>
        </is>
      </c>
      <c r="G1265" s="47" t="inlineStr">
        <is>
          <t>LTE</t>
        </is>
      </c>
      <c r="H1265" s="48" t="n">
        <v>29900</v>
      </c>
      <c r="I1265" s="48" t="n">
        <v>12</v>
      </c>
      <c r="J1265" s="48" t="n">
        <v>34300</v>
      </c>
      <c r="K1265" s="47">
        <f t="array" ref="K1265">_xlfn.XLOOKUP(1,(참조!$B$2:$B$15=E1265)*(참조!$D$2:$D$15=C1265)*(참조!$E$2:$E$15=D1265),참조!$C$2:$C$15,"")</f>
        <v/>
      </c>
    </row>
    <row r="1266" hidden="1" s="27">
      <c r="A1266" s="47" t="inlineStr">
        <is>
          <t>티플러스</t>
        </is>
      </c>
      <c r="B1266" s="47" t="inlineStr">
        <is>
          <t>티플 10GB+(이디야커피)</t>
        </is>
      </c>
      <c r="C1266" s="47" t="inlineStr">
        <is>
          <t>무제한</t>
        </is>
      </c>
      <c r="D1266" s="47" t="inlineStr">
        <is>
          <t>무제한</t>
        </is>
      </c>
      <c r="E1266" s="47" t="inlineStr">
        <is>
          <t>월 10GB + 1Mbps</t>
        </is>
      </c>
      <c r="F1266" s="47" t="inlineStr">
        <is>
          <t>SKT</t>
        </is>
      </c>
      <c r="G1266" s="47" t="inlineStr">
        <is>
          <t>LTE</t>
        </is>
      </c>
      <c r="H1266" s="48" t="n">
        <v>5900</v>
      </c>
      <c r="I1266" s="48" t="n">
        <v>7</v>
      </c>
      <c r="J1266" s="48" t="n">
        <v>33000</v>
      </c>
      <c r="K1266" s="47">
        <f t="array" ref="K1266">_xlfn.XLOOKUP(1,(참조!$B$2:$B$15=E1266)*(참조!$D$2:$D$15=C1266)*(참조!$E$2:$E$15=D1266),참조!$C$2:$C$15,"")</f>
        <v/>
      </c>
    </row>
    <row r="1267" hidden="1" s="27">
      <c r="A1267" s="47" t="inlineStr">
        <is>
          <t>아이즈모바일</t>
        </is>
      </c>
      <c r="B1267" s="47" t="inlineStr">
        <is>
          <t>[L]5G 데이터안심(300분/15GB+)</t>
        </is>
      </c>
      <c r="C1267" s="47" t="inlineStr">
        <is>
          <t>300분</t>
        </is>
      </c>
      <c r="D1267" s="47" t="inlineStr">
        <is>
          <t>300건</t>
        </is>
      </c>
      <c r="E1267" s="47" t="inlineStr">
        <is>
          <t>월 15GB + 1Mbps</t>
        </is>
      </c>
      <c r="F1267" s="47" t="inlineStr">
        <is>
          <t>LG U+</t>
        </is>
      </c>
      <c r="G1267" s="47" t="inlineStr">
        <is>
          <t>5G</t>
        </is>
      </c>
      <c r="H1267" s="48" t="n">
        <v>5900</v>
      </c>
      <c r="I1267" s="48" t="n">
        <v>6</v>
      </c>
      <c r="J1267" s="48" t="n">
        <v>33000</v>
      </c>
      <c r="K1267" s="47">
        <f t="array" ref="K1267">_xlfn.XLOOKUP(1,(참조!$B$2:$B$15=E1267)*(참조!$D$2:$D$15=C1267)*(참조!$E$2:$E$15=D1267),참조!$C$2:$C$15,"")</f>
        <v/>
      </c>
    </row>
    <row r="1268" hidden="1" s="27">
      <c r="A1268" s="47" t="inlineStr">
        <is>
          <t>U+유모바일</t>
        </is>
      </c>
      <c r="B1268" s="47" t="inlineStr">
        <is>
          <t>[Npay 12만 기본제공] 5G 150GB+/통화기본</t>
        </is>
      </c>
      <c r="C1268" s="47" t="inlineStr">
        <is>
          <t>무제한</t>
        </is>
      </c>
      <c r="D1268" s="47" t="inlineStr">
        <is>
          <t>무제한</t>
        </is>
      </c>
      <c r="E1268" s="47" t="inlineStr">
        <is>
          <t>월 150GB + 5Mbps</t>
        </is>
      </c>
      <c r="F1268" s="47" t="inlineStr">
        <is>
          <t>LG U+</t>
        </is>
      </c>
      <c r="G1268" s="47" t="inlineStr">
        <is>
          <t>5G</t>
        </is>
      </c>
      <c r="H1268" s="48" t="n">
        <v>49700</v>
      </c>
      <c r="I1268" s="48" t="n"/>
      <c r="J1268" s="48" t="n"/>
      <c r="K1268" s="47">
        <f t="array" ref="K1268">_xlfn.XLOOKUP(1,(참조!$B$2:$B$15=E1268)*(참조!$D$2:$D$15=C1268)*(참조!$E$2:$E$15=D1268),참조!$C$2:$C$15,"")</f>
        <v/>
      </c>
    </row>
    <row r="1269" hidden="1" s="27">
      <c r="A1269" s="47" t="inlineStr">
        <is>
          <t>고고모바일</t>
        </is>
      </c>
      <c r="B1269" s="47" t="inlineStr">
        <is>
          <t>프리150분</t>
        </is>
      </c>
      <c r="C1269" s="47" t="inlineStr">
        <is>
          <t>150분</t>
        </is>
      </c>
      <c r="D1269" s="47" t="inlineStr">
        <is>
          <t>150건</t>
        </is>
      </c>
      <c r="E1269" s="47" t="inlineStr">
        <is>
          <t>데이터 제공안함</t>
        </is>
      </c>
      <c r="F1269" s="47" t="inlineStr">
        <is>
          <t>KT</t>
        </is>
      </c>
      <c r="G1269" s="47" t="inlineStr">
        <is>
          <t>LTE</t>
        </is>
      </c>
      <c r="H1269" s="48" t="n">
        <v>7040</v>
      </c>
      <c r="I1269" s="48" t="n"/>
      <c r="J1269" s="48" t="n"/>
      <c r="K1269" s="47">
        <f t="array" ref="K1269">_xlfn.XLOOKUP(1,(참조!$B$2:$B$15=E1269)*(참조!$D$2:$D$15=C1269)*(참조!$E$2:$E$15=D1269),참조!$C$2:$C$15,"")</f>
        <v/>
      </c>
    </row>
    <row r="1270" hidden="1" s="27">
      <c r="A1270" s="47" t="inlineStr">
        <is>
          <t>티플러스</t>
        </is>
      </c>
      <c r="B1270" s="47" t="inlineStr">
        <is>
          <t>KT 15GB+(300분) (CU 매월 20%+올리브영 매월 5천원 상품권!)</t>
        </is>
      </c>
      <c r="C1270" s="47" t="inlineStr">
        <is>
          <t>300분</t>
        </is>
      </c>
      <c r="D1270" s="47" t="inlineStr">
        <is>
          <t>300건</t>
        </is>
      </c>
      <c r="E1270" s="47" t="inlineStr">
        <is>
          <t>월 15GB + 3Mbps</t>
        </is>
      </c>
      <c r="F1270" s="47" t="inlineStr">
        <is>
          <t>KT</t>
        </is>
      </c>
      <c r="G1270" s="47" t="inlineStr">
        <is>
          <t>LTE</t>
        </is>
      </c>
      <c r="H1270" s="48" t="n">
        <v>15900</v>
      </c>
      <c r="I1270" s="48" t="n">
        <v>7</v>
      </c>
      <c r="J1270" s="48" t="n">
        <v>39600</v>
      </c>
      <c r="K1270" s="47">
        <f t="array" ref="K1270">_xlfn.XLOOKUP(1,(참조!$B$2:$B$15=E1270)*(참조!$D$2:$D$15=C1270)*(참조!$E$2:$E$15=D1270),참조!$C$2:$C$15,"")</f>
        <v/>
      </c>
    </row>
    <row r="1271" hidden="1" s="27">
      <c r="A1271" s="47" t="inlineStr">
        <is>
          <t>시월모바일</t>
        </is>
      </c>
      <c r="B1271" s="47" t="inlineStr">
        <is>
          <t>쿠폰팩 300분15GB+</t>
        </is>
      </c>
      <c r="C1271" s="47" t="inlineStr">
        <is>
          <t>300분</t>
        </is>
      </c>
      <c r="D1271" s="47" t="inlineStr">
        <is>
          <t>300건</t>
        </is>
      </c>
      <c r="E1271" s="47" t="inlineStr">
        <is>
          <t>월 15GB + 3Mbps</t>
        </is>
      </c>
      <c r="F1271" s="47" t="inlineStr">
        <is>
          <t>LG U+</t>
        </is>
      </c>
      <c r="G1271" s="47" t="inlineStr">
        <is>
          <t>LTE</t>
        </is>
      </c>
      <c r="H1271" s="48" t="n">
        <v>16570</v>
      </c>
      <c r="I1271" s="48" t="n">
        <v>7</v>
      </c>
      <c r="J1271" s="48" t="n">
        <v>35270</v>
      </c>
      <c r="K1271" s="47">
        <f t="array" ref="K1271">_xlfn.XLOOKUP(1,(참조!$B$2:$B$15=E1271)*(참조!$D$2:$D$15=C1271)*(참조!$E$2:$E$15=D1271),참조!$C$2:$C$15,"")</f>
        <v/>
      </c>
    </row>
    <row r="1272" hidden="1" s="27">
      <c r="A1272" s="47" t="inlineStr">
        <is>
          <t>이야기모바일</t>
        </is>
      </c>
      <c r="B1272" s="47" t="inlineStr">
        <is>
          <t>이야기 K 데이터 100GB+(N pay 5000P)</t>
        </is>
      </c>
      <c r="C1272" s="47" t="inlineStr">
        <is>
          <t>무제한</t>
        </is>
      </c>
      <c r="D1272" s="47" t="inlineStr">
        <is>
          <t>무제한</t>
        </is>
      </c>
      <c r="E1272" s="47" t="inlineStr">
        <is>
          <t>월 100GB + 5Mbps</t>
        </is>
      </c>
      <c r="F1272" s="47" t="inlineStr">
        <is>
          <t>KT</t>
        </is>
      </c>
      <c r="G1272" s="47" t="inlineStr">
        <is>
          <t>LTE</t>
        </is>
      </c>
      <c r="H1272" s="48" t="n">
        <v>23000</v>
      </c>
      <c r="I1272" s="48" t="n">
        <v>7</v>
      </c>
      <c r="J1272" s="48" t="n">
        <v>49200</v>
      </c>
      <c r="K1272" s="47">
        <f t="array" ref="K1272">_xlfn.XLOOKUP(1,(참조!$B$2:$B$15=E1272)*(참조!$D$2:$D$15=C1272)*(참조!$E$2:$E$15=D1272),참조!$C$2:$C$15,"")</f>
        <v/>
      </c>
    </row>
    <row r="1273" hidden="1" s="27">
      <c r="A1273" s="47" t="inlineStr">
        <is>
          <t>이야기모바일</t>
        </is>
      </c>
      <c r="B1273" s="47" t="inlineStr">
        <is>
          <t>이야기 K 데이터 100GB+(모아진)</t>
        </is>
      </c>
      <c r="C1273" s="47" t="inlineStr">
        <is>
          <t>무제한</t>
        </is>
      </c>
      <c r="D1273" s="47" t="inlineStr">
        <is>
          <t>무제한</t>
        </is>
      </c>
      <c r="E1273" s="47" t="inlineStr">
        <is>
          <t>월 100GB + 5Mbps</t>
        </is>
      </c>
      <c r="F1273" s="47" t="inlineStr">
        <is>
          <t>KT</t>
        </is>
      </c>
      <c r="G1273" s="47" t="inlineStr">
        <is>
          <t>LTE</t>
        </is>
      </c>
      <c r="H1273" s="48" t="n">
        <v>23000</v>
      </c>
      <c r="I1273" s="48" t="n">
        <v>7</v>
      </c>
      <c r="J1273" s="48" t="n">
        <v>49200</v>
      </c>
      <c r="K1273" s="47">
        <f t="array" ref="K1273">_xlfn.XLOOKUP(1,(참조!$B$2:$B$15=E1273)*(참조!$D$2:$D$15=C1273)*(참조!$E$2:$E$15=D1273),참조!$C$2:$C$15,"")</f>
        <v/>
      </c>
    </row>
    <row r="1274" hidden="1" s="27">
      <c r="A1274" s="47" t="inlineStr">
        <is>
          <t>아이즈모바일</t>
        </is>
      </c>
      <c r="B1274" s="47" t="inlineStr">
        <is>
          <t>[S]아이즈팩 11GB+</t>
        </is>
      </c>
      <c r="C1274" s="47" t="inlineStr">
        <is>
          <t>무제한</t>
        </is>
      </c>
      <c r="D1274" s="47" t="inlineStr">
        <is>
          <t>무제한</t>
        </is>
      </c>
      <c r="E1274" s="47" t="inlineStr">
        <is>
          <t>월 11GB + 매일 2GB + 3Mbps</t>
        </is>
      </c>
      <c r="F1274" s="47" t="inlineStr">
        <is>
          <t>SKT</t>
        </is>
      </c>
      <c r="G1274" s="47" t="inlineStr">
        <is>
          <t>LTE</t>
        </is>
      </c>
      <c r="H1274" s="48" t="n">
        <v>9500</v>
      </c>
      <c r="I1274" s="48" t="n">
        <v>7</v>
      </c>
      <c r="J1274" s="48" t="n">
        <v>45100</v>
      </c>
      <c r="K1274" s="47">
        <f t="array" ref="K1274">_xlfn.XLOOKUP(1,(참조!$B$2:$B$15=E1274)*(참조!$D$2:$D$15=C1274)*(참조!$E$2:$E$15=D1274),참조!$C$2:$C$15,"")</f>
        <v/>
      </c>
    </row>
    <row r="1275" hidden="1" s="27">
      <c r="A1275" s="47" t="inlineStr">
        <is>
          <t>이지모바일</t>
        </is>
      </c>
      <c r="B1275" s="47" t="inlineStr">
        <is>
          <t>[5G]EG 데이터 5GB/100분</t>
        </is>
      </c>
      <c r="C1275" s="47" t="inlineStr">
        <is>
          <t>100분</t>
        </is>
      </c>
      <c r="D1275" s="47" t="inlineStr">
        <is>
          <t>100건</t>
        </is>
      </c>
      <c r="E1275" s="47" t="inlineStr">
        <is>
          <t>월 5GB</t>
        </is>
      </c>
      <c r="F1275" s="47" t="inlineStr">
        <is>
          <t>KT</t>
        </is>
      </c>
      <c r="G1275" s="47" t="inlineStr">
        <is>
          <t>5G</t>
        </is>
      </c>
      <c r="H1275" s="48" t="n">
        <v>2210</v>
      </c>
      <c r="I1275" s="48" t="n">
        <v>7</v>
      </c>
      <c r="J1275" s="48" t="n">
        <v>27000</v>
      </c>
      <c r="K1275" s="47">
        <f t="array" ref="K1275">_xlfn.XLOOKUP(1,(참조!$B$2:$B$15=E1275)*(참조!$D$2:$D$15=C1275)*(참조!$E$2:$E$15=D1275),참조!$C$2:$C$15,"")</f>
        <v/>
      </c>
    </row>
    <row r="1276" hidden="1" s="27">
      <c r="A1276" s="47" t="inlineStr">
        <is>
          <t>이야기모바일</t>
        </is>
      </c>
      <c r="B1276" s="47" t="inlineStr">
        <is>
          <t>이야기 K 데이터 100GB+(CU할인)</t>
        </is>
      </c>
      <c r="C1276" s="47" t="inlineStr">
        <is>
          <t>무제한</t>
        </is>
      </c>
      <c r="D1276" s="47" t="inlineStr">
        <is>
          <t>무제한</t>
        </is>
      </c>
      <c r="E1276" s="47" t="inlineStr">
        <is>
          <t>월 100GB + 5Mbps</t>
        </is>
      </c>
      <c r="F1276" s="47" t="inlineStr">
        <is>
          <t>KT</t>
        </is>
      </c>
      <c r="G1276" s="47" t="inlineStr">
        <is>
          <t>LTE</t>
        </is>
      </c>
      <c r="H1276" s="48" t="n">
        <v>23000</v>
      </c>
      <c r="I1276" s="48" t="n">
        <v>7</v>
      </c>
      <c r="J1276" s="48" t="n">
        <v>49200</v>
      </c>
      <c r="K1276" s="47">
        <f t="array" ref="K1276">_xlfn.XLOOKUP(1,(참조!$B$2:$B$15=E1276)*(참조!$D$2:$D$15=C1276)*(참조!$E$2:$E$15=D1276),참조!$C$2:$C$15,"")</f>
        <v/>
      </c>
    </row>
    <row r="1277" hidden="1" s="27">
      <c r="A1277" s="47" t="inlineStr">
        <is>
          <t>이지모바일</t>
        </is>
      </c>
      <c r="B1277" s="47" t="inlineStr">
        <is>
          <t>EG 무제한 11G+3(매월 NPAY5000P)</t>
        </is>
      </c>
      <c r="C1277" s="47" t="inlineStr">
        <is>
          <t>무제한</t>
        </is>
      </c>
      <c r="D1277" s="47" t="inlineStr">
        <is>
          <t>무제한</t>
        </is>
      </c>
      <c r="E1277" s="47" t="inlineStr">
        <is>
          <t>월 11GB + 매일 2GB + 3Mbps</t>
        </is>
      </c>
      <c r="F1277" s="47" t="inlineStr">
        <is>
          <t>KT</t>
        </is>
      </c>
      <c r="G1277" s="47" t="inlineStr">
        <is>
          <t>LTE</t>
        </is>
      </c>
      <c r="H1277" s="48" t="n">
        <v>21000</v>
      </c>
      <c r="I1277" s="48" t="n">
        <v>7</v>
      </c>
      <c r="J1277" s="48" t="n">
        <v>41250</v>
      </c>
      <c r="K1277" s="47">
        <f t="array" ref="K1277">_xlfn.XLOOKUP(1,(참조!$B$2:$B$15=E1277)*(참조!$D$2:$D$15=C1277)*(참조!$E$2:$E$15=D1277),참조!$C$2:$C$15,"")</f>
        <v/>
      </c>
    </row>
    <row r="1278" hidden="1" s="27">
      <c r="A1278" s="47" t="inlineStr">
        <is>
          <t>모빙</t>
        </is>
      </c>
      <c r="B1278" s="47" t="inlineStr">
        <is>
          <t>[L] 100분1GB+</t>
        </is>
      </c>
      <c r="C1278" s="47" t="inlineStr">
        <is>
          <t>100분</t>
        </is>
      </c>
      <c r="D1278" s="47" t="inlineStr">
        <is>
          <t>100건</t>
        </is>
      </c>
      <c r="E1278" s="47" t="inlineStr">
        <is>
          <t>월 1GB + 1Mbps</t>
        </is>
      </c>
      <c r="F1278" s="47" t="inlineStr">
        <is>
          <t>LG U+</t>
        </is>
      </c>
      <c r="G1278" s="47" t="inlineStr">
        <is>
          <t>LTE</t>
        </is>
      </c>
      <c r="H1278" s="48" t="n">
        <v>4400</v>
      </c>
      <c r="I1278" s="48" t="n"/>
      <c r="J1278" s="48" t="n"/>
      <c r="K1278" s="47">
        <f t="array" ref="K1278">_xlfn.XLOOKUP(1,(참조!$B$2:$B$15=E1278)*(참조!$D$2:$D$15=C1278)*(참조!$E$2:$E$15=D1278),참조!$C$2:$C$15,"")</f>
        <v/>
      </c>
    </row>
    <row r="1279" hidden="1" s="27">
      <c r="A1279" s="47" t="inlineStr">
        <is>
          <t>이야기모바일</t>
        </is>
      </c>
      <c r="B1279" s="47" t="inlineStr">
        <is>
          <t>이야기 스페셜 매일5GB+</t>
        </is>
      </c>
      <c r="C1279" s="47" t="inlineStr">
        <is>
          <t>무제한</t>
        </is>
      </c>
      <c r="D1279" s="47" t="inlineStr">
        <is>
          <t>무제한</t>
        </is>
      </c>
      <c r="E1279" s="47" t="inlineStr">
        <is>
          <t>매일 5GB + 5Mbps</t>
        </is>
      </c>
      <c r="F1279" s="47" t="inlineStr">
        <is>
          <t>LG U+</t>
        </is>
      </c>
      <c r="G1279" s="47" t="inlineStr">
        <is>
          <t>LTE</t>
        </is>
      </c>
      <c r="H1279" s="48" t="n">
        <v>23000</v>
      </c>
      <c r="I1279" s="48" t="n">
        <v>7</v>
      </c>
      <c r="J1279" s="48" t="n">
        <v>46200</v>
      </c>
      <c r="K1279" s="47">
        <f t="array" ref="K1279">_xlfn.XLOOKUP(1,(참조!$B$2:$B$15=E1279)*(참조!$D$2:$D$15=C1279)*(참조!$E$2:$E$15=D1279),참조!$C$2:$C$15,"")</f>
        <v/>
      </c>
    </row>
    <row r="1280" hidden="1" s="27">
      <c r="A1280" s="47" t="inlineStr">
        <is>
          <t>티플러스</t>
        </is>
      </c>
      <c r="B1280" s="47" t="inlineStr">
        <is>
          <t>5G 통화안심 20GB</t>
        </is>
      </c>
      <c r="C1280" s="47" t="inlineStr">
        <is>
          <t>무제한</t>
        </is>
      </c>
      <c r="D1280" s="47" t="inlineStr">
        <is>
          <t>100건</t>
        </is>
      </c>
      <c r="E1280" s="47" t="inlineStr">
        <is>
          <t>월 20GB</t>
        </is>
      </c>
      <c r="F1280" s="47" t="inlineStr">
        <is>
          <t>SKT</t>
        </is>
      </c>
      <c r="G1280" s="47" t="inlineStr">
        <is>
          <t>5G</t>
        </is>
      </c>
      <c r="H1280" s="48" t="n">
        <v>13900</v>
      </c>
      <c r="I1280" s="48" t="n">
        <v>4</v>
      </c>
      <c r="J1280" s="48" t="n">
        <v>28600</v>
      </c>
      <c r="K1280" s="47">
        <f t="array" ref="K1280">_xlfn.XLOOKUP(1,(참조!$B$2:$B$15=E1280)*(참조!$D$2:$D$15=C1280)*(참조!$E$2:$E$15=D1280),참조!$C$2:$C$15,"")</f>
        <v/>
      </c>
    </row>
    <row r="1281" hidden="1" s="27">
      <c r="A1281" s="47" t="inlineStr">
        <is>
          <t>U+유모바일</t>
        </is>
      </c>
      <c r="B1281" s="47" t="inlineStr">
        <is>
          <t>교보문고 북 플러스알파 1GB+</t>
        </is>
      </c>
      <c r="C1281" s="47" t="inlineStr">
        <is>
          <t>무제한</t>
        </is>
      </c>
      <c r="D1281" s="47" t="inlineStr">
        <is>
          <t>무제한</t>
        </is>
      </c>
      <c r="E1281" s="47" t="inlineStr">
        <is>
          <t>월 1GB + 1Mbps</t>
        </is>
      </c>
      <c r="F1281" s="47" t="inlineStr">
        <is>
          <t>LG U+</t>
        </is>
      </c>
      <c r="G1281" s="47" t="inlineStr">
        <is>
          <t>LTE</t>
        </is>
      </c>
      <c r="H1281" s="48" t="n">
        <v>11400</v>
      </c>
      <c r="I1281" s="48" t="n"/>
      <c r="J1281" s="48" t="n"/>
      <c r="K1281" s="47">
        <f t="array" ref="K1281">_xlfn.XLOOKUP(1,(참조!$B$2:$B$15=E1281)*(참조!$D$2:$D$15=C1281)*(참조!$E$2:$E$15=D1281),참조!$C$2:$C$15,"")</f>
        <v/>
      </c>
    </row>
    <row r="1282" hidden="1" s="27">
      <c r="A1282" s="47" t="inlineStr">
        <is>
          <t>아이즈모바일</t>
        </is>
      </c>
      <c r="B1282" s="47" t="inlineStr">
        <is>
          <t>[S]이디야 화이트 7GB+</t>
        </is>
      </c>
      <c r="C1282" s="47" t="inlineStr">
        <is>
          <t>무제한</t>
        </is>
      </c>
      <c r="D1282" s="47" t="inlineStr">
        <is>
          <t>무제한</t>
        </is>
      </c>
      <c r="E1282" s="47" t="inlineStr">
        <is>
          <t>월 7GB + 1Mbps</t>
        </is>
      </c>
      <c r="F1282" s="47" t="inlineStr">
        <is>
          <t>SKT</t>
        </is>
      </c>
      <c r="G1282" s="47" t="inlineStr">
        <is>
          <t>LTE</t>
        </is>
      </c>
      <c r="H1282" s="48" t="n">
        <v>3000</v>
      </c>
      <c r="I1282" s="48" t="n">
        <v>7</v>
      </c>
      <c r="J1282" s="48" t="n">
        <v>28600</v>
      </c>
      <c r="K1282" s="47">
        <f t="array" ref="K1282">_xlfn.XLOOKUP(1,(참조!$B$2:$B$15=E1282)*(참조!$D$2:$D$15=C1282)*(참조!$E$2:$E$15=D1282),참조!$C$2:$C$15,"")</f>
        <v/>
      </c>
    </row>
    <row r="1283" hidden="1" s="27">
      <c r="A1283" s="47" t="inlineStr">
        <is>
          <t>쉐이크모바일</t>
        </is>
      </c>
      <c r="B1283" s="47" t="inlineStr">
        <is>
          <t>[모요only] 쉐이크 LTE 7GB+_밀리의서재</t>
        </is>
      </c>
      <c r="C1283" s="47" t="inlineStr">
        <is>
          <t>무제한</t>
        </is>
      </c>
      <c r="D1283" s="47" t="inlineStr">
        <is>
          <t>무제한</t>
        </is>
      </c>
      <c r="E1283" s="47" t="inlineStr">
        <is>
          <t>월 7GB + 1Mbps</t>
        </is>
      </c>
      <c r="F1283" s="47" t="inlineStr">
        <is>
          <t>KT</t>
        </is>
      </c>
      <c r="G1283" s="47" t="inlineStr">
        <is>
          <t>LTE</t>
        </is>
      </c>
      <c r="H1283" s="48" t="n">
        <v>7700</v>
      </c>
      <c r="I1283" s="48" t="n">
        <v>7</v>
      </c>
      <c r="J1283" s="48" t="n">
        <v>23100</v>
      </c>
      <c r="K1283" s="47">
        <f t="array" ref="K1283">_xlfn.XLOOKUP(1,(참조!$B$2:$B$15=E1283)*(참조!$D$2:$D$15=C1283)*(참조!$E$2:$E$15=D1283),참조!$C$2:$C$15,"")</f>
        <v/>
      </c>
    </row>
    <row r="1284" hidden="1" s="27">
      <c r="A1284" s="47" t="inlineStr">
        <is>
          <t>리브모바일</t>
        </is>
      </c>
      <c r="B1284" s="47" t="inlineStr">
        <is>
          <t>보이스피싱예방LTE 15GB+(안심직거래)</t>
        </is>
      </c>
      <c r="C1284" s="47" t="inlineStr">
        <is>
          <t>무제한</t>
        </is>
      </c>
      <c r="D1284" s="47" t="inlineStr">
        <is>
          <t>무제한</t>
        </is>
      </c>
      <c r="E1284" s="47" t="inlineStr">
        <is>
          <t>월 15GB + 1Mbps</t>
        </is>
      </c>
      <c r="F1284" s="47" t="inlineStr">
        <is>
          <t>KT</t>
        </is>
      </c>
      <c r="G1284" s="47" t="inlineStr">
        <is>
          <t>LTE</t>
        </is>
      </c>
      <c r="H1284" s="48" t="n">
        <v>19600</v>
      </c>
      <c r="I1284" s="48" t="n">
        <v>12</v>
      </c>
      <c r="J1284" s="48" t="n">
        <v>24000</v>
      </c>
      <c r="K1284" s="47">
        <f t="array" ref="K1284">_xlfn.XLOOKUP(1,(참조!$B$2:$B$15=E1284)*(참조!$D$2:$D$15=C1284)*(참조!$E$2:$E$15=D1284),참조!$C$2:$C$15,"")</f>
        <v/>
      </c>
    </row>
    <row r="1285" hidden="1" s="27">
      <c r="A1285" s="47" t="inlineStr">
        <is>
          <t>LG헬로모바일</t>
        </is>
      </c>
      <c r="B1285" s="47" t="inlineStr">
        <is>
          <t>보편 안심 유심 15GB 180분</t>
        </is>
      </c>
      <c r="C1285" s="47" t="inlineStr">
        <is>
          <t>180분</t>
        </is>
      </c>
      <c r="D1285" s="47" t="inlineStr">
        <is>
          <t>100건</t>
        </is>
      </c>
      <c r="E1285" s="47" t="inlineStr">
        <is>
          <t>월 15GB + 3Mbps</t>
        </is>
      </c>
      <c r="F1285" s="47" t="inlineStr">
        <is>
          <t>LG U+</t>
        </is>
      </c>
      <c r="G1285" s="47" t="inlineStr">
        <is>
          <t>LTE</t>
        </is>
      </c>
      <c r="H1285" s="48" t="n">
        <v>30800</v>
      </c>
      <c r="I1285" s="48" t="n"/>
      <c r="J1285" s="48" t="n"/>
      <c r="K1285" s="47">
        <f t="array" ref="K1285">_xlfn.XLOOKUP(1,(참조!$B$2:$B$15=E1285)*(참조!$D$2:$D$15=C1285)*(참조!$E$2:$E$15=D1285),참조!$C$2:$C$15,"")</f>
        <v/>
      </c>
    </row>
    <row r="1286" hidden="1" s="27">
      <c r="A1286" s="47" t="inlineStr">
        <is>
          <t>고고모바일</t>
        </is>
      </c>
      <c r="B1286" s="47" t="inlineStr">
        <is>
          <t>무제한10GB+1M(밀리의서재 매월 무료)</t>
        </is>
      </c>
      <c r="C1286" s="47" t="inlineStr">
        <is>
          <t>무제한</t>
        </is>
      </c>
      <c r="D1286" s="47" t="inlineStr">
        <is>
          <t>무제한</t>
        </is>
      </c>
      <c r="E1286" s="47" t="inlineStr">
        <is>
          <t>월 10GB + 1Mbps</t>
        </is>
      </c>
      <c r="F1286" s="47" t="inlineStr">
        <is>
          <t>KT</t>
        </is>
      </c>
      <c r="G1286" s="47" t="inlineStr">
        <is>
          <t>LTE</t>
        </is>
      </c>
      <c r="H1286" s="48" t="n">
        <v>21890</v>
      </c>
      <c r="I1286" s="48" t="n"/>
      <c r="J1286" s="48" t="n"/>
      <c r="K1286" s="47">
        <f t="array" ref="K1286">_xlfn.XLOOKUP(1,(참조!$B$2:$B$15=E1286)*(참조!$D$2:$D$15=C1286)*(참조!$E$2:$E$15=D1286),참조!$C$2:$C$15,"")</f>
        <v/>
      </c>
    </row>
    <row r="1287" hidden="1" s="27">
      <c r="A1287" s="47" t="inlineStr">
        <is>
          <t>모빙</t>
        </is>
      </c>
      <c r="B1287" s="47" t="inlineStr">
        <is>
          <t>[S] 데이터 11GB+</t>
        </is>
      </c>
      <c r="C1287" s="47" t="inlineStr">
        <is>
          <t>무제한</t>
        </is>
      </c>
      <c r="D1287" s="47" t="inlineStr">
        <is>
          <t>무제한</t>
        </is>
      </c>
      <c r="E1287" s="47" t="inlineStr">
        <is>
          <t>월 11GB + 매일 2GB + 3Mbps</t>
        </is>
      </c>
      <c r="F1287" s="47" t="inlineStr">
        <is>
          <t>SKT</t>
        </is>
      </c>
      <c r="G1287" s="47" t="inlineStr">
        <is>
          <t>LTE</t>
        </is>
      </c>
      <c r="H1287" s="48" t="n">
        <v>9900</v>
      </c>
      <c r="I1287" s="48" t="n">
        <v>7</v>
      </c>
      <c r="J1287" s="48" t="n">
        <v>46200</v>
      </c>
      <c r="K1287" s="47">
        <f t="array" ref="K1287">_xlfn.XLOOKUP(1,(참조!$B$2:$B$15=E1287)*(참조!$D$2:$D$15=C1287)*(참조!$E$2:$E$15=D1287),참조!$C$2:$C$15,"")</f>
        <v/>
      </c>
    </row>
    <row r="1288" hidden="1" s="27">
      <c r="A1288" s="47" t="inlineStr">
        <is>
          <t>KT스카이라이프</t>
        </is>
      </c>
      <c r="B1288" s="47" t="inlineStr">
        <is>
          <t>모두 충분 10GB+(CU)</t>
        </is>
      </c>
      <c r="C1288" s="47" t="inlineStr">
        <is>
          <t>무제한</t>
        </is>
      </c>
      <c r="D1288" s="47" t="inlineStr">
        <is>
          <t>무제한</t>
        </is>
      </c>
      <c r="E1288" s="47" t="inlineStr">
        <is>
          <t>월 10GB + 1Mbps</t>
        </is>
      </c>
      <c r="F1288" s="47" t="inlineStr">
        <is>
          <t>KT</t>
        </is>
      </c>
      <c r="G1288" s="47" t="inlineStr">
        <is>
          <t>LTE</t>
        </is>
      </c>
      <c r="H1288" s="48" t="n">
        <v>19700</v>
      </c>
      <c r="I1288" s="48" t="n"/>
      <c r="J1288" s="48" t="n"/>
      <c r="K1288" s="47">
        <f t="array" ref="K1288">_xlfn.XLOOKUP(1,(참조!$B$2:$B$15=E1288)*(참조!$D$2:$D$15=C1288)*(참조!$E$2:$E$15=D1288),참조!$C$2:$C$15,"")</f>
        <v/>
      </c>
    </row>
    <row r="1289" hidden="1" s="27">
      <c r="A1289" s="47" t="inlineStr">
        <is>
          <t>스마텔</t>
        </is>
      </c>
      <c r="B1289" s="47" t="inlineStr">
        <is>
          <t>스마일플러스(100분+1.5GB)</t>
        </is>
      </c>
      <c r="C1289" s="47" t="inlineStr">
        <is>
          <t>100분</t>
        </is>
      </c>
      <c r="D1289" s="47" t="inlineStr">
        <is>
          <t>100건</t>
        </is>
      </c>
      <c r="E1289" s="47" t="inlineStr">
        <is>
          <t>월 1.5GB</t>
        </is>
      </c>
      <c r="F1289" s="47" t="inlineStr">
        <is>
          <t>SKT</t>
        </is>
      </c>
      <c r="G1289" s="47" t="inlineStr">
        <is>
          <t>LTE</t>
        </is>
      </c>
      <c r="H1289" s="48" t="n">
        <v>1600</v>
      </c>
      <c r="I1289" s="48" t="n">
        <v>5</v>
      </c>
      <c r="J1289" s="48" t="n">
        <v>6000</v>
      </c>
      <c r="K1289" s="47">
        <f t="array" ref="K1289">_xlfn.XLOOKUP(1,(참조!$B$2:$B$15=E1289)*(참조!$D$2:$D$15=C1289)*(참조!$E$2:$E$15=D1289),참조!$C$2:$C$15,"")</f>
        <v/>
      </c>
    </row>
    <row r="1290" hidden="1" s="27">
      <c r="A1290" s="47" t="inlineStr">
        <is>
          <t>인스모바일</t>
        </is>
      </c>
      <c r="B1290" s="47" t="inlineStr">
        <is>
          <t>실속 150분+3GB(USIM)</t>
        </is>
      </c>
      <c r="C1290" s="47" t="inlineStr">
        <is>
          <t>150분</t>
        </is>
      </c>
      <c r="D1290" s="47" t="inlineStr">
        <is>
          <t>50건</t>
        </is>
      </c>
      <c r="E1290" s="47" t="inlineStr">
        <is>
          <t>월 3GB</t>
        </is>
      </c>
      <c r="F1290" s="47" t="inlineStr">
        <is>
          <t>LG U+</t>
        </is>
      </c>
      <c r="G1290" s="47" t="inlineStr">
        <is>
          <t>LTE</t>
        </is>
      </c>
      <c r="H1290" s="48" t="n">
        <v>1210</v>
      </c>
      <c r="I1290" s="48" t="n">
        <v>6</v>
      </c>
      <c r="J1290" s="48" t="n">
        <v>15400</v>
      </c>
      <c r="K1290" s="47">
        <f t="array" ref="K1290">_xlfn.XLOOKUP(1,(참조!$B$2:$B$15=E1290)*(참조!$D$2:$D$15=C1290)*(참조!$E$2:$E$15=D1290),참조!$C$2:$C$15,"")</f>
        <v/>
      </c>
    </row>
    <row r="1291" hidden="1" s="27">
      <c r="A1291" s="47" t="inlineStr">
        <is>
          <t>쉐이크모바일</t>
        </is>
      </c>
      <c r="B1291" s="47" t="inlineStr">
        <is>
          <t>[모요only] 쉐이크 LTE 15GB+/100분_밀리의서재</t>
        </is>
      </c>
      <c r="C1291" s="47" t="inlineStr">
        <is>
          <t>100분</t>
        </is>
      </c>
      <c r="D1291" s="47" t="inlineStr">
        <is>
          <t>100건</t>
        </is>
      </c>
      <c r="E1291" s="47" t="inlineStr">
        <is>
          <t>월 15GB + 3Mbps</t>
        </is>
      </c>
      <c r="F1291" s="47" t="inlineStr">
        <is>
          <t>KT</t>
        </is>
      </c>
      <c r="G1291" s="47" t="inlineStr">
        <is>
          <t>LTE</t>
        </is>
      </c>
      <c r="H1291" s="48" t="n">
        <v>14900</v>
      </c>
      <c r="I1291" s="48" t="n">
        <v>7</v>
      </c>
      <c r="J1291" s="48" t="n">
        <v>33000</v>
      </c>
      <c r="K1291" s="47">
        <f t="array" ref="K1291">_xlfn.XLOOKUP(1,(참조!$B$2:$B$15=E1291)*(참조!$D$2:$D$15=C1291)*(참조!$E$2:$E$15=D1291),참조!$C$2:$C$15,"")</f>
        <v/>
      </c>
    </row>
    <row r="1292" hidden="1" s="27">
      <c r="A1292" s="47" t="inlineStr">
        <is>
          <t>에이모바일</t>
        </is>
      </c>
      <c r="B1292" s="47" t="inlineStr">
        <is>
          <t>A 올라잇 7GB+ 밀리의서재</t>
        </is>
      </c>
      <c r="C1292" s="47" t="inlineStr">
        <is>
          <t>무제한</t>
        </is>
      </c>
      <c r="D1292" s="47" t="inlineStr">
        <is>
          <t>무제한</t>
        </is>
      </c>
      <c r="E1292" s="47" t="inlineStr">
        <is>
          <t>월 7GB + 1Mbps</t>
        </is>
      </c>
      <c r="F1292" s="47" t="inlineStr">
        <is>
          <t>KT</t>
        </is>
      </c>
      <c r="G1292" s="47" t="inlineStr">
        <is>
          <t>LTE</t>
        </is>
      </c>
      <c r="H1292" s="48" t="n">
        <v>1900</v>
      </c>
      <c r="I1292" s="48" t="n">
        <v>7</v>
      </c>
      <c r="J1292" s="48" t="n">
        <v>19800</v>
      </c>
      <c r="K1292" s="47">
        <f t="array" ref="K1292">_xlfn.XLOOKUP(1,(참조!$B$2:$B$15=E1292)*(참조!$D$2:$D$15=C1292)*(참조!$E$2:$E$15=D1292),참조!$C$2:$C$15,"")</f>
        <v/>
      </c>
    </row>
    <row r="1293" hidden="1" s="27">
      <c r="A1293" s="47" t="inlineStr">
        <is>
          <t>아이즈모바일</t>
        </is>
      </c>
      <c r="B1293" s="47" t="inlineStr">
        <is>
          <t>[S]무한11GB+</t>
        </is>
      </c>
      <c r="C1293" s="47" t="inlineStr">
        <is>
          <t>무제한</t>
        </is>
      </c>
      <c r="D1293" s="47" t="inlineStr">
        <is>
          <t>무제한</t>
        </is>
      </c>
      <c r="E1293" s="47" t="inlineStr">
        <is>
          <t>월 11GB + 매일 2GB + 3Mbps</t>
        </is>
      </c>
      <c r="F1293" s="47" t="inlineStr">
        <is>
          <t>SKT</t>
        </is>
      </c>
      <c r="G1293" s="47" t="inlineStr">
        <is>
          <t>LTE</t>
        </is>
      </c>
      <c r="H1293" s="48" t="n">
        <v>27900</v>
      </c>
      <c r="I1293" s="48" t="n">
        <v>36</v>
      </c>
      <c r="J1293" s="48" t="n">
        <v>44000</v>
      </c>
      <c r="K1293" s="47">
        <f t="array" ref="K1293">_xlfn.XLOOKUP(1,(참조!$B$2:$B$15=E1293)*(참조!$D$2:$D$15=C1293)*(참조!$E$2:$E$15=D1293),참조!$C$2:$C$15,"")</f>
        <v/>
      </c>
    </row>
    <row r="1294" hidden="1" s="27">
      <c r="A1294" s="47" t="inlineStr">
        <is>
          <t>스마텔</t>
        </is>
      </c>
      <c r="B1294" s="47" t="inlineStr">
        <is>
          <t>후후 스마트 11GB+</t>
        </is>
      </c>
      <c r="C1294" s="47" t="inlineStr">
        <is>
          <t>무제한</t>
        </is>
      </c>
      <c r="D1294" s="47" t="inlineStr">
        <is>
          <t>무제한</t>
        </is>
      </c>
      <c r="E1294" s="47" t="inlineStr">
        <is>
          <t>월 11GB + 매일 2GB + 3Mbps</t>
        </is>
      </c>
      <c r="F1294" s="47" t="inlineStr">
        <is>
          <t>LG U+</t>
        </is>
      </c>
      <c r="G1294" s="47" t="inlineStr">
        <is>
          <t>LTE</t>
        </is>
      </c>
      <c r="H1294" s="48" t="n">
        <v>20330</v>
      </c>
      <c r="I1294" s="48" t="n">
        <v>7</v>
      </c>
      <c r="J1294" s="48" t="n">
        <v>41030</v>
      </c>
      <c r="K1294" s="47">
        <f t="array" ref="K1294">_xlfn.XLOOKUP(1,(참조!$B$2:$B$15=E1294)*(참조!$D$2:$D$15=C1294)*(참조!$E$2:$E$15=D1294),참조!$C$2:$C$15,"")</f>
        <v/>
      </c>
    </row>
    <row r="1295" hidden="1" s="27">
      <c r="A1295" s="47" t="inlineStr">
        <is>
          <t>스마텔</t>
        </is>
      </c>
      <c r="B1295" s="47" t="inlineStr">
        <is>
          <t>LTE 음성무제한 25GB</t>
        </is>
      </c>
      <c r="C1295" s="47" t="inlineStr">
        <is>
          <t>무제한</t>
        </is>
      </c>
      <c r="D1295" s="47" t="inlineStr">
        <is>
          <t>200건</t>
        </is>
      </c>
      <c r="E1295" s="47" t="inlineStr">
        <is>
          <t>월 25GB</t>
        </is>
      </c>
      <c r="F1295" s="47" t="inlineStr">
        <is>
          <t>SKT</t>
        </is>
      </c>
      <c r="G1295" s="47" t="inlineStr">
        <is>
          <t>LTE</t>
        </is>
      </c>
      <c r="H1295" s="48" t="n">
        <v>12600</v>
      </c>
      <c r="I1295" s="48" t="n">
        <v>7</v>
      </c>
      <c r="J1295" s="48" t="n">
        <v>29700</v>
      </c>
      <c r="K1295" s="47">
        <f t="array" ref="K1295">_xlfn.XLOOKUP(1,(참조!$B$2:$B$15=E1295)*(참조!$D$2:$D$15=C1295)*(참조!$E$2:$E$15=D1295),참조!$C$2:$C$15,"")</f>
        <v/>
      </c>
    </row>
    <row r="1296" hidden="1" s="27">
      <c r="A1296" s="47" t="inlineStr">
        <is>
          <t>KT스카이라이프</t>
        </is>
      </c>
      <c r="B1296" s="47" t="inlineStr">
        <is>
          <t>데이터 충분 5GB+/100분</t>
        </is>
      </c>
      <c r="C1296" s="47" t="inlineStr">
        <is>
          <t>100분</t>
        </is>
      </c>
      <c r="D1296" s="47" t="inlineStr">
        <is>
          <t>100건</t>
        </is>
      </c>
      <c r="E1296" s="47" t="inlineStr">
        <is>
          <t>월 5GB + 1Mbps</t>
        </is>
      </c>
      <c r="F1296" s="47" t="inlineStr">
        <is>
          <t>KT</t>
        </is>
      </c>
      <c r="G1296" s="47" t="inlineStr">
        <is>
          <t>LTE</t>
        </is>
      </c>
      <c r="H1296" s="48" t="n">
        <v>14300</v>
      </c>
      <c r="I1296" s="48" t="n"/>
      <c r="J1296" s="48" t="n"/>
      <c r="K1296" s="47">
        <f t="array" ref="K1296">_xlfn.XLOOKUP(1,(참조!$B$2:$B$15=E1296)*(참조!$D$2:$D$15=C1296)*(참조!$E$2:$E$15=D1296),참조!$C$2:$C$15,"")</f>
        <v/>
      </c>
    </row>
    <row r="1297" hidden="1" s="27">
      <c r="A1297" s="47" t="inlineStr">
        <is>
          <t>모빙</t>
        </is>
      </c>
      <c r="B1297" s="47" t="inlineStr">
        <is>
          <t>[L] 5G 데이터 95GB+_2y_plus</t>
        </is>
      </c>
      <c r="C1297" s="47" t="inlineStr">
        <is>
          <t>무제한</t>
        </is>
      </c>
      <c r="D1297" s="47" t="inlineStr">
        <is>
          <t>무제한</t>
        </is>
      </c>
      <c r="E1297" s="47" t="inlineStr">
        <is>
          <t>월 95GB + 3Mbps</t>
        </is>
      </c>
      <c r="F1297" s="47" t="inlineStr">
        <is>
          <t>LG U+</t>
        </is>
      </c>
      <c r="G1297" s="47" t="inlineStr">
        <is>
          <t>5G</t>
        </is>
      </c>
      <c r="H1297" s="48" t="n">
        <v>28500</v>
      </c>
      <c r="I1297" s="48" t="n">
        <v>24</v>
      </c>
      <c r="J1297" s="48" t="n">
        <v>55300</v>
      </c>
      <c r="K1297" s="47">
        <f t="array" ref="K1297">_xlfn.XLOOKUP(1,(참조!$B$2:$B$15=E1297)*(참조!$D$2:$D$15=C1297)*(참조!$E$2:$E$15=D1297),참조!$C$2:$C$15,"")</f>
        <v/>
      </c>
    </row>
    <row r="1298" hidden="1" s="27">
      <c r="A1298" s="47" t="inlineStr">
        <is>
          <t>이야기모바일</t>
        </is>
      </c>
      <c r="B1298" s="47" t="inlineStr">
        <is>
          <t>5G 함께이야기해S (200분+3GB)</t>
        </is>
      </c>
      <c r="C1298" s="47" t="inlineStr">
        <is>
          <t>200분</t>
        </is>
      </c>
      <c r="D1298" s="47" t="inlineStr">
        <is>
          <t>100건</t>
        </is>
      </c>
      <c r="E1298" s="47" t="inlineStr">
        <is>
          <t>월 3GB</t>
        </is>
      </c>
      <c r="F1298" s="47" t="inlineStr">
        <is>
          <t>SKT</t>
        </is>
      </c>
      <c r="G1298" s="47" t="inlineStr">
        <is>
          <t>5G</t>
        </is>
      </c>
      <c r="H1298" s="48" t="n">
        <v>6600</v>
      </c>
      <c r="I1298" s="48" t="n"/>
      <c r="J1298" s="48" t="n"/>
      <c r="K1298" s="47">
        <f t="array" ref="K1298">_xlfn.XLOOKUP(1,(참조!$B$2:$B$15=E1298)*(참조!$D$2:$D$15=C1298)*(참조!$E$2:$E$15=D1298),참조!$C$2:$C$15,"")</f>
        <v/>
      </c>
    </row>
    <row r="1299" hidden="1" s="27">
      <c r="A1299" s="47" t="inlineStr">
        <is>
          <t>이지모바일</t>
        </is>
      </c>
      <c r="B1299" s="47" t="inlineStr">
        <is>
          <t>EG 무제한 100G+5(매월 Npay5000P)</t>
        </is>
      </c>
      <c r="C1299" s="47" t="inlineStr">
        <is>
          <t>무제한</t>
        </is>
      </c>
      <c r="D1299" s="47" t="inlineStr">
        <is>
          <t>무제한</t>
        </is>
      </c>
      <c r="E1299" s="47" t="inlineStr">
        <is>
          <t>월 100GB + 5Mbps</t>
        </is>
      </c>
      <c r="F1299" s="47" t="inlineStr">
        <is>
          <t>KT</t>
        </is>
      </c>
      <c r="G1299" s="47" t="inlineStr">
        <is>
          <t>LTE</t>
        </is>
      </c>
      <c r="H1299" s="48" t="n">
        <v>22000</v>
      </c>
      <c r="I1299" s="48" t="n">
        <v>7</v>
      </c>
      <c r="J1299" s="48" t="n">
        <v>47850</v>
      </c>
      <c r="K1299" s="47">
        <f t="array" ref="K1299">_xlfn.XLOOKUP(1,(참조!$B$2:$B$15=E1299)*(참조!$D$2:$D$15=C1299)*(참조!$E$2:$E$15=D1299),참조!$C$2:$C$15,"")</f>
        <v/>
      </c>
    </row>
    <row r="1300" hidden="1" s="27">
      <c r="A1300" s="47" t="inlineStr">
        <is>
          <t>모빙</t>
        </is>
      </c>
      <c r="B1300" s="47" t="inlineStr">
        <is>
          <t>실속 250분10GB</t>
        </is>
      </c>
      <c r="C1300" s="47" t="inlineStr">
        <is>
          <t>250분</t>
        </is>
      </c>
      <c r="D1300" s="47" t="inlineStr">
        <is>
          <t>100건</t>
        </is>
      </c>
      <c r="E1300" s="47" t="inlineStr">
        <is>
          <t>월 10GB</t>
        </is>
      </c>
      <c r="F1300" s="47" t="inlineStr">
        <is>
          <t>LG U+</t>
        </is>
      </c>
      <c r="G1300" s="47" t="inlineStr">
        <is>
          <t>LTE</t>
        </is>
      </c>
      <c r="H1300" s="48" t="n">
        <v>6600</v>
      </c>
      <c r="I1300" s="48" t="n"/>
      <c r="J1300" s="48" t="n"/>
      <c r="K1300" s="47">
        <f t="array" ref="K1300">_xlfn.XLOOKUP(1,(참조!$B$2:$B$15=E1300)*(참조!$D$2:$D$15=C1300)*(참조!$E$2:$E$15=D1300),참조!$C$2:$C$15,"")</f>
        <v/>
      </c>
    </row>
    <row r="1301" hidden="1" s="27">
      <c r="A1301" s="47" t="inlineStr">
        <is>
          <t>모빙</t>
        </is>
      </c>
      <c r="B1301" s="47" t="inlineStr">
        <is>
          <t>[L] 300분9GB</t>
        </is>
      </c>
      <c r="C1301" s="47" t="inlineStr">
        <is>
          <t>300분</t>
        </is>
      </c>
      <c r="D1301" s="47" t="inlineStr">
        <is>
          <t>100건</t>
        </is>
      </c>
      <c r="E1301" s="47" t="inlineStr">
        <is>
          <t>월 9GB</t>
        </is>
      </c>
      <c r="F1301" s="47" t="inlineStr">
        <is>
          <t>LG U+</t>
        </is>
      </c>
      <c r="G1301" s="47" t="inlineStr">
        <is>
          <t>LTE</t>
        </is>
      </c>
      <c r="H1301" s="48" t="n">
        <v>6300</v>
      </c>
      <c r="I1301" s="48" t="n"/>
      <c r="J1301" s="48" t="n"/>
      <c r="K1301" s="47">
        <f t="array" ref="K1301">_xlfn.XLOOKUP(1,(참조!$B$2:$B$15=E1301)*(참조!$D$2:$D$15=C1301)*(참조!$E$2:$E$15=D1301),참조!$C$2:$C$15,"")</f>
        <v/>
      </c>
    </row>
    <row r="1302" hidden="1" s="27">
      <c r="A1302" s="47" t="inlineStr">
        <is>
          <t>에이모바일</t>
        </is>
      </c>
      <c r="B1302" s="47" t="inlineStr">
        <is>
          <t>A 넥스트 10GB+</t>
        </is>
      </c>
      <c r="C1302" s="47" t="inlineStr">
        <is>
          <t>무제한</t>
        </is>
      </c>
      <c r="D1302" s="47" t="inlineStr">
        <is>
          <t>무제한</t>
        </is>
      </c>
      <c r="E1302" s="47" t="inlineStr">
        <is>
          <t>월 10GB + 1Mbps</t>
        </is>
      </c>
      <c r="F1302" s="47" t="inlineStr">
        <is>
          <t>SKT</t>
        </is>
      </c>
      <c r="G1302" s="47" t="inlineStr">
        <is>
          <t>LTE</t>
        </is>
      </c>
      <c r="H1302" s="48" t="n">
        <v>3000</v>
      </c>
      <c r="I1302" s="48" t="n">
        <v>7</v>
      </c>
      <c r="J1302" s="48" t="n">
        <v>20900</v>
      </c>
      <c r="K1302" s="47">
        <f t="array" ref="K1302">_xlfn.XLOOKUP(1,(참조!$B$2:$B$15=E1302)*(참조!$D$2:$D$15=C1302)*(참조!$E$2:$E$15=D1302),참조!$C$2:$C$15,"")</f>
        <v/>
      </c>
    </row>
    <row r="1303" hidden="1" s="27">
      <c r="A1303" s="47" t="inlineStr">
        <is>
          <t>에이모바일</t>
        </is>
      </c>
      <c r="B1303" s="47" t="inlineStr">
        <is>
          <t>A 5G 갓성비 5GB/100분</t>
        </is>
      </c>
      <c r="C1303" s="47" t="inlineStr">
        <is>
          <t>100분</t>
        </is>
      </c>
      <c r="D1303" s="47" t="inlineStr">
        <is>
          <t>50건</t>
        </is>
      </c>
      <c r="E1303" s="47" t="inlineStr">
        <is>
          <t>월 5GB</t>
        </is>
      </c>
      <c r="F1303" s="47" t="inlineStr">
        <is>
          <t>LG U+</t>
        </is>
      </c>
      <c r="G1303" s="47" t="inlineStr">
        <is>
          <t>5G</t>
        </is>
      </c>
      <c r="H1303" s="48" t="n">
        <v>1100</v>
      </c>
      <c r="I1303" s="48" t="n">
        <v>6</v>
      </c>
      <c r="J1303" s="48" t="n">
        <v>7700</v>
      </c>
      <c r="K1303" s="47">
        <f t="array" ref="K1303">_xlfn.XLOOKUP(1,(참조!$B$2:$B$15=E1303)*(참조!$D$2:$D$15=C1303)*(참조!$E$2:$E$15=D1303),참조!$C$2:$C$15,"")</f>
        <v/>
      </c>
    </row>
    <row r="1304" hidden="1" s="27">
      <c r="A1304" s="47" t="inlineStr">
        <is>
          <t>고고모바일</t>
        </is>
      </c>
      <c r="B1304" s="47" t="inlineStr">
        <is>
          <t>[모요only] 무제한 10GB+1M(올리브영 5000원)</t>
        </is>
      </c>
      <c r="C1304" s="47" t="inlineStr">
        <is>
          <t>무제한</t>
        </is>
      </c>
      <c r="D1304" s="47" t="inlineStr">
        <is>
          <t>무제한</t>
        </is>
      </c>
      <c r="E1304" s="47" t="inlineStr">
        <is>
          <t>월 10GB + 1Mbps</t>
        </is>
      </c>
      <c r="F1304" s="47" t="inlineStr">
        <is>
          <t>KT</t>
        </is>
      </c>
      <c r="G1304" s="47" t="inlineStr">
        <is>
          <t>LTE</t>
        </is>
      </c>
      <c r="H1304" s="48" t="n">
        <v>9000</v>
      </c>
      <c r="I1304" s="48" t="n">
        <v>7</v>
      </c>
      <c r="J1304" s="48" t="n">
        <v>27500</v>
      </c>
      <c r="K1304" s="47">
        <f t="array" ref="K1304">_xlfn.XLOOKUP(1,(참조!$B$2:$B$15=E1304)*(참조!$D$2:$D$15=C1304)*(참조!$E$2:$E$15=D1304),참조!$C$2:$C$15,"")</f>
        <v/>
      </c>
    </row>
    <row r="1305" hidden="1" s="27">
      <c r="A1305" s="47" t="inlineStr">
        <is>
          <t>모빙</t>
        </is>
      </c>
      <c r="B1305" s="47" t="inlineStr">
        <is>
          <t>[K] 페이포인트 11GB+</t>
        </is>
      </c>
      <c r="C1305" s="47" t="inlineStr">
        <is>
          <t>무제한</t>
        </is>
      </c>
      <c r="D1305" s="47" t="inlineStr">
        <is>
          <t>무제한</t>
        </is>
      </c>
      <c r="E1305" s="47" t="inlineStr">
        <is>
          <t>월 11GB + 매일 2GB + 3Mbps</t>
        </is>
      </c>
      <c r="F1305" s="47" t="inlineStr">
        <is>
          <t>KT</t>
        </is>
      </c>
      <c r="G1305" s="47" t="inlineStr">
        <is>
          <t>LTE</t>
        </is>
      </c>
      <c r="H1305" s="48" t="n">
        <v>28490</v>
      </c>
      <c r="I1305" s="48" t="n">
        <v>24</v>
      </c>
      <c r="J1305" s="48" t="n">
        <v>52800</v>
      </c>
      <c r="K1305" s="47">
        <f t="array" ref="K1305">_xlfn.XLOOKUP(1,(참조!$B$2:$B$15=E1305)*(참조!$D$2:$D$15=C1305)*(참조!$E$2:$E$15=D1305),참조!$C$2:$C$15,"")</f>
        <v/>
      </c>
    </row>
    <row r="1306" hidden="1" s="27">
      <c r="A1306" s="47" t="inlineStr">
        <is>
          <t>U+유모바일</t>
        </is>
      </c>
      <c r="B1306" s="47" t="inlineStr">
        <is>
          <t>교보문고 북 플러스알파 10GB+</t>
        </is>
      </c>
      <c r="C1306" s="47" t="inlineStr">
        <is>
          <t>무제한</t>
        </is>
      </c>
      <c r="D1306" s="47" t="inlineStr">
        <is>
          <t>무제한</t>
        </is>
      </c>
      <c r="E1306" s="47" t="inlineStr">
        <is>
          <t>월 10GB + 1Mbps</t>
        </is>
      </c>
      <c r="F1306" s="47" t="inlineStr">
        <is>
          <t>LG U+</t>
        </is>
      </c>
      <c r="G1306" s="47" t="inlineStr">
        <is>
          <t>LTE</t>
        </is>
      </c>
      <c r="H1306" s="48" t="n">
        <v>20400</v>
      </c>
      <c r="I1306" s="48" t="n"/>
      <c r="J1306" s="48" t="n"/>
      <c r="K1306" s="47">
        <f t="array" ref="K1306">_xlfn.XLOOKUP(1,(참조!$B$2:$B$15=E1306)*(참조!$D$2:$D$15=C1306)*(참조!$E$2:$E$15=D1306),참조!$C$2:$C$15,"")</f>
        <v/>
      </c>
    </row>
    <row r="1307" hidden="1" s="27">
      <c r="A1307" s="47" t="inlineStr">
        <is>
          <t>LG헬로모바일</t>
        </is>
      </c>
      <c r="B1307" s="47" t="inlineStr">
        <is>
          <t>5G 스페셜 유심 180GB</t>
        </is>
      </c>
      <c r="C1307" s="47" t="inlineStr">
        <is>
          <t>무제한</t>
        </is>
      </c>
      <c r="D1307" s="47" t="inlineStr">
        <is>
          <t>무제한</t>
        </is>
      </c>
      <c r="E1307" s="47" t="inlineStr">
        <is>
          <t>월 180GB + 10Mbps</t>
        </is>
      </c>
      <c r="F1307" s="47" t="inlineStr">
        <is>
          <t>LG U+</t>
        </is>
      </c>
      <c r="G1307" s="47" t="inlineStr">
        <is>
          <t>5G</t>
        </is>
      </c>
      <c r="H1307" s="48" t="n">
        <v>55000</v>
      </c>
      <c r="I1307" s="48" t="n"/>
      <c r="J1307" s="48" t="n"/>
      <c r="K1307" s="47">
        <f t="array" ref="K1307">_xlfn.XLOOKUP(1,(참조!$B$2:$B$15=E1307)*(참조!$D$2:$D$15=C1307)*(참조!$E$2:$E$15=D1307),참조!$C$2:$C$15,"")</f>
        <v/>
      </c>
    </row>
    <row r="1308" hidden="1" s="27">
      <c r="A1308" s="47" t="inlineStr">
        <is>
          <t>이야기모바일</t>
        </is>
      </c>
      <c r="B1308" s="47" t="inlineStr">
        <is>
          <t>[모요only] 내맘대로 (300분+1GB)</t>
        </is>
      </c>
      <c r="C1308" s="47" t="inlineStr">
        <is>
          <t>300분</t>
        </is>
      </c>
      <c r="D1308" s="47" t="inlineStr">
        <is>
          <t>50건</t>
        </is>
      </c>
      <c r="E1308" s="47" t="inlineStr">
        <is>
          <t>월 1GB</t>
        </is>
      </c>
      <c r="F1308" s="47" t="inlineStr">
        <is>
          <t>LG U+</t>
        </is>
      </c>
      <c r="G1308" s="47" t="inlineStr">
        <is>
          <t>LTE</t>
        </is>
      </c>
      <c r="H1308" s="48" t="n">
        <v>6600</v>
      </c>
      <c r="I1308" s="48" t="n"/>
      <c r="J1308" s="48" t="n"/>
      <c r="K1308" s="47">
        <f t="array" ref="K1308">_xlfn.XLOOKUP(1,(참조!$B$2:$B$15=E1308)*(참조!$D$2:$D$15=C1308)*(참조!$E$2:$E$15=D1308),참조!$C$2:$C$15,"")</f>
        <v/>
      </c>
    </row>
    <row r="1309" hidden="1" s="27">
      <c r="A1309" s="47" t="inlineStr">
        <is>
          <t>핀다이렉트</t>
        </is>
      </c>
      <c r="B1309" s="47" t="inlineStr">
        <is>
          <t>[모요only] [K] 핀다이렉트Z Light _PIN</t>
        </is>
      </c>
      <c r="C1309" s="47" t="inlineStr">
        <is>
          <t>100분</t>
        </is>
      </c>
      <c r="D1309" s="47" t="inlineStr">
        <is>
          <t>100건</t>
        </is>
      </c>
      <c r="E1309" s="47" t="inlineStr">
        <is>
          <t>월 15GB + 3Mbps</t>
        </is>
      </c>
      <c r="F1309" s="47" t="inlineStr">
        <is>
          <t>KT</t>
        </is>
      </c>
      <c r="G1309" s="47" t="inlineStr">
        <is>
          <t>LTE</t>
        </is>
      </c>
      <c r="H1309" s="48" t="n">
        <v>17000</v>
      </c>
      <c r="I1309" s="48" t="n">
        <v>7</v>
      </c>
      <c r="J1309" s="48" t="n">
        <v>30800</v>
      </c>
      <c r="K1309" s="47">
        <f t="array" ref="K1309">_xlfn.XLOOKUP(1,(참조!$B$2:$B$15=E1309)*(참조!$D$2:$D$15=C1309)*(참조!$E$2:$E$15=D1309),참조!$C$2:$C$15,"")</f>
        <v/>
      </c>
    </row>
    <row r="1310" hidden="1" s="27">
      <c r="A1310" s="47" t="inlineStr">
        <is>
          <t>마블링</t>
        </is>
      </c>
      <c r="B1310" s="47" t="inlineStr">
        <is>
          <t>[모요only] 프라임 매일 5GB+5Mbps</t>
        </is>
      </c>
      <c r="C1310" s="47" t="inlineStr">
        <is>
          <t>무제한</t>
        </is>
      </c>
      <c r="D1310" s="47" t="inlineStr">
        <is>
          <t>무제한</t>
        </is>
      </c>
      <c r="E1310" s="47" t="inlineStr">
        <is>
          <t>매일 5GB + 5Mbps</t>
        </is>
      </c>
      <c r="F1310" s="47" t="inlineStr">
        <is>
          <t>LG U+</t>
        </is>
      </c>
      <c r="G1310" s="47" t="inlineStr">
        <is>
          <t>LTE</t>
        </is>
      </c>
      <c r="H1310" s="48" t="n">
        <v>23000</v>
      </c>
      <c r="I1310" s="48" t="n">
        <v>7</v>
      </c>
      <c r="J1310" s="48" t="n">
        <v>43900</v>
      </c>
      <c r="K1310" s="47">
        <f t="array" ref="K1310">_xlfn.XLOOKUP(1,(참조!$B$2:$B$15=E1310)*(참조!$D$2:$D$15=C1310)*(참조!$E$2:$E$15=D1310),참조!$C$2:$C$15,"")</f>
        <v/>
      </c>
    </row>
    <row r="1311" hidden="1" s="27">
      <c r="A1311" s="47" t="inlineStr">
        <is>
          <t>아이즈모바일</t>
        </is>
      </c>
      <c r="B1311" s="47" t="inlineStr">
        <is>
          <t>[K]CU&amp;롯시 15GB+</t>
        </is>
      </c>
      <c r="C1311" s="47" t="inlineStr">
        <is>
          <t>무제한</t>
        </is>
      </c>
      <c r="D1311" s="47" t="inlineStr">
        <is>
          <t>무제한</t>
        </is>
      </c>
      <c r="E1311" s="47" t="inlineStr">
        <is>
          <t>월 15GB + 1Mbps</t>
        </is>
      </c>
      <c r="F1311" s="47" t="inlineStr">
        <is>
          <t>KT</t>
        </is>
      </c>
      <c r="G1311" s="47" t="inlineStr">
        <is>
          <t>LTE</t>
        </is>
      </c>
      <c r="H1311" s="48" t="n">
        <v>8900</v>
      </c>
      <c r="I1311" s="48" t="n">
        <v>7</v>
      </c>
      <c r="J1311" s="48" t="n">
        <v>35200</v>
      </c>
      <c r="K1311" s="47">
        <f t="array" ref="K1311">_xlfn.XLOOKUP(1,(참조!$B$2:$B$15=E1311)*(참조!$D$2:$D$15=C1311)*(참조!$E$2:$E$15=D1311),참조!$C$2:$C$15,"")</f>
        <v/>
      </c>
    </row>
    <row r="1312" hidden="1" s="27">
      <c r="A1312" s="47" t="inlineStr">
        <is>
          <t>스마텔</t>
        </is>
      </c>
      <c r="B1312" s="47" t="inlineStr">
        <is>
          <t>CU 스위트 무제한 11GB+</t>
        </is>
      </c>
      <c r="C1312" s="47" t="inlineStr">
        <is>
          <t>무제한</t>
        </is>
      </c>
      <c r="D1312" s="47" t="inlineStr">
        <is>
          <t>무제한</t>
        </is>
      </c>
      <c r="E1312" s="47" t="inlineStr">
        <is>
          <t>월 11GB + 매일 2GB + 3Mbps</t>
        </is>
      </c>
      <c r="F1312" s="47" t="inlineStr">
        <is>
          <t>KT</t>
        </is>
      </c>
      <c r="G1312" s="47" t="inlineStr">
        <is>
          <t>LTE</t>
        </is>
      </c>
      <c r="H1312" s="48" t="n">
        <v>21000</v>
      </c>
      <c r="I1312" s="48" t="n">
        <v>7</v>
      </c>
      <c r="J1312" s="48" t="n">
        <v>40700</v>
      </c>
      <c r="K1312" s="47">
        <f t="array" ref="K1312">_xlfn.XLOOKUP(1,(참조!$B$2:$B$15=E1312)*(참조!$D$2:$D$15=C1312)*(참조!$E$2:$E$15=D1312),참조!$C$2:$C$15,"")</f>
        <v/>
      </c>
    </row>
    <row r="1313" hidden="1" s="27">
      <c r="A1313" s="47" t="inlineStr">
        <is>
          <t>모빙</t>
        </is>
      </c>
      <c r="B1313" s="47" t="inlineStr">
        <is>
          <t>[S] 100분15GB+</t>
        </is>
      </c>
      <c r="C1313" s="47" t="inlineStr">
        <is>
          <t>100분</t>
        </is>
      </c>
      <c r="D1313" s="47" t="inlineStr">
        <is>
          <t>100건</t>
        </is>
      </c>
      <c r="E1313" s="47" t="inlineStr">
        <is>
          <t>월 15GB + 3Mbps</t>
        </is>
      </c>
      <c r="F1313" s="47" t="inlineStr">
        <is>
          <t>SKT</t>
        </is>
      </c>
      <c r="G1313" s="47" t="inlineStr">
        <is>
          <t>LTE</t>
        </is>
      </c>
      <c r="H1313" s="48" t="n">
        <v>6000</v>
      </c>
      <c r="I1313" s="48" t="n">
        <v>7</v>
      </c>
      <c r="J1313" s="48" t="n">
        <v>36300</v>
      </c>
      <c r="K1313" s="47">
        <f t="array" ref="K1313">_xlfn.XLOOKUP(1,(참조!$B$2:$B$15=E1313)*(참조!$D$2:$D$15=C1313)*(참조!$E$2:$E$15=D1313),참조!$C$2:$C$15,"")</f>
        <v/>
      </c>
    </row>
    <row r="1314" hidden="1" s="27">
      <c r="A1314" s="47" t="inlineStr">
        <is>
          <t>더원모바일</t>
        </is>
      </c>
      <c r="B1314" s="47" t="inlineStr">
        <is>
          <t>TOP 5G 200GB 기본 (쿠팡캐시)</t>
        </is>
      </c>
      <c r="C1314" s="47" t="inlineStr">
        <is>
          <t>무제한</t>
        </is>
      </c>
      <c r="D1314" s="47" t="inlineStr">
        <is>
          <t>무제한</t>
        </is>
      </c>
      <c r="E1314" s="47" t="inlineStr">
        <is>
          <t>월 200GB + 10Mbps</t>
        </is>
      </c>
      <c r="F1314" s="47" t="inlineStr">
        <is>
          <t>KT</t>
        </is>
      </c>
      <c r="G1314" s="47" t="inlineStr">
        <is>
          <t>5G</t>
        </is>
      </c>
      <c r="H1314" s="48" t="n">
        <v>24200</v>
      </c>
      <c r="I1314" s="48" t="n">
        <v>7</v>
      </c>
      <c r="J1314" s="48" t="n">
        <v>55000</v>
      </c>
      <c r="K1314" s="47">
        <f t="array" ref="K1314">_xlfn.XLOOKUP(1,(참조!$B$2:$B$15=E1314)*(참조!$D$2:$D$15=C1314)*(참조!$E$2:$E$15=D1314),참조!$C$2:$C$15,"")</f>
        <v/>
      </c>
    </row>
    <row r="1315" hidden="1" s="27">
      <c r="A1315" s="47" t="inlineStr">
        <is>
          <t>에이모바일</t>
        </is>
      </c>
      <c r="B1315" s="47" t="inlineStr">
        <is>
          <t>A 스페셜 15GB+/300분</t>
        </is>
      </c>
      <c r="C1315" s="47" t="inlineStr">
        <is>
          <t>300분</t>
        </is>
      </c>
      <c r="D1315" s="47" t="inlineStr">
        <is>
          <t>300건</t>
        </is>
      </c>
      <c r="E1315" s="47" t="inlineStr">
        <is>
          <t>월 15GB + 3Mbps</t>
        </is>
      </c>
      <c r="F1315" s="47" t="inlineStr">
        <is>
          <t>LG U+</t>
        </is>
      </c>
      <c r="G1315" s="47" t="inlineStr">
        <is>
          <t>LTE</t>
        </is>
      </c>
      <c r="H1315" s="48" t="n">
        <v>11499</v>
      </c>
      <c r="I1315" s="48" t="n">
        <v>7</v>
      </c>
      <c r="J1315" s="48" t="n">
        <v>30800</v>
      </c>
      <c r="K1315" s="47">
        <f t="array" ref="K1315">_xlfn.XLOOKUP(1,(참조!$B$2:$B$15=E1315)*(참조!$D$2:$D$15=C1315)*(참조!$E$2:$E$15=D1315),참조!$C$2:$C$15,"")</f>
        <v/>
      </c>
    </row>
    <row r="1316" hidden="1" s="27">
      <c r="A1316" s="47" t="inlineStr">
        <is>
          <t>핀다이렉트</t>
        </is>
      </c>
      <c r="B1316" s="47" t="inlineStr">
        <is>
          <t>[모요only] [K] 핀다이렉트Z + 밀리의서재 _PIN</t>
        </is>
      </c>
      <c r="C1316" s="47" t="inlineStr">
        <is>
          <t>무제한</t>
        </is>
      </c>
      <c r="D1316" s="47" t="inlineStr">
        <is>
          <t>무제한</t>
        </is>
      </c>
      <c r="E1316" s="47" t="inlineStr">
        <is>
          <t>월 11GB + 매일 2GB + 3Mbps</t>
        </is>
      </c>
      <c r="F1316" s="47" t="inlineStr">
        <is>
          <t>KT</t>
        </is>
      </c>
      <c r="G1316" s="47" t="inlineStr">
        <is>
          <t>LTE</t>
        </is>
      </c>
      <c r="H1316" s="48" t="n">
        <v>20000</v>
      </c>
      <c r="I1316" s="48" t="n">
        <v>7</v>
      </c>
      <c r="J1316" s="48" t="n">
        <v>39600</v>
      </c>
      <c r="K1316" s="47">
        <f t="array" ref="K1316">_xlfn.XLOOKUP(1,(참조!$B$2:$B$15=E1316)*(참조!$D$2:$D$15=C1316)*(참조!$E$2:$E$15=D1316),참조!$C$2:$C$15,"")</f>
        <v/>
      </c>
    </row>
    <row r="1317" hidden="1" s="27">
      <c r="A1317" s="47" t="inlineStr">
        <is>
          <t>아이즈모바일</t>
        </is>
      </c>
      <c r="B1317" s="47" t="inlineStr">
        <is>
          <t>[L]5G 데이터95GB+3Mbps</t>
        </is>
      </c>
      <c r="C1317" s="47" t="inlineStr">
        <is>
          <t>무제한</t>
        </is>
      </c>
      <c r="D1317" s="47" t="inlineStr">
        <is>
          <t>무제한</t>
        </is>
      </c>
      <c r="E1317" s="47" t="inlineStr">
        <is>
          <t>월 95GB + 3Mbps</t>
        </is>
      </c>
      <c r="F1317" s="47" t="inlineStr">
        <is>
          <t>LG U+</t>
        </is>
      </c>
      <c r="G1317" s="47" t="inlineStr">
        <is>
          <t>5G</t>
        </is>
      </c>
      <c r="H1317" s="48" t="n">
        <v>27600</v>
      </c>
      <c r="I1317" s="48" t="n">
        <v>24</v>
      </c>
      <c r="J1317" s="48" t="n">
        <v>56100</v>
      </c>
      <c r="K1317" s="47">
        <f t="array" ref="K1317">_xlfn.XLOOKUP(1,(참조!$B$2:$B$15=E1317)*(참조!$D$2:$D$15=C1317)*(참조!$E$2:$E$15=D1317),참조!$C$2:$C$15,"")</f>
        <v/>
      </c>
    </row>
    <row r="1318" hidden="1" s="27">
      <c r="A1318" s="47" t="inlineStr">
        <is>
          <t>이지모바일</t>
        </is>
      </c>
      <c r="B1318" s="47" t="inlineStr">
        <is>
          <t>EG CU 무제한 100G+5(CU할인)</t>
        </is>
      </c>
      <c r="C1318" s="47" t="inlineStr">
        <is>
          <t>무제한</t>
        </is>
      </c>
      <c r="D1318" s="47" t="inlineStr">
        <is>
          <t>무제한</t>
        </is>
      </c>
      <c r="E1318" s="47" t="inlineStr">
        <is>
          <t>월 100GB + 5Mbps</t>
        </is>
      </c>
      <c r="F1318" s="47" t="inlineStr">
        <is>
          <t>KT</t>
        </is>
      </c>
      <c r="G1318" s="47" t="inlineStr">
        <is>
          <t>LTE</t>
        </is>
      </c>
      <c r="H1318" s="48" t="n">
        <v>19990</v>
      </c>
      <c r="I1318" s="48" t="n">
        <v>7</v>
      </c>
      <c r="J1318" s="48" t="n">
        <v>44000</v>
      </c>
      <c r="K1318" s="47">
        <f t="array" ref="K1318">_xlfn.XLOOKUP(1,(참조!$B$2:$B$15=E1318)*(참조!$D$2:$D$15=C1318)*(참조!$E$2:$E$15=D1318),참조!$C$2:$C$15,"")</f>
        <v/>
      </c>
    </row>
    <row r="1319" hidden="1" s="27">
      <c r="A1319" s="47" t="inlineStr">
        <is>
          <t>쉐이크모바일</t>
        </is>
      </c>
      <c r="B1319" s="47" t="inlineStr">
        <is>
          <t>[모요only] 쉐이크 LTE 7GB+_웨이브(OTT)</t>
        </is>
      </c>
      <c r="C1319" s="47" t="inlineStr">
        <is>
          <t>무제한</t>
        </is>
      </c>
      <c r="D1319" s="47" t="inlineStr">
        <is>
          <t>무제한</t>
        </is>
      </c>
      <c r="E1319" s="47" t="inlineStr">
        <is>
          <t>월 7GB + 1Mbps</t>
        </is>
      </c>
      <c r="F1319" s="47" t="inlineStr">
        <is>
          <t>KT</t>
        </is>
      </c>
      <c r="G1319" s="47" t="inlineStr">
        <is>
          <t>LTE</t>
        </is>
      </c>
      <c r="H1319" s="48" t="n">
        <v>9900</v>
      </c>
      <c r="I1319" s="48" t="n">
        <v>7</v>
      </c>
      <c r="J1319" s="48" t="n">
        <v>25300</v>
      </c>
      <c r="K1319" s="47">
        <f t="array" ref="K1319">_xlfn.XLOOKUP(1,(참조!$B$2:$B$15=E1319)*(참조!$D$2:$D$15=C1319)*(참조!$E$2:$E$15=D1319),참조!$C$2:$C$15,"")</f>
        <v/>
      </c>
    </row>
    <row r="1320" hidden="1" s="27">
      <c r="A1320" s="47" t="inlineStr">
        <is>
          <t>이야기모바일</t>
        </is>
      </c>
      <c r="B1320" s="47" t="inlineStr">
        <is>
          <t>이야기 스탠다드S 100분15GB+</t>
        </is>
      </c>
      <c r="C1320" s="47" t="inlineStr">
        <is>
          <t>100분</t>
        </is>
      </c>
      <c r="D1320" s="47" t="inlineStr">
        <is>
          <t>100건</t>
        </is>
      </c>
      <c r="E1320" s="47" t="inlineStr">
        <is>
          <t>월 15GB + 3Mbps</t>
        </is>
      </c>
      <c r="F1320" s="47" t="inlineStr">
        <is>
          <t>SKT</t>
        </is>
      </c>
      <c r="G1320" s="47" t="inlineStr">
        <is>
          <t>LTE</t>
        </is>
      </c>
      <c r="H1320" s="48" t="n">
        <v>17000</v>
      </c>
      <c r="I1320" s="48" t="n">
        <v>7</v>
      </c>
      <c r="J1320" s="48" t="n">
        <v>31900</v>
      </c>
      <c r="K1320" s="47">
        <f t="array" ref="K1320">_xlfn.XLOOKUP(1,(참조!$B$2:$B$15=E1320)*(참조!$D$2:$D$15=C1320)*(참조!$E$2:$E$15=D1320),참조!$C$2:$C$15,"")</f>
        <v/>
      </c>
    </row>
    <row r="1321" hidden="1" s="27">
      <c r="A1321" s="47" t="inlineStr">
        <is>
          <t>에이모바일</t>
        </is>
      </c>
      <c r="B1321" s="47" t="inlineStr">
        <is>
          <t>A 스페셜 15GB+/100분</t>
        </is>
      </c>
      <c r="C1321" s="47" t="inlineStr">
        <is>
          <t>100분</t>
        </is>
      </c>
      <c r="D1321" s="47" t="inlineStr">
        <is>
          <t>100건</t>
        </is>
      </c>
      <c r="E1321" s="47" t="inlineStr">
        <is>
          <t>월 15GB + 3Mbps</t>
        </is>
      </c>
      <c r="F1321" s="47" t="inlineStr">
        <is>
          <t>LG U+</t>
        </is>
      </c>
      <c r="G1321" s="47" t="inlineStr">
        <is>
          <t>LTE</t>
        </is>
      </c>
      <c r="H1321" s="48" t="n">
        <v>9500</v>
      </c>
      <c r="I1321" s="48" t="n">
        <v>7</v>
      </c>
      <c r="J1321" s="48" t="n">
        <v>28600</v>
      </c>
      <c r="K1321" s="47">
        <f t="array" ref="K1321">_xlfn.XLOOKUP(1,(참조!$B$2:$B$15=E1321)*(참조!$D$2:$D$15=C1321)*(참조!$E$2:$E$15=D1321),참조!$C$2:$C$15,"")</f>
        <v/>
      </c>
    </row>
    <row r="1322" hidden="1" s="27">
      <c r="A1322" s="47" t="inlineStr">
        <is>
          <t>U+유모바일</t>
        </is>
      </c>
      <c r="B1322" s="47" t="inlineStr">
        <is>
          <t>[평생할인] 5GB+/200분</t>
        </is>
      </c>
      <c r="C1322" s="47" t="inlineStr">
        <is>
          <t>200분</t>
        </is>
      </c>
      <c r="D1322" s="47" t="inlineStr">
        <is>
          <t>100건</t>
        </is>
      </c>
      <c r="E1322" s="47" t="inlineStr">
        <is>
          <t>월 5GB + 1Mbps</t>
        </is>
      </c>
      <c r="F1322" s="47" t="inlineStr">
        <is>
          <t>LG U+</t>
        </is>
      </c>
      <c r="G1322" s="47" t="inlineStr">
        <is>
          <t>LTE</t>
        </is>
      </c>
      <c r="H1322" s="48" t="n">
        <v>12500</v>
      </c>
      <c r="I1322" s="48" t="n"/>
      <c r="J1322" s="48" t="n"/>
      <c r="K1322" s="47">
        <f t="array" ref="K1322">_xlfn.XLOOKUP(1,(참조!$B$2:$B$15=E1322)*(참조!$D$2:$D$15=C1322)*(참조!$E$2:$E$15=D1322),참조!$C$2:$C$15,"")</f>
        <v/>
      </c>
    </row>
    <row r="1323" hidden="1" s="27">
      <c r="A1323" s="47" t="inlineStr">
        <is>
          <t>KT스카이라이프</t>
        </is>
      </c>
      <c r="B1323" s="47" t="inlineStr">
        <is>
          <t>모두 충분 10GB+</t>
        </is>
      </c>
      <c r="C1323" s="47" t="inlineStr">
        <is>
          <t>무제한</t>
        </is>
      </c>
      <c r="D1323" s="47" t="inlineStr">
        <is>
          <t>무제한</t>
        </is>
      </c>
      <c r="E1323" s="47" t="inlineStr">
        <is>
          <t>월 10GB + 400Kbps</t>
        </is>
      </c>
      <c r="F1323" s="47" t="inlineStr">
        <is>
          <t>KT</t>
        </is>
      </c>
      <c r="G1323" s="47" t="inlineStr">
        <is>
          <t>LTE</t>
        </is>
      </c>
      <c r="H1323" s="48" t="n">
        <v>17900</v>
      </c>
      <c r="I1323" s="48" t="n"/>
      <c r="J1323" s="48" t="n"/>
      <c r="K1323" s="47">
        <f t="array" ref="K1323">_xlfn.XLOOKUP(1,(참조!$B$2:$B$15=E1323)*(참조!$D$2:$D$15=C1323)*(참조!$E$2:$E$15=D1323),참조!$C$2:$C$15,"")</f>
        <v/>
      </c>
    </row>
    <row r="1324" hidden="1" s="27">
      <c r="A1324" s="47" t="inlineStr">
        <is>
          <t>이야기모바일</t>
        </is>
      </c>
      <c r="B1324" s="47" t="inlineStr">
        <is>
          <t>[모요only] 모두이야기해 6GB+</t>
        </is>
      </c>
      <c r="C1324" s="47" t="inlineStr">
        <is>
          <t>200분</t>
        </is>
      </c>
      <c r="D1324" s="47" t="inlineStr">
        <is>
          <t>100건</t>
        </is>
      </c>
      <c r="E1324" s="47" t="inlineStr">
        <is>
          <t>월 6GB + 1Mbps</t>
        </is>
      </c>
      <c r="F1324" s="47" t="inlineStr">
        <is>
          <t>LG U+</t>
        </is>
      </c>
      <c r="G1324" s="47" t="inlineStr">
        <is>
          <t>LTE</t>
        </is>
      </c>
      <c r="H1324" s="48" t="n">
        <v>5000</v>
      </c>
      <c r="I1324" s="48" t="n">
        <v>6</v>
      </c>
      <c r="J1324" s="48" t="n">
        <v>12100</v>
      </c>
      <c r="K1324" s="47">
        <f t="array" ref="K1324">_xlfn.XLOOKUP(1,(참조!$B$2:$B$15=E1324)*(참조!$D$2:$D$15=C1324)*(참조!$E$2:$E$15=D1324),참조!$C$2:$C$15,"")</f>
        <v/>
      </c>
    </row>
    <row r="1325" hidden="1" s="27">
      <c r="A1325" s="47" t="inlineStr">
        <is>
          <t>티플러스</t>
        </is>
      </c>
      <c r="B1325" s="47" t="inlineStr">
        <is>
          <t>티플 데이터마음껏15G＋(300분)</t>
        </is>
      </c>
      <c r="C1325" s="47" t="inlineStr">
        <is>
          <t>300분</t>
        </is>
      </c>
      <c r="D1325" s="47" t="inlineStr">
        <is>
          <t>300건</t>
        </is>
      </c>
      <c r="E1325" s="47" t="inlineStr">
        <is>
          <t>월 15GB + 3Mbps</t>
        </is>
      </c>
      <c r="F1325" s="47" t="inlineStr">
        <is>
          <t>LG U+</t>
        </is>
      </c>
      <c r="G1325" s="47" t="inlineStr">
        <is>
          <t>LTE</t>
        </is>
      </c>
      <c r="H1325" s="48" t="n">
        <v>29700</v>
      </c>
      <c r="I1325" s="48" t="n"/>
      <c r="J1325" s="48" t="n"/>
      <c r="K1325" s="47">
        <f t="array" ref="K1325">_xlfn.XLOOKUP(1,(참조!$B$2:$B$15=E1325)*(참조!$D$2:$D$15=C1325)*(참조!$E$2:$E$15=D1325),참조!$C$2:$C$15,"")</f>
        <v/>
      </c>
    </row>
    <row r="1326" hidden="1" s="27">
      <c r="A1326" s="47" t="inlineStr">
        <is>
          <t>KT스카이라이프</t>
        </is>
      </c>
      <c r="B1326" s="47" t="inlineStr">
        <is>
          <t>모두 충분 100GB+(웨이브)</t>
        </is>
      </c>
      <c r="C1326" s="47" t="inlineStr">
        <is>
          <t>무제한</t>
        </is>
      </c>
      <c r="D1326" s="47" t="inlineStr">
        <is>
          <t>무제한</t>
        </is>
      </c>
      <c r="E1326" s="47" t="inlineStr">
        <is>
          <t>월 100GB + 5Mbps</t>
        </is>
      </c>
      <c r="F1326" s="47" t="inlineStr">
        <is>
          <t>KT</t>
        </is>
      </c>
      <c r="G1326" s="47" t="inlineStr">
        <is>
          <t>LTE</t>
        </is>
      </c>
      <c r="H1326" s="48" t="n">
        <v>43000</v>
      </c>
      <c r="I1326" s="48" t="n"/>
      <c r="J1326" s="48" t="n"/>
      <c r="K1326" s="47">
        <f t="array" ref="K1326">_xlfn.XLOOKUP(1,(참조!$B$2:$B$15=E1326)*(참조!$D$2:$D$15=C1326)*(참조!$E$2:$E$15=D1326),참조!$C$2:$C$15,"")</f>
        <v/>
      </c>
    </row>
    <row r="1327" hidden="1" s="27">
      <c r="A1327" s="47" t="inlineStr">
        <is>
          <t>모빙</t>
        </is>
      </c>
      <c r="B1327" s="47" t="inlineStr">
        <is>
          <t>[K] 요기요 11GB+</t>
        </is>
      </c>
      <c r="C1327" s="47" t="inlineStr">
        <is>
          <t>무제한</t>
        </is>
      </c>
      <c r="D1327" s="47" t="inlineStr">
        <is>
          <t>무제한</t>
        </is>
      </c>
      <c r="E1327" s="47" t="inlineStr">
        <is>
          <t>월 11GB + 매일 2GB + 3Mbps</t>
        </is>
      </c>
      <c r="F1327" s="47" t="inlineStr">
        <is>
          <t>KT</t>
        </is>
      </c>
      <c r="G1327" s="47" t="inlineStr">
        <is>
          <t>LTE</t>
        </is>
      </c>
      <c r="H1327" s="48" t="n">
        <v>28600</v>
      </c>
      <c r="I1327" s="48" t="n">
        <v>24</v>
      </c>
      <c r="J1327" s="48" t="n">
        <v>52800</v>
      </c>
      <c r="K1327" s="47">
        <f t="array" ref="K1327">_xlfn.XLOOKUP(1,(참조!$B$2:$B$15=E1327)*(참조!$D$2:$D$15=C1327)*(참조!$E$2:$E$15=D1327),참조!$C$2:$C$15,"")</f>
        <v/>
      </c>
    </row>
    <row r="1328" hidden="1" s="27">
      <c r="A1328" s="47" t="inlineStr">
        <is>
          <t>고고모바일</t>
        </is>
      </c>
      <c r="B1328" s="47" t="inlineStr">
        <is>
          <t>고고200분/2GB-데이터소진후 자동차단</t>
        </is>
      </c>
      <c r="C1328" s="47" t="inlineStr">
        <is>
          <t>200분</t>
        </is>
      </c>
      <c r="D1328" s="47" t="inlineStr">
        <is>
          <t>200건</t>
        </is>
      </c>
      <c r="E1328" s="47" t="inlineStr">
        <is>
          <t>월 2GB</t>
        </is>
      </c>
      <c r="F1328" s="47" t="inlineStr">
        <is>
          <t>KT</t>
        </is>
      </c>
      <c r="G1328" s="47" t="inlineStr">
        <is>
          <t>LTE</t>
        </is>
      </c>
      <c r="H1328" s="48" t="n">
        <v>8800</v>
      </c>
      <c r="I1328" s="48" t="n"/>
      <c r="J1328" s="48" t="n"/>
      <c r="K1328" s="47">
        <f t="array" ref="K1328">_xlfn.XLOOKUP(1,(참조!$B$2:$B$15=E1328)*(참조!$D$2:$D$15=C1328)*(참조!$E$2:$E$15=D1328),참조!$C$2:$C$15,"")</f>
        <v/>
      </c>
    </row>
    <row r="1329" hidden="1" s="27">
      <c r="A1329" s="47" t="inlineStr">
        <is>
          <t>고고모바일</t>
        </is>
      </c>
      <c r="B1329" s="47" t="inlineStr">
        <is>
          <t>LTE300분/5GB-데이터소진후 자동차단</t>
        </is>
      </c>
      <c r="C1329" s="47" t="inlineStr">
        <is>
          <t>300분</t>
        </is>
      </c>
      <c r="D1329" s="47" t="inlineStr">
        <is>
          <t>300건</t>
        </is>
      </c>
      <c r="E1329" s="47" t="inlineStr">
        <is>
          <t>월 5GB</t>
        </is>
      </c>
      <c r="F1329" s="47" t="inlineStr">
        <is>
          <t>KT</t>
        </is>
      </c>
      <c r="G1329" s="47" t="inlineStr">
        <is>
          <t>LTE</t>
        </is>
      </c>
      <c r="H1329" s="48" t="n">
        <v>13640</v>
      </c>
      <c r="I1329" s="48" t="n"/>
      <c r="J1329" s="48" t="n"/>
      <c r="K1329" s="47">
        <f t="array" ref="K1329">_xlfn.XLOOKUP(1,(참조!$B$2:$B$15=E1329)*(참조!$D$2:$D$15=C1329)*(참조!$E$2:$E$15=D1329),참조!$C$2:$C$15,"")</f>
        <v/>
      </c>
    </row>
    <row r="1330" hidden="1" s="27">
      <c r="A1330" s="47" t="inlineStr">
        <is>
          <t>이지모바일</t>
        </is>
      </c>
      <c r="B1330" s="47" t="inlineStr">
        <is>
          <t>EG 무제한 71G+3(밀리의 서재)</t>
        </is>
      </c>
      <c r="C1330" s="47" t="inlineStr">
        <is>
          <t>무제한</t>
        </is>
      </c>
      <c r="D1330" s="47" t="inlineStr">
        <is>
          <t>무제한</t>
        </is>
      </c>
      <c r="E1330" s="47" t="inlineStr">
        <is>
          <t>월 11GB + 매일 2GB + 3Mbps</t>
        </is>
      </c>
      <c r="F1330" s="47" t="inlineStr">
        <is>
          <t>KT</t>
        </is>
      </c>
      <c r="G1330" s="47" t="inlineStr">
        <is>
          <t>LTE</t>
        </is>
      </c>
      <c r="H1330" s="48" t="n">
        <v>20130</v>
      </c>
      <c r="I1330" s="48" t="n">
        <v>7</v>
      </c>
      <c r="J1330" s="48" t="n">
        <v>37400</v>
      </c>
      <c r="K1330" s="47">
        <f t="array" ref="K1330">_xlfn.XLOOKUP(1,(참조!$B$2:$B$15=E1330)*(참조!$D$2:$D$15=C1330)*(참조!$E$2:$E$15=D1330),참조!$C$2:$C$15,"")</f>
        <v/>
      </c>
    </row>
    <row r="1331" hidden="1" s="27">
      <c r="A1331" s="47" t="inlineStr">
        <is>
          <t>이야기모바일</t>
        </is>
      </c>
      <c r="B1331" s="47" t="inlineStr">
        <is>
          <t>함께이야기해S(300분+30GB)</t>
        </is>
      </c>
      <c r="C1331" s="47" t="inlineStr">
        <is>
          <t>300분</t>
        </is>
      </c>
      <c r="D1331" s="47" t="inlineStr">
        <is>
          <t>300건</t>
        </is>
      </c>
      <c r="E1331" s="47" t="inlineStr">
        <is>
          <t>월 30GB</t>
        </is>
      </c>
      <c r="F1331" s="47" t="inlineStr">
        <is>
          <t>SKT</t>
        </is>
      </c>
      <c r="G1331" s="47" t="inlineStr">
        <is>
          <t>LTE</t>
        </is>
      </c>
      <c r="H1331" s="48" t="n">
        <v>24200</v>
      </c>
      <c r="I1331" s="48" t="n">
        <v>12</v>
      </c>
      <c r="J1331" s="48" t="n">
        <v>33000</v>
      </c>
      <c r="K1331" s="47">
        <f t="array" ref="K1331">_xlfn.XLOOKUP(1,(참조!$B$2:$B$15=E1331)*(참조!$D$2:$D$15=C1331)*(참조!$E$2:$E$15=D1331),참조!$C$2:$C$15,"")</f>
        <v/>
      </c>
    </row>
    <row r="1332" hidden="1" s="27">
      <c r="A1332" s="47" t="inlineStr">
        <is>
          <t>U+유모바일</t>
        </is>
      </c>
      <c r="B1332" s="47" t="inlineStr">
        <is>
          <t>[올리브영 12만원] 6GB/통화기본</t>
        </is>
      </c>
      <c r="C1332" s="47" t="inlineStr">
        <is>
          <t>무제한</t>
        </is>
      </c>
      <c r="D1332" s="47" t="inlineStr">
        <is>
          <t>무제한</t>
        </is>
      </c>
      <c r="E1332" s="47" t="inlineStr">
        <is>
          <t>월 6GB</t>
        </is>
      </c>
      <c r="F1332" s="47" t="inlineStr">
        <is>
          <t>LG U+</t>
        </is>
      </c>
      <c r="G1332" s="47" t="inlineStr">
        <is>
          <t>LTE</t>
        </is>
      </c>
      <c r="H1332" s="48" t="n">
        <v>10500</v>
      </c>
      <c r="I1332" s="48" t="n"/>
      <c r="J1332" s="48" t="n"/>
      <c r="K1332" s="47">
        <f t="array" ref="K1332">_xlfn.XLOOKUP(1,(참조!$B$2:$B$15=E1332)*(참조!$D$2:$D$15=C1332)*(참조!$E$2:$E$15=D1332),참조!$C$2:$C$15,"")</f>
        <v/>
      </c>
    </row>
    <row r="1333" hidden="1" s="27">
      <c r="A1333" s="47" t="inlineStr">
        <is>
          <t>리브모바일</t>
        </is>
      </c>
      <c r="B1333" s="47" t="inlineStr">
        <is>
          <t>보이스피싱예방 LTE 15GB+(100분/100건)</t>
        </is>
      </c>
      <c r="C1333" s="47" t="inlineStr">
        <is>
          <t>100분</t>
        </is>
      </c>
      <c r="D1333" s="47" t="inlineStr">
        <is>
          <t>100건</t>
        </is>
      </c>
      <c r="E1333" s="47" t="inlineStr">
        <is>
          <t>월 15GB + 3Mbps</t>
        </is>
      </c>
      <c r="F1333" s="47" t="inlineStr">
        <is>
          <t>LG U+</t>
        </is>
      </c>
      <c r="G1333" s="47" t="inlineStr">
        <is>
          <t>LTE</t>
        </is>
      </c>
      <c r="H1333" s="48" t="n">
        <v>20200</v>
      </c>
      <c r="I1333" s="48" t="n">
        <v>12</v>
      </c>
      <c r="J1333" s="48" t="n">
        <v>26900</v>
      </c>
      <c r="K1333" s="47">
        <f t="array" ref="K1333">_xlfn.XLOOKUP(1,(참조!$B$2:$B$15=E1333)*(참조!$D$2:$D$15=C1333)*(참조!$E$2:$E$15=D1333),참조!$C$2:$C$15,"")</f>
        <v/>
      </c>
    </row>
    <row r="1334" hidden="1" s="27">
      <c r="A1334" s="47" t="inlineStr">
        <is>
          <t>시월모바일</t>
        </is>
      </c>
      <c r="B1334" s="47" t="inlineStr">
        <is>
          <t>시월5G 무제한 50GB+1Mbps</t>
        </is>
      </c>
      <c r="C1334" s="47" t="inlineStr">
        <is>
          <t>무제한</t>
        </is>
      </c>
      <c r="D1334" s="47" t="inlineStr">
        <is>
          <t>무제한</t>
        </is>
      </c>
      <c r="E1334" s="47" t="inlineStr">
        <is>
          <t>월 50GB + 1Mbps</t>
        </is>
      </c>
      <c r="F1334" s="47" t="inlineStr">
        <is>
          <t>LG U+</t>
        </is>
      </c>
      <c r="G1334" s="47" t="inlineStr">
        <is>
          <t>5G</t>
        </is>
      </c>
      <c r="H1334" s="48" t="n">
        <v>22500</v>
      </c>
      <c r="I1334" s="48" t="n">
        <v>7</v>
      </c>
      <c r="J1334" s="48" t="n">
        <v>41200</v>
      </c>
      <c r="K1334" s="47">
        <f t="array" ref="K1334">_xlfn.XLOOKUP(1,(참조!$B$2:$B$15=E1334)*(참조!$D$2:$D$15=C1334)*(참조!$E$2:$E$15=D1334),참조!$C$2:$C$15,"")</f>
        <v/>
      </c>
    </row>
    <row r="1335" hidden="1" s="27">
      <c r="A1335" s="47" t="inlineStr">
        <is>
          <t>U+유모바일</t>
        </is>
      </c>
      <c r="B1335" s="47" t="inlineStr">
        <is>
          <t>[평생할인] 5G 125GB+/통화기본</t>
        </is>
      </c>
      <c r="C1335" s="47" t="inlineStr">
        <is>
          <t>무제한</t>
        </is>
      </c>
      <c r="D1335" s="47" t="inlineStr">
        <is>
          <t>무제한</t>
        </is>
      </c>
      <c r="E1335" s="47" t="inlineStr">
        <is>
          <t>월 125GB + 5Mbps</t>
        </is>
      </c>
      <c r="F1335" s="47" t="inlineStr">
        <is>
          <t>LG U+</t>
        </is>
      </c>
      <c r="G1335" s="47" t="inlineStr">
        <is>
          <t>5G</t>
        </is>
      </c>
      <c r="H1335" s="48" t="n">
        <v>42100</v>
      </c>
      <c r="I1335" s="48" t="n"/>
      <c r="J1335" s="48" t="n"/>
      <c r="K1335" s="47">
        <f t="array" ref="K1335">_xlfn.XLOOKUP(1,(참조!$B$2:$B$15=E1335)*(참조!$D$2:$D$15=C1335)*(참조!$E$2:$E$15=D1335),참조!$C$2:$C$15,"")</f>
        <v/>
      </c>
    </row>
    <row r="1336" hidden="1" s="27">
      <c r="A1336" s="47" t="inlineStr">
        <is>
          <t>아이즈모바일</t>
        </is>
      </c>
      <c r="B1336" s="47" t="inlineStr">
        <is>
          <t>[L]벤티(300분/9GB)</t>
        </is>
      </c>
      <c r="C1336" s="47" t="inlineStr">
        <is>
          <t>300분</t>
        </is>
      </c>
      <c r="D1336" s="47" t="inlineStr">
        <is>
          <t>100건</t>
        </is>
      </c>
      <c r="E1336" s="47" t="inlineStr">
        <is>
          <t>월 9GB</t>
        </is>
      </c>
      <c r="F1336" s="47" t="inlineStr">
        <is>
          <t>LG U+</t>
        </is>
      </c>
      <c r="G1336" s="47" t="inlineStr">
        <is>
          <t>LTE</t>
        </is>
      </c>
      <c r="H1336" s="48" t="n">
        <v>990</v>
      </c>
      <c r="I1336" s="48" t="n">
        <v>6</v>
      </c>
      <c r="J1336" s="48" t="n">
        <v>22200</v>
      </c>
      <c r="K1336" s="47">
        <f t="array" ref="K1336">_xlfn.XLOOKUP(1,(참조!$B$2:$B$15=E1336)*(참조!$D$2:$D$15=C1336)*(참조!$E$2:$E$15=D1336),참조!$C$2:$C$15,"")</f>
        <v/>
      </c>
    </row>
    <row r="1337" hidden="1" s="27">
      <c r="A1337" s="47" t="inlineStr">
        <is>
          <t>모빙</t>
        </is>
      </c>
      <c r="B1337" s="47" t="inlineStr">
        <is>
          <t>쏙쏙 500분10GB</t>
        </is>
      </c>
      <c r="C1337" s="47" t="inlineStr">
        <is>
          <t>500분</t>
        </is>
      </c>
      <c r="D1337" s="47" t="inlineStr">
        <is>
          <t>500건</t>
        </is>
      </c>
      <c r="E1337" s="47" t="inlineStr">
        <is>
          <t>월 10GB</t>
        </is>
      </c>
      <c r="F1337" s="47" t="inlineStr">
        <is>
          <t>KT</t>
        </is>
      </c>
      <c r="G1337" s="47" t="inlineStr">
        <is>
          <t>LTE</t>
        </is>
      </c>
      <c r="H1337" s="48" t="n">
        <v>110</v>
      </c>
      <c r="I1337" s="48" t="n">
        <v>7</v>
      </c>
      <c r="J1337" s="48" t="n">
        <v>27500</v>
      </c>
      <c r="K1337" s="47">
        <f t="array" ref="K1337">_xlfn.XLOOKUP(1,(참조!$B$2:$B$15=E1337)*(참조!$D$2:$D$15=C1337)*(참조!$E$2:$E$15=D1337),참조!$C$2:$C$15,"")</f>
        <v/>
      </c>
    </row>
    <row r="1338" hidden="1" s="27">
      <c r="A1338" s="47" t="inlineStr">
        <is>
          <t>KT스카이라이프</t>
        </is>
      </c>
      <c r="B1338" s="47" t="inlineStr">
        <is>
          <t>모두 충분 7GB+(올리브영_5000)</t>
        </is>
      </c>
      <c r="C1338" s="47" t="inlineStr">
        <is>
          <t>무제한</t>
        </is>
      </c>
      <c r="D1338" s="47" t="inlineStr">
        <is>
          <t>무제한</t>
        </is>
      </c>
      <c r="E1338" s="47" t="inlineStr">
        <is>
          <t>월 7GB + 1Mbps</t>
        </is>
      </c>
      <c r="F1338" s="47" t="inlineStr">
        <is>
          <t>KT</t>
        </is>
      </c>
      <c r="G1338" s="47" t="inlineStr">
        <is>
          <t>LTE</t>
        </is>
      </c>
      <c r="H1338" s="48" t="n">
        <v>19000</v>
      </c>
      <c r="I1338" s="48" t="n"/>
      <c r="J1338" s="48" t="n"/>
      <c r="K1338" s="47">
        <f t="array" ref="K1338">_xlfn.XLOOKUP(1,(참조!$B$2:$B$15=E1338)*(참조!$D$2:$D$15=C1338)*(참조!$E$2:$E$15=D1338),참조!$C$2:$C$15,"")</f>
        <v/>
      </c>
    </row>
    <row r="1339" hidden="1" s="27">
      <c r="A1339" s="47" t="inlineStr">
        <is>
          <t>이야기모바일</t>
        </is>
      </c>
      <c r="B1339" s="47" t="inlineStr">
        <is>
          <t>이야기 라이트 10GB+(24개월)</t>
        </is>
      </c>
      <c r="C1339" s="47" t="inlineStr">
        <is>
          <t>무제한</t>
        </is>
      </c>
      <c r="D1339" s="47" t="inlineStr">
        <is>
          <t>무제한</t>
        </is>
      </c>
      <c r="E1339" s="47" t="inlineStr">
        <is>
          <t>월 10GB + 1Mbps</t>
        </is>
      </c>
      <c r="F1339" s="47" t="inlineStr">
        <is>
          <t>LG U+</t>
        </is>
      </c>
      <c r="G1339" s="47" t="inlineStr">
        <is>
          <t>LTE</t>
        </is>
      </c>
      <c r="H1339" s="48" t="n">
        <v>19000</v>
      </c>
      <c r="I1339" s="48" t="n">
        <v>24</v>
      </c>
      <c r="J1339" s="48" t="n">
        <v>26400</v>
      </c>
      <c r="K1339" s="47">
        <f t="array" ref="K1339">_xlfn.XLOOKUP(1,(참조!$B$2:$B$15=E1339)*(참조!$D$2:$D$15=C1339)*(참조!$E$2:$E$15=D1339),참조!$C$2:$C$15,"")</f>
        <v/>
      </c>
    </row>
    <row r="1340" hidden="1" s="27">
      <c r="A1340" s="47" t="inlineStr">
        <is>
          <t>LG헬로모바일</t>
        </is>
      </c>
      <c r="B1340" s="47" t="inlineStr">
        <is>
          <t>5G 스탠다드 유심 150GB</t>
        </is>
      </c>
      <c r="C1340" s="47" t="inlineStr">
        <is>
          <t>무제한</t>
        </is>
      </c>
      <c r="D1340" s="47" t="inlineStr">
        <is>
          <t>무제한</t>
        </is>
      </c>
      <c r="E1340" s="47" t="inlineStr">
        <is>
          <t>월 150GB + 5Mbps</t>
        </is>
      </c>
      <c r="F1340" s="47" t="inlineStr">
        <is>
          <t>LG U+</t>
        </is>
      </c>
      <c r="G1340" s="47" t="inlineStr">
        <is>
          <t>5G</t>
        </is>
      </c>
      <c r="H1340" s="48" t="n">
        <v>49900</v>
      </c>
      <c r="I1340" s="48" t="n"/>
      <c r="J1340" s="48" t="n"/>
      <c r="K1340" s="47">
        <f t="array" ref="K1340">_xlfn.XLOOKUP(1,(참조!$B$2:$B$15=E1340)*(참조!$D$2:$D$15=C1340)*(참조!$E$2:$E$15=D1340),참조!$C$2:$C$15,"")</f>
        <v/>
      </c>
    </row>
    <row r="1341" hidden="1" s="27">
      <c r="A1341" s="47" t="inlineStr">
        <is>
          <t>모빙</t>
        </is>
      </c>
      <c r="B1341" s="47" t="inlineStr">
        <is>
          <t>[K] 5G 200분20GB</t>
        </is>
      </c>
      <c r="C1341" s="47" t="inlineStr">
        <is>
          <t>200분</t>
        </is>
      </c>
      <c r="D1341" s="47" t="inlineStr">
        <is>
          <t>100건</t>
        </is>
      </c>
      <c r="E1341" s="47" t="inlineStr">
        <is>
          <t>월 20GB</t>
        </is>
      </c>
      <c r="F1341" s="47" t="inlineStr">
        <is>
          <t>KT</t>
        </is>
      </c>
      <c r="G1341" s="47" t="inlineStr">
        <is>
          <t>5G</t>
        </is>
      </c>
      <c r="H1341" s="48" t="n">
        <v>8800</v>
      </c>
      <c r="I1341" s="48" t="n">
        <v>7</v>
      </c>
      <c r="J1341" s="48" t="n">
        <v>41800</v>
      </c>
      <c r="K1341" s="47">
        <f t="array" ref="K1341">_xlfn.XLOOKUP(1,(참조!$B$2:$B$15=E1341)*(참조!$D$2:$D$15=C1341)*(참조!$E$2:$E$15=D1341),참조!$C$2:$C$15,"")</f>
        <v/>
      </c>
    </row>
    <row r="1342" hidden="1" s="27">
      <c r="A1342" s="47" t="inlineStr">
        <is>
          <t>U+유모바일</t>
        </is>
      </c>
      <c r="B1342" s="47" t="inlineStr">
        <is>
          <t>[평생할인] 5G 50GB+/통화기본</t>
        </is>
      </c>
      <c r="C1342" s="47" t="inlineStr">
        <is>
          <t>무제한</t>
        </is>
      </c>
      <c r="D1342" s="47" t="inlineStr">
        <is>
          <t>무제한</t>
        </is>
      </c>
      <c r="E1342" s="47" t="inlineStr">
        <is>
          <t>월 50GB + 1Mbps</t>
        </is>
      </c>
      <c r="F1342" s="47" t="inlineStr">
        <is>
          <t>LG U+</t>
        </is>
      </c>
      <c r="G1342" s="47" t="inlineStr">
        <is>
          <t>5G</t>
        </is>
      </c>
      <c r="H1342" s="48" t="n">
        <v>37850</v>
      </c>
      <c r="I1342" s="48" t="n"/>
      <c r="J1342" s="48" t="n"/>
      <c r="K1342" s="47">
        <f t="array" ref="K1342">_xlfn.XLOOKUP(1,(참조!$B$2:$B$15=E1342)*(참조!$D$2:$D$15=C1342)*(참조!$E$2:$E$15=D1342),참조!$C$2:$C$15,"")</f>
        <v/>
      </c>
    </row>
    <row r="1343" hidden="1" s="27">
      <c r="A1343" s="47" t="inlineStr">
        <is>
          <t>이야기모바일</t>
        </is>
      </c>
      <c r="B1343" s="47" t="inlineStr">
        <is>
          <t>이야기 라이트 1GB+</t>
        </is>
      </c>
      <c r="C1343" s="47" t="inlineStr">
        <is>
          <t>무제한</t>
        </is>
      </c>
      <c r="D1343" s="47" t="inlineStr">
        <is>
          <t>무제한</t>
        </is>
      </c>
      <c r="E1343" s="47" t="inlineStr">
        <is>
          <t>월 1GB + 1Mbps</t>
        </is>
      </c>
      <c r="F1343" s="47" t="inlineStr">
        <is>
          <t>LG U+</t>
        </is>
      </c>
      <c r="G1343" s="47" t="inlineStr">
        <is>
          <t>LTE</t>
        </is>
      </c>
      <c r="H1343" s="48" t="n">
        <v>8800</v>
      </c>
      <c r="I1343" s="48" t="n"/>
      <c r="J1343" s="48" t="n"/>
      <c r="K1343" s="47">
        <f t="array" ref="K1343">_xlfn.XLOOKUP(1,(참조!$B$2:$B$15=E1343)*(참조!$D$2:$D$15=C1343)*(참조!$E$2:$E$15=D1343),참조!$C$2:$C$15,"")</f>
        <v/>
      </c>
    </row>
    <row r="1344" hidden="1" s="27">
      <c r="A1344" s="47" t="inlineStr">
        <is>
          <t>아이즈모바일</t>
        </is>
      </c>
      <c r="B1344" s="47" t="inlineStr">
        <is>
          <t>[L]벤티(200분/10GB)</t>
        </is>
      </c>
      <c r="C1344" s="47" t="inlineStr">
        <is>
          <t>200분</t>
        </is>
      </c>
      <c r="D1344" s="47" t="inlineStr">
        <is>
          <t>100건</t>
        </is>
      </c>
      <c r="E1344" s="47" t="inlineStr">
        <is>
          <t>월 10GB</t>
        </is>
      </c>
      <c r="F1344" s="47" t="inlineStr">
        <is>
          <t>LG U+</t>
        </is>
      </c>
      <c r="G1344" s="47" t="inlineStr">
        <is>
          <t>LTE</t>
        </is>
      </c>
      <c r="H1344" s="48" t="n">
        <v>990</v>
      </c>
      <c r="I1344" s="48" t="n">
        <v>7</v>
      </c>
      <c r="J1344" s="48" t="n">
        <v>23200</v>
      </c>
      <c r="K1344" s="47">
        <f t="array" ref="K1344">_xlfn.XLOOKUP(1,(참조!$B$2:$B$15=E1344)*(참조!$D$2:$D$15=C1344)*(참조!$E$2:$E$15=D1344),참조!$C$2:$C$15,"")</f>
        <v/>
      </c>
    </row>
    <row r="1345" hidden="1" s="27">
      <c r="A1345" s="47" t="inlineStr">
        <is>
          <t>모빙</t>
        </is>
      </c>
      <c r="B1345" s="47" t="inlineStr">
        <is>
          <t>[S] 5G 데이터 20GB</t>
        </is>
      </c>
      <c r="C1345" s="47" t="inlineStr">
        <is>
          <t>무제한</t>
        </is>
      </c>
      <c r="D1345" s="47" t="inlineStr">
        <is>
          <t>100건</t>
        </is>
      </c>
      <c r="E1345" s="47" t="inlineStr">
        <is>
          <t>월 20GB</t>
        </is>
      </c>
      <c r="F1345" s="47" t="inlineStr">
        <is>
          <t>SKT</t>
        </is>
      </c>
      <c r="G1345" s="47" t="inlineStr">
        <is>
          <t>5G</t>
        </is>
      </c>
      <c r="H1345" s="48" t="n">
        <v>17000</v>
      </c>
      <c r="I1345" s="48" t="n"/>
      <c r="J1345" s="48" t="n"/>
      <c r="K1345" s="47">
        <f t="array" ref="K1345">_xlfn.XLOOKUP(1,(참조!$B$2:$B$15=E1345)*(참조!$D$2:$D$15=C1345)*(참조!$E$2:$E$15=D1345),참조!$C$2:$C$15,"")</f>
        <v/>
      </c>
    </row>
    <row r="1346" hidden="1" s="27">
      <c r="A1346" s="47" t="inlineStr">
        <is>
          <t>KT스카이라이프</t>
        </is>
      </c>
      <c r="B1346" s="47" t="inlineStr">
        <is>
          <t>모두 충분 일5GB+(왓챠)</t>
        </is>
      </c>
      <c r="C1346" s="47" t="inlineStr">
        <is>
          <t>무제한</t>
        </is>
      </c>
      <c r="D1346" s="47" t="inlineStr">
        <is>
          <t>무제한</t>
        </is>
      </c>
      <c r="E1346" s="47" t="inlineStr">
        <is>
          <t>매일 5GB + 5Mbps</t>
        </is>
      </c>
      <c r="F1346" s="47" t="inlineStr">
        <is>
          <t>KT</t>
        </is>
      </c>
      <c r="G1346" s="47" t="inlineStr">
        <is>
          <t>LTE</t>
        </is>
      </c>
      <c r="H1346" s="48" t="n">
        <v>41100</v>
      </c>
      <c r="I1346" s="48" t="n"/>
      <c r="J1346" s="48" t="n"/>
      <c r="K1346" s="47">
        <f t="array" ref="K1346">_xlfn.XLOOKUP(1,(참조!$B$2:$B$15=E1346)*(참조!$D$2:$D$15=C1346)*(참조!$E$2:$E$15=D1346),참조!$C$2:$C$15,"")</f>
        <v/>
      </c>
    </row>
    <row r="1347" hidden="1" s="27">
      <c r="A1347" s="47" t="inlineStr">
        <is>
          <t>에이모바일</t>
        </is>
      </c>
      <c r="B1347" s="47" t="inlineStr">
        <is>
          <t>A 올라잇 11GB+ 네이버페이</t>
        </is>
      </c>
      <c r="C1347" s="47" t="inlineStr">
        <is>
          <t>무제한</t>
        </is>
      </c>
      <c r="D1347" s="47" t="inlineStr">
        <is>
          <t>무제한</t>
        </is>
      </c>
      <c r="E1347" s="47" t="inlineStr">
        <is>
          <t>월 11GB + 매일 2GB + 3Mbps</t>
        </is>
      </c>
      <c r="F1347" s="47" t="inlineStr">
        <is>
          <t>KT</t>
        </is>
      </c>
      <c r="G1347" s="47" t="inlineStr">
        <is>
          <t>LTE</t>
        </is>
      </c>
      <c r="H1347" s="48" t="n">
        <v>11900</v>
      </c>
      <c r="I1347" s="48" t="n">
        <v>7</v>
      </c>
      <c r="J1347" s="48" t="n">
        <v>42900</v>
      </c>
      <c r="K1347" s="47">
        <f t="array" ref="K1347">_xlfn.XLOOKUP(1,(참조!$B$2:$B$15=E1347)*(참조!$D$2:$D$15=C1347)*(참조!$E$2:$E$15=D1347),참조!$C$2:$C$15,"")</f>
        <v/>
      </c>
    </row>
    <row r="1348" hidden="1" s="27">
      <c r="A1348" s="47" t="inlineStr">
        <is>
          <t>아이즈모바일</t>
        </is>
      </c>
      <c r="B1348" s="47" t="inlineStr">
        <is>
          <t>[L]무한300분/15GB+</t>
        </is>
      </c>
      <c r="C1348" s="47" t="inlineStr">
        <is>
          <t>300분</t>
        </is>
      </c>
      <c r="D1348" s="47" t="inlineStr">
        <is>
          <t>300건</t>
        </is>
      </c>
      <c r="E1348" s="47" t="inlineStr">
        <is>
          <t>월 15GB + 3Mbps</t>
        </is>
      </c>
      <c r="F1348" s="47" t="inlineStr">
        <is>
          <t>LG U+</t>
        </is>
      </c>
      <c r="G1348" s="47" t="inlineStr">
        <is>
          <t>LTE</t>
        </is>
      </c>
      <c r="H1348" s="48" t="n">
        <v>20900</v>
      </c>
      <c r="I1348" s="48" t="n"/>
      <c r="J1348" s="48" t="n"/>
      <c r="K1348" s="47">
        <f t="array" ref="K1348">_xlfn.XLOOKUP(1,(참조!$B$2:$B$15=E1348)*(참조!$D$2:$D$15=C1348)*(참조!$E$2:$E$15=D1348),참조!$C$2:$C$15,"")</f>
        <v/>
      </c>
    </row>
    <row r="1349" hidden="1" s="27">
      <c r="A1349" s="47" t="inlineStr">
        <is>
          <t>U+유모바일</t>
        </is>
      </c>
      <c r="B1349" s="47" t="inlineStr">
        <is>
          <t>[평생할인] 5G 95GB+/통화기본</t>
        </is>
      </c>
      <c r="C1349" s="47" t="inlineStr">
        <is>
          <t>무제한</t>
        </is>
      </c>
      <c r="D1349" s="47" t="inlineStr">
        <is>
          <t>무제한</t>
        </is>
      </c>
      <c r="E1349" s="47" t="inlineStr">
        <is>
          <t>월 95GB + 3Mbps</t>
        </is>
      </c>
      <c r="F1349" s="47" t="inlineStr">
        <is>
          <t>LG U+</t>
        </is>
      </c>
      <c r="G1349" s="47" t="inlineStr">
        <is>
          <t>5G</t>
        </is>
      </c>
      <c r="H1349" s="48" t="n">
        <v>40900</v>
      </c>
      <c r="I1349" s="48" t="n"/>
      <c r="J1349" s="48" t="n"/>
      <c r="K1349" s="47">
        <f t="array" ref="K1349">_xlfn.XLOOKUP(1,(참조!$B$2:$B$15=E1349)*(참조!$D$2:$D$15=C1349)*(참조!$E$2:$E$15=D1349),참조!$C$2:$C$15,"")</f>
        <v/>
      </c>
    </row>
    <row r="1350" hidden="1" s="27">
      <c r="A1350" s="47" t="inlineStr">
        <is>
          <t>이야기모바일</t>
        </is>
      </c>
      <c r="B1350" s="47" t="inlineStr">
        <is>
          <t>5G 함께이야기해S (500분+30GB)</t>
        </is>
      </c>
      <c r="C1350" s="47" t="inlineStr">
        <is>
          <t>500분</t>
        </is>
      </c>
      <c r="D1350" s="47" t="inlineStr">
        <is>
          <t>200건</t>
        </is>
      </c>
      <c r="E1350" s="47" t="inlineStr">
        <is>
          <t>월 30GB</t>
        </is>
      </c>
      <c r="F1350" s="47" t="inlineStr">
        <is>
          <t>SKT</t>
        </is>
      </c>
      <c r="G1350" s="47" t="inlineStr">
        <is>
          <t>5G</t>
        </is>
      </c>
      <c r="H1350" s="48" t="n">
        <v>28600</v>
      </c>
      <c r="I1350" s="48" t="n"/>
      <c r="J1350" s="48" t="n"/>
      <c r="K1350" s="47">
        <f t="array" ref="K1350">_xlfn.XLOOKUP(1,(참조!$B$2:$B$15=E1350)*(참조!$D$2:$D$15=C1350)*(참조!$E$2:$E$15=D1350),참조!$C$2:$C$15,"")</f>
        <v/>
      </c>
    </row>
    <row r="1351" hidden="1" s="27">
      <c r="A1351" s="47" t="inlineStr">
        <is>
          <t>이지모바일</t>
        </is>
      </c>
      <c r="B1351" s="47" t="inlineStr">
        <is>
          <t>EG 무제한 15GB+1(밀리의 서재)</t>
        </is>
      </c>
      <c r="C1351" s="47" t="inlineStr">
        <is>
          <t>무제한</t>
        </is>
      </c>
      <c r="D1351" s="47" t="inlineStr">
        <is>
          <t>무제한</t>
        </is>
      </c>
      <c r="E1351" s="47" t="inlineStr">
        <is>
          <t>월 15GB + 1Mbps</t>
        </is>
      </c>
      <c r="F1351" s="47" t="inlineStr">
        <is>
          <t>KT</t>
        </is>
      </c>
      <c r="G1351" s="47" t="inlineStr">
        <is>
          <t>LTE</t>
        </is>
      </c>
      <c r="H1351" s="48" t="n">
        <v>15950</v>
      </c>
      <c r="I1351" s="48" t="n">
        <v>7</v>
      </c>
      <c r="J1351" s="48" t="n">
        <v>25850</v>
      </c>
      <c r="K1351" s="47">
        <f t="array" ref="K1351">_xlfn.XLOOKUP(1,(참조!$B$2:$B$15=E1351)*(참조!$D$2:$D$15=C1351)*(참조!$E$2:$E$15=D1351),참조!$C$2:$C$15,"")</f>
        <v/>
      </c>
    </row>
    <row r="1352" hidden="1" s="27">
      <c r="A1352" s="47" t="inlineStr">
        <is>
          <t>아이즈모바일</t>
        </is>
      </c>
      <c r="B1352" s="47" t="inlineStr">
        <is>
          <t>[S]이디야 블루 15GB+/300분</t>
        </is>
      </c>
      <c r="C1352" s="47" t="inlineStr">
        <is>
          <t>300분</t>
        </is>
      </c>
      <c r="D1352" s="47" t="inlineStr">
        <is>
          <t>300건</t>
        </is>
      </c>
      <c r="E1352" s="47" t="inlineStr">
        <is>
          <t>월 15GB + 3Mbps</t>
        </is>
      </c>
      <c r="F1352" s="47" t="inlineStr">
        <is>
          <t>SKT</t>
        </is>
      </c>
      <c r="G1352" s="47" t="inlineStr">
        <is>
          <t>LTE</t>
        </is>
      </c>
      <c r="H1352" s="48" t="n">
        <v>8900</v>
      </c>
      <c r="I1352" s="48" t="n">
        <v>7</v>
      </c>
      <c r="J1352" s="48" t="n">
        <v>41800</v>
      </c>
      <c r="K1352" s="47">
        <f t="array" ref="K1352">_xlfn.XLOOKUP(1,(참조!$B$2:$B$15=E1352)*(참조!$D$2:$D$15=C1352)*(참조!$E$2:$E$15=D1352),참조!$C$2:$C$15,"")</f>
        <v/>
      </c>
    </row>
    <row r="1353" hidden="1" s="27">
      <c r="A1353" s="47" t="inlineStr">
        <is>
          <t>에이모바일</t>
        </is>
      </c>
      <c r="B1353" s="47" t="inlineStr">
        <is>
          <t>A 갓성비 10GB/100분 6</t>
        </is>
      </c>
      <c r="C1353" s="47" t="inlineStr">
        <is>
          <t>100분</t>
        </is>
      </c>
      <c r="D1353" s="47" t="inlineStr">
        <is>
          <t>100건</t>
        </is>
      </c>
      <c r="E1353" s="47" t="inlineStr">
        <is>
          <t>월 10GB</t>
        </is>
      </c>
      <c r="F1353" s="47" t="inlineStr">
        <is>
          <t>LG U+</t>
        </is>
      </c>
      <c r="G1353" s="47" t="inlineStr">
        <is>
          <t>LTE</t>
        </is>
      </c>
      <c r="H1353" s="48" t="n">
        <v>110</v>
      </c>
      <c r="I1353" s="48" t="n">
        <v>6</v>
      </c>
      <c r="J1353" s="48" t="n">
        <v>13200</v>
      </c>
      <c r="K1353" s="47">
        <f t="array" ref="K1353">_xlfn.XLOOKUP(1,(참조!$B$2:$B$15=E1353)*(참조!$D$2:$D$15=C1353)*(참조!$E$2:$E$15=D1353),참조!$C$2:$C$15,"")</f>
        <v/>
      </c>
    </row>
    <row r="1354" hidden="1" s="27">
      <c r="A1354" s="47" t="inlineStr">
        <is>
          <t>스마텔</t>
        </is>
      </c>
      <c r="B1354" s="47" t="inlineStr">
        <is>
          <t>5G 심플(300분+5GB)</t>
        </is>
      </c>
      <c r="C1354" s="47" t="inlineStr">
        <is>
          <t>300분</t>
        </is>
      </c>
      <c r="D1354" s="47" t="inlineStr">
        <is>
          <t>100건</t>
        </is>
      </c>
      <c r="E1354" s="47" t="inlineStr">
        <is>
          <t>월 5GB</t>
        </is>
      </c>
      <c r="F1354" s="47" t="inlineStr">
        <is>
          <t>LG U+</t>
        </is>
      </c>
      <c r="G1354" s="47" t="inlineStr">
        <is>
          <t>5G</t>
        </is>
      </c>
      <c r="H1354" s="48" t="n">
        <v>2600</v>
      </c>
      <c r="I1354" s="48" t="n">
        <v>7</v>
      </c>
      <c r="J1354" s="48" t="n">
        <v>15400</v>
      </c>
      <c r="K1354" s="47">
        <f t="array" ref="K1354">_xlfn.XLOOKUP(1,(참조!$B$2:$B$15=E1354)*(참조!$D$2:$D$15=C1354)*(참조!$E$2:$E$15=D1354),참조!$C$2:$C$15,"")</f>
        <v/>
      </c>
    </row>
    <row r="1355" hidden="1" s="27">
      <c r="A1355" s="47" t="inlineStr">
        <is>
          <t>이지모바일</t>
        </is>
      </c>
      <c r="B1355" s="47" t="inlineStr">
        <is>
          <t>EG 무제한 11G+3(매월 배민5000P)</t>
        </is>
      </c>
      <c r="C1355" s="47" t="inlineStr">
        <is>
          <t>무제한</t>
        </is>
      </c>
      <c r="D1355" s="47" t="inlineStr">
        <is>
          <t>무제한</t>
        </is>
      </c>
      <c r="E1355" s="47" t="inlineStr">
        <is>
          <t>월 11GB + 매일 2GB + 3Mbps</t>
        </is>
      </c>
      <c r="F1355" s="47" t="inlineStr">
        <is>
          <t>KT</t>
        </is>
      </c>
      <c r="G1355" s="47" t="inlineStr">
        <is>
          <t>LTE</t>
        </is>
      </c>
      <c r="H1355" s="48" t="n">
        <v>21000</v>
      </c>
      <c r="I1355" s="48" t="n">
        <v>7</v>
      </c>
      <c r="J1355" s="48" t="n">
        <v>41250</v>
      </c>
      <c r="K1355" s="47">
        <f t="array" ref="K1355">_xlfn.XLOOKUP(1,(참조!$B$2:$B$15=E1355)*(참조!$D$2:$D$15=C1355)*(참조!$E$2:$E$15=D1355),참조!$C$2:$C$15,"")</f>
        <v/>
      </c>
    </row>
    <row r="1356" hidden="1" s="27">
      <c r="A1356" s="47" t="inlineStr">
        <is>
          <t>이지모바일</t>
        </is>
      </c>
      <c r="B1356" s="47" t="inlineStr">
        <is>
          <t>EG 무제한 11GB+3(올영5000원)</t>
        </is>
      </c>
      <c r="C1356" s="47" t="inlineStr">
        <is>
          <t>무제한</t>
        </is>
      </c>
      <c r="D1356" s="47" t="inlineStr">
        <is>
          <t>무제한</t>
        </is>
      </c>
      <c r="E1356" s="47" t="inlineStr">
        <is>
          <t>월 11GB + 매일 2GB + 3Mbps</t>
        </is>
      </c>
      <c r="F1356" s="47" t="inlineStr">
        <is>
          <t>KT</t>
        </is>
      </c>
      <c r="G1356" s="47" t="inlineStr">
        <is>
          <t>LTE</t>
        </is>
      </c>
      <c r="H1356" s="48" t="n">
        <v>21000</v>
      </c>
      <c r="I1356" s="48" t="n">
        <v>7</v>
      </c>
      <c r="J1356" s="48" t="n">
        <v>41800</v>
      </c>
      <c r="K1356" s="47">
        <f t="array" ref="K1356">_xlfn.XLOOKUP(1,(참조!$B$2:$B$15=E1356)*(참조!$D$2:$D$15=C1356)*(참조!$E$2:$E$15=D1356),참조!$C$2:$C$15,"")</f>
        <v/>
      </c>
    </row>
    <row r="1357" hidden="1" s="27">
      <c r="A1357" s="47" t="inlineStr">
        <is>
          <t>스마텔</t>
        </is>
      </c>
      <c r="B1357" s="47" t="inlineStr">
        <is>
          <t>후후 플러스 (200분+1GB)</t>
        </is>
      </c>
      <c r="C1357" s="47" t="inlineStr">
        <is>
          <t>200분</t>
        </is>
      </c>
      <c r="D1357" s="47" t="inlineStr">
        <is>
          <t>100건</t>
        </is>
      </c>
      <c r="E1357" s="47" t="inlineStr">
        <is>
          <t>월 1GB</t>
        </is>
      </c>
      <c r="F1357" s="47" t="inlineStr">
        <is>
          <t>SKT</t>
        </is>
      </c>
      <c r="G1357" s="47" t="inlineStr">
        <is>
          <t>LTE</t>
        </is>
      </c>
      <c r="H1357" s="48" t="n">
        <v>2150</v>
      </c>
      <c r="I1357" s="48" t="n">
        <v>5</v>
      </c>
      <c r="J1357" s="48" t="n">
        <v>6330</v>
      </c>
      <c r="K1357" s="47">
        <f t="array" ref="K1357">_xlfn.XLOOKUP(1,(참조!$B$2:$B$15=E1357)*(참조!$D$2:$D$15=C1357)*(참조!$E$2:$E$15=D1357),참조!$C$2:$C$15,"")</f>
        <v/>
      </c>
    </row>
    <row r="1358" hidden="1" s="27">
      <c r="A1358" s="47" t="inlineStr">
        <is>
          <t>핀다이렉트</t>
        </is>
      </c>
      <c r="B1358" s="47" t="inlineStr">
        <is>
          <t>[모요only] [S] 핀다이렉트Z Mini _PIN</t>
        </is>
      </c>
      <c r="C1358" s="47" t="inlineStr">
        <is>
          <t>무제한</t>
        </is>
      </c>
      <c r="D1358" s="47" t="inlineStr">
        <is>
          <t>무제한</t>
        </is>
      </c>
      <c r="E1358" s="47" t="inlineStr">
        <is>
          <t>월 7GB + 1Mbps</t>
        </is>
      </c>
      <c r="F1358" s="47" t="inlineStr">
        <is>
          <t>SKT</t>
        </is>
      </c>
      <c r="G1358" s="47" t="inlineStr">
        <is>
          <t>LTE</t>
        </is>
      </c>
      <c r="H1358" s="48" t="n">
        <v>7000</v>
      </c>
      <c r="I1358" s="48" t="n">
        <v>7</v>
      </c>
      <c r="J1358" s="48" t="n">
        <v>22000</v>
      </c>
      <c r="K1358" s="47">
        <f t="array" ref="K1358">_xlfn.XLOOKUP(1,(참조!$B$2:$B$15=E1358)*(참조!$D$2:$D$15=C1358)*(참조!$E$2:$E$15=D1358),참조!$C$2:$C$15,"")</f>
        <v/>
      </c>
    </row>
    <row r="1359" hidden="1" s="27">
      <c r="A1359" s="47" t="inlineStr">
        <is>
          <t>스마텔</t>
        </is>
      </c>
      <c r="B1359" s="47" t="inlineStr">
        <is>
          <t>USIM스마트 심플(200분 + 1GB)</t>
        </is>
      </c>
      <c r="C1359" s="47" t="inlineStr">
        <is>
          <t>200분</t>
        </is>
      </c>
      <c r="D1359" s="47" t="inlineStr">
        <is>
          <t>100건</t>
        </is>
      </c>
      <c r="E1359" s="47" t="inlineStr">
        <is>
          <t>월 1GB</t>
        </is>
      </c>
      <c r="F1359" s="47" t="inlineStr">
        <is>
          <t>LG U+</t>
        </is>
      </c>
      <c r="G1359" s="47" t="inlineStr">
        <is>
          <t>LTE</t>
        </is>
      </c>
      <c r="H1359" s="48" t="n">
        <v>1900</v>
      </c>
      <c r="I1359" s="48" t="n">
        <v>6</v>
      </c>
      <c r="J1359" s="48" t="n">
        <v>5500</v>
      </c>
      <c r="K1359" s="47">
        <f t="array" ref="K1359">_xlfn.XLOOKUP(1,(참조!$B$2:$B$15=E1359)*(참조!$D$2:$D$15=C1359)*(참조!$E$2:$E$15=D1359),참조!$C$2:$C$15,"")</f>
        <v/>
      </c>
    </row>
    <row r="1360" hidden="1" s="27">
      <c r="A1360" s="47" t="inlineStr">
        <is>
          <t>아이즈모바일</t>
        </is>
      </c>
      <c r="B1360" s="47" t="inlineStr">
        <is>
          <t>[K]CU&amp;롯시 300분/15GB+</t>
        </is>
      </c>
      <c r="C1360" s="47" t="inlineStr">
        <is>
          <t>300분</t>
        </is>
      </c>
      <c r="D1360" s="47" t="inlineStr">
        <is>
          <t>300건</t>
        </is>
      </c>
      <c r="E1360" s="47" t="inlineStr">
        <is>
          <t>월 15GB + 3Mbps</t>
        </is>
      </c>
      <c r="F1360" s="47" t="inlineStr">
        <is>
          <t>KT</t>
        </is>
      </c>
      <c r="G1360" s="47" t="inlineStr">
        <is>
          <t>LTE</t>
        </is>
      </c>
      <c r="H1360" s="48" t="n">
        <v>11900</v>
      </c>
      <c r="I1360" s="48" t="n">
        <v>7</v>
      </c>
      <c r="J1360" s="48" t="n">
        <v>41800</v>
      </c>
      <c r="K1360" s="47">
        <f t="array" ref="K1360">_xlfn.XLOOKUP(1,(참조!$B$2:$B$15=E1360)*(참조!$D$2:$D$15=C1360)*(참조!$E$2:$E$15=D1360),참조!$C$2:$C$15,"")</f>
        <v/>
      </c>
    </row>
    <row r="1361" hidden="1" s="27">
      <c r="A1361" s="47" t="inlineStr">
        <is>
          <t>KT엠모바일</t>
        </is>
      </c>
      <c r="B1361" s="47" t="inlineStr">
        <is>
          <t>모두다 맘껏 10GB+(CU 20%할인)</t>
        </is>
      </c>
      <c r="C1361" s="47" t="inlineStr">
        <is>
          <t>무제한</t>
        </is>
      </c>
      <c r="D1361" s="47" t="inlineStr">
        <is>
          <t>무제한</t>
        </is>
      </c>
      <c r="E1361" s="47" t="inlineStr">
        <is>
          <t>월 10GB + 1Mbps</t>
        </is>
      </c>
      <c r="F1361" s="47" t="inlineStr">
        <is>
          <t>KT</t>
        </is>
      </c>
      <c r="G1361" s="47" t="inlineStr">
        <is>
          <t>LTE</t>
        </is>
      </c>
      <c r="H1361" s="48" t="n">
        <v>19400</v>
      </c>
      <c r="I1361" s="48" t="n"/>
      <c r="J1361" s="48" t="n"/>
      <c r="K1361" s="47">
        <f t="array" ref="K1361">_xlfn.XLOOKUP(1,(참조!$B$2:$B$15=E1361)*(참조!$D$2:$D$15=C1361)*(참조!$E$2:$E$15=D1361),참조!$C$2:$C$15,"")</f>
        <v/>
      </c>
    </row>
    <row r="1362" hidden="1" s="27">
      <c r="A1362" s="47" t="inlineStr">
        <is>
          <t>스마텔</t>
        </is>
      </c>
      <c r="B1362" s="47" t="inlineStr">
        <is>
          <t>스위트 7GB+ (+10GB 24개월간 추가 제공)</t>
        </is>
      </c>
      <c r="C1362" s="47" t="inlineStr">
        <is>
          <t>무제한</t>
        </is>
      </c>
      <c r="D1362" s="47" t="inlineStr">
        <is>
          <t>무제한</t>
        </is>
      </c>
      <c r="E1362" s="47" t="inlineStr">
        <is>
          <t>월 7GB + 1Mbps</t>
        </is>
      </c>
      <c r="F1362" s="47" t="inlineStr">
        <is>
          <t>KT</t>
        </is>
      </c>
      <c r="G1362" s="47" t="inlineStr">
        <is>
          <t>LTE</t>
        </is>
      </c>
      <c r="H1362" s="48" t="n">
        <v>18700</v>
      </c>
      <c r="I1362" s="48" t="n">
        <v>36</v>
      </c>
      <c r="J1362" s="48" t="n">
        <v>24200</v>
      </c>
      <c r="K1362" s="47">
        <f t="array" ref="K1362">_xlfn.XLOOKUP(1,(참조!$B$2:$B$15=E1362)*(참조!$D$2:$D$15=C1362)*(참조!$E$2:$E$15=D1362),참조!$C$2:$C$15,"")</f>
        <v/>
      </c>
    </row>
    <row r="1363" hidden="1" s="27">
      <c r="A1363" s="47" t="inlineStr">
        <is>
          <t>스마텔</t>
        </is>
      </c>
      <c r="B1363" s="47" t="inlineStr">
        <is>
          <t>스위트 11GB+(지니뮤직)</t>
        </is>
      </c>
      <c r="C1363" s="47" t="inlineStr">
        <is>
          <t>무제한</t>
        </is>
      </c>
      <c r="D1363" s="47" t="inlineStr">
        <is>
          <t>무제한</t>
        </is>
      </c>
      <c r="E1363" s="47" t="inlineStr">
        <is>
          <t>월 11GB + 매일 2GB + 3Mbps</t>
        </is>
      </c>
      <c r="F1363" s="47" t="inlineStr">
        <is>
          <t>KT</t>
        </is>
      </c>
      <c r="G1363" s="47" t="inlineStr">
        <is>
          <t>LTE</t>
        </is>
      </c>
      <c r="H1363" s="48" t="n">
        <v>38500</v>
      </c>
      <c r="I1363" s="48" t="n">
        <v>36</v>
      </c>
      <c r="J1363" s="48" t="n">
        <v>44000</v>
      </c>
      <c r="K1363" s="47">
        <f t="array" ref="K1363">_xlfn.XLOOKUP(1,(참조!$B$2:$B$15=E1363)*(참조!$D$2:$D$15=C1363)*(참조!$E$2:$E$15=D1363),참조!$C$2:$C$15,"")</f>
        <v/>
      </c>
    </row>
    <row r="1364" hidden="1" s="27">
      <c r="A1364" s="47" t="inlineStr">
        <is>
          <t>스마텔</t>
        </is>
      </c>
      <c r="B1364" s="47" t="inlineStr">
        <is>
          <t>스위트 11GB+(네이버페이)</t>
        </is>
      </c>
      <c r="C1364" s="47" t="inlineStr">
        <is>
          <t>무제한</t>
        </is>
      </c>
      <c r="D1364" s="47" t="inlineStr">
        <is>
          <t>무제한</t>
        </is>
      </c>
      <c r="E1364" s="47" t="inlineStr">
        <is>
          <t>월 11GB + 매일 2GB + 3Mbps</t>
        </is>
      </c>
      <c r="F1364" s="47" t="inlineStr">
        <is>
          <t>KT</t>
        </is>
      </c>
      <c r="G1364" s="47" t="inlineStr">
        <is>
          <t>LTE</t>
        </is>
      </c>
      <c r="H1364" s="48" t="n">
        <v>38500</v>
      </c>
      <c r="I1364" s="48" t="n">
        <v>36</v>
      </c>
      <c r="J1364" s="48" t="n">
        <v>44000</v>
      </c>
      <c r="K1364" s="47">
        <f t="array" ref="K1364">_xlfn.XLOOKUP(1,(참조!$B$2:$B$15=E1364)*(참조!$D$2:$D$15=C1364)*(참조!$E$2:$E$15=D1364),참조!$C$2:$C$15,"")</f>
        <v/>
      </c>
    </row>
    <row r="1365" hidden="1" s="27">
      <c r="A1365" s="47" t="inlineStr">
        <is>
          <t>에이모바일</t>
        </is>
      </c>
      <c r="B1365" s="47" t="inlineStr">
        <is>
          <t>A 스페셜 15GB+ (24개월)</t>
        </is>
      </c>
      <c r="C1365" s="47" t="inlineStr">
        <is>
          <t>무제한</t>
        </is>
      </c>
      <c r="D1365" s="47" t="inlineStr">
        <is>
          <t>무제한</t>
        </is>
      </c>
      <c r="E1365" s="47" t="inlineStr">
        <is>
          <t>월 15GB + 1Mbps</t>
        </is>
      </c>
      <c r="F1365" s="47" t="inlineStr">
        <is>
          <t>LG U+</t>
        </is>
      </c>
      <c r="G1365" s="47" t="inlineStr">
        <is>
          <t>LTE</t>
        </is>
      </c>
      <c r="H1365" s="48" t="n">
        <v>20020</v>
      </c>
      <c r="I1365" s="48" t="n">
        <v>24</v>
      </c>
      <c r="J1365" s="48" t="n">
        <v>28600</v>
      </c>
      <c r="K1365" s="47">
        <f t="array" ref="K1365">_xlfn.XLOOKUP(1,(참조!$B$2:$B$15=E1365)*(참조!$D$2:$D$15=C1365)*(참조!$E$2:$E$15=D1365),참조!$C$2:$C$15,"")</f>
        <v/>
      </c>
    </row>
    <row r="1366" hidden="1" s="27">
      <c r="A1366" s="47" t="inlineStr">
        <is>
          <t>아이즈모바일</t>
        </is>
      </c>
      <c r="B1366" s="47" t="inlineStr">
        <is>
          <t>[S]음성자유/7GB</t>
        </is>
      </c>
      <c r="C1366" s="47" t="inlineStr">
        <is>
          <t>무제한</t>
        </is>
      </c>
      <c r="D1366" s="47" t="inlineStr">
        <is>
          <t>100건</t>
        </is>
      </c>
      <c r="E1366" s="47" t="inlineStr">
        <is>
          <t>월 7GB</t>
        </is>
      </c>
      <c r="F1366" s="47" t="inlineStr">
        <is>
          <t>SKT</t>
        </is>
      </c>
      <c r="G1366" s="47" t="inlineStr">
        <is>
          <t>LTE</t>
        </is>
      </c>
      <c r="H1366" s="48" t="n">
        <v>1550</v>
      </c>
      <c r="I1366" s="48" t="n">
        <v>7</v>
      </c>
      <c r="J1366" s="48" t="n">
        <v>25300</v>
      </c>
      <c r="K1366" s="47">
        <f t="array" ref="K1366">_xlfn.XLOOKUP(1,(참조!$B$2:$B$15=E1366)*(참조!$D$2:$D$15=C1366)*(참조!$E$2:$E$15=D1366),참조!$C$2:$C$15,"")</f>
        <v/>
      </c>
    </row>
    <row r="1367" hidden="1" s="27">
      <c r="A1367" s="47" t="inlineStr">
        <is>
          <t>스마텔</t>
        </is>
      </c>
      <c r="B1367" s="47" t="inlineStr">
        <is>
          <t>스위트 11GB+(멜론)</t>
        </is>
      </c>
      <c r="C1367" s="47" t="inlineStr">
        <is>
          <t>무제한</t>
        </is>
      </c>
      <c r="D1367" s="47" t="inlineStr">
        <is>
          <t>무제한</t>
        </is>
      </c>
      <c r="E1367" s="47" t="inlineStr">
        <is>
          <t>월 11GB + 매일 2GB + 3Mbps</t>
        </is>
      </c>
      <c r="F1367" s="47" t="inlineStr">
        <is>
          <t>KT</t>
        </is>
      </c>
      <c r="G1367" s="47" t="inlineStr">
        <is>
          <t>LTE</t>
        </is>
      </c>
      <c r="H1367" s="48" t="n">
        <v>38500</v>
      </c>
      <c r="I1367" s="48" t="n">
        <v>36</v>
      </c>
      <c r="J1367" s="48" t="n">
        <v>44000</v>
      </c>
      <c r="K1367" s="47">
        <f t="array" ref="K1367">_xlfn.XLOOKUP(1,(참조!$B$2:$B$15=E1367)*(참조!$D$2:$D$15=C1367)*(참조!$E$2:$E$15=D1367),참조!$C$2:$C$15,"")</f>
        <v/>
      </c>
    </row>
    <row r="1368" hidden="1" s="27">
      <c r="A1368" s="47" t="inlineStr">
        <is>
          <t>스마텔</t>
        </is>
      </c>
      <c r="B1368" s="47" t="inlineStr">
        <is>
          <t>스위트 11GB+(왓챠)</t>
        </is>
      </c>
      <c r="C1368" s="47" t="inlineStr">
        <is>
          <t>무제한</t>
        </is>
      </c>
      <c r="D1368" s="47" t="inlineStr">
        <is>
          <t>무제한</t>
        </is>
      </c>
      <c r="E1368" s="47" t="inlineStr">
        <is>
          <t>월 11GB + 매일 2GB + 3Mbps</t>
        </is>
      </c>
      <c r="F1368" s="47" t="inlineStr">
        <is>
          <t>KT</t>
        </is>
      </c>
      <c r="G1368" s="47" t="inlineStr">
        <is>
          <t>LTE</t>
        </is>
      </c>
      <c r="H1368" s="48" t="n">
        <v>38500</v>
      </c>
      <c r="I1368" s="48" t="n">
        <v>36</v>
      </c>
      <c r="J1368" s="48" t="n">
        <v>44000</v>
      </c>
      <c r="K1368" s="47">
        <f t="array" ref="K1368">_xlfn.XLOOKUP(1,(참조!$B$2:$B$15=E1368)*(참조!$D$2:$D$15=C1368)*(참조!$E$2:$E$15=D1368),참조!$C$2:$C$15,"")</f>
        <v/>
      </c>
    </row>
    <row r="1369" hidden="1" s="27">
      <c r="A1369" s="47" t="inlineStr">
        <is>
          <t>이지모바일</t>
        </is>
      </c>
      <c r="B1369" s="47" t="inlineStr">
        <is>
          <t>EG CU 데이터 15G+3/100분(CU할인)</t>
        </is>
      </c>
      <c r="C1369" s="47" t="inlineStr">
        <is>
          <t>100분</t>
        </is>
      </c>
      <c r="D1369" s="47" t="inlineStr">
        <is>
          <t>100건</t>
        </is>
      </c>
      <c r="E1369" s="47" t="inlineStr">
        <is>
          <t>월 15GB + 3Mbps</t>
        </is>
      </c>
      <c r="F1369" s="47" t="inlineStr">
        <is>
          <t>KT</t>
        </is>
      </c>
      <c r="G1369" s="47" t="inlineStr">
        <is>
          <t>LTE</t>
        </is>
      </c>
      <c r="H1369" s="48" t="n">
        <v>16900</v>
      </c>
      <c r="I1369" s="48" t="n">
        <v>7</v>
      </c>
      <c r="J1369" s="48" t="n">
        <v>29700</v>
      </c>
      <c r="K1369" s="47">
        <f t="array" ref="K1369">_xlfn.XLOOKUP(1,(참조!$B$2:$B$15=E1369)*(참조!$D$2:$D$15=C1369)*(참조!$E$2:$E$15=D1369),참조!$C$2:$C$15,"")</f>
        <v/>
      </c>
    </row>
    <row r="1370" hidden="1" s="27">
      <c r="A1370" s="47" t="inlineStr">
        <is>
          <t>고고모바일</t>
        </is>
      </c>
      <c r="B1370" s="47" t="inlineStr">
        <is>
          <t>[모요only] 5G 무제한 50GB+1Mbps</t>
        </is>
      </c>
      <c r="C1370" s="47" t="inlineStr">
        <is>
          <t>무제한</t>
        </is>
      </c>
      <c r="D1370" s="47" t="inlineStr">
        <is>
          <t>무제한</t>
        </is>
      </c>
      <c r="E1370" s="47" t="inlineStr">
        <is>
          <t>월 50GB + 1Mbps</t>
        </is>
      </c>
      <c r="F1370" s="47" t="inlineStr">
        <is>
          <t>KT</t>
        </is>
      </c>
      <c r="G1370" s="47" t="inlineStr">
        <is>
          <t>5G</t>
        </is>
      </c>
      <c r="H1370" s="48" t="n">
        <v>30000</v>
      </c>
      <c r="I1370" s="48" t="n">
        <v>12</v>
      </c>
      <c r="J1370" s="48" t="n">
        <v>41580</v>
      </c>
      <c r="K1370" s="47">
        <f t="array" ref="K1370">_xlfn.XLOOKUP(1,(참조!$B$2:$B$15=E1370)*(참조!$D$2:$D$15=C1370)*(참조!$E$2:$E$15=D1370),참조!$C$2:$C$15,"")</f>
        <v/>
      </c>
    </row>
    <row r="1371" hidden="1" s="27">
      <c r="A1371" s="47" t="inlineStr">
        <is>
          <t>인스모바일</t>
        </is>
      </c>
      <c r="B1371" s="47" t="inlineStr">
        <is>
          <t>실속 150분+2GB(USIM)</t>
        </is>
      </c>
      <c r="C1371" s="47" t="inlineStr">
        <is>
          <t>150분</t>
        </is>
      </c>
      <c r="D1371" s="47" t="inlineStr">
        <is>
          <t>50건</t>
        </is>
      </c>
      <c r="E1371" s="47" t="inlineStr">
        <is>
          <t>월 2GB</t>
        </is>
      </c>
      <c r="F1371" s="47" t="inlineStr">
        <is>
          <t>LG U+</t>
        </is>
      </c>
      <c r="G1371" s="47" t="inlineStr">
        <is>
          <t>LTE</t>
        </is>
      </c>
      <c r="H1371" s="48" t="n">
        <v>1650</v>
      </c>
      <c r="I1371" s="48" t="n">
        <v>6</v>
      </c>
      <c r="J1371" s="48" t="n">
        <v>11000</v>
      </c>
      <c r="K1371" s="47">
        <f t="array" ref="K1371">_xlfn.XLOOKUP(1,(참조!$B$2:$B$15=E1371)*(참조!$D$2:$D$15=C1371)*(참조!$E$2:$E$15=D1371),참조!$C$2:$C$15,"")</f>
        <v/>
      </c>
    </row>
    <row r="1372" hidden="1" s="27">
      <c r="A1372" s="47" t="inlineStr">
        <is>
          <t>인스모바일</t>
        </is>
      </c>
      <c r="B1372" s="47" t="inlineStr">
        <is>
          <t>[평생할인] 올프리 5GB+(USIM)</t>
        </is>
      </c>
      <c r="C1372" s="47" t="inlineStr">
        <is>
          <t>무제한</t>
        </is>
      </c>
      <c r="D1372" s="47" t="inlineStr">
        <is>
          <t>무제한</t>
        </is>
      </c>
      <c r="E1372" s="47" t="inlineStr">
        <is>
          <t>월 5GB + 1Mbps</t>
        </is>
      </c>
      <c r="F1372" s="47" t="inlineStr">
        <is>
          <t>LG U+</t>
        </is>
      </c>
      <c r="G1372" s="47" t="inlineStr">
        <is>
          <t>LTE</t>
        </is>
      </c>
      <c r="H1372" s="48" t="n">
        <v>9680</v>
      </c>
      <c r="I1372" s="48" t="n"/>
      <c r="J1372" s="48" t="n"/>
      <c r="K1372" s="47">
        <f t="array" ref="K1372">_xlfn.XLOOKUP(1,(참조!$B$2:$B$15=E1372)*(참조!$D$2:$D$15=C1372)*(참조!$E$2:$E$15=D1372),참조!$C$2:$C$15,"")</f>
        <v/>
      </c>
    </row>
    <row r="1373" hidden="1" s="27">
      <c r="A1373" s="47" t="inlineStr">
        <is>
          <t>KG모바일</t>
        </is>
      </c>
      <c r="B1373" s="47" t="inlineStr">
        <is>
          <t>[KG모바일 스페셜] 통화, 데이터 마음대로 7GB+</t>
        </is>
      </c>
      <c r="C1373" s="47" t="inlineStr">
        <is>
          <t>무제한</t>
        </is>
      </c>
      <c r="D1373" s="47" t="inlineStr">
        <is>
          <t>무제한</t>
        </is>
      </c>
      <c r="E1373" s="47" t="inlineStr">
        <is>
          <t>월 7GB + 1Mbps</t>
        </is>
      </c>
      <c r="F1373" s="47" t="inlineStr">
        <is>
          <t>LG U+</t>
        </is>
      </c>
      <c r="G1373" s="47" t="inlineStr">
        <is>
          <t>LTE</t>
        </is>
      </c>
      <c r="H1373" s="48" t="n">
        <v>7000</v>
      </c>
      <c r="I1373" s="48" t="n">
        <v>7</v>
      </c>
      <c r="J1373" s="48" t="n">
        <v>24200</v>
      </c>
      <c r="K1373" s="47">
        <f t="array" ref="K1373">_xlfn.XLOOKUP(1,(참조!$B$2:$B$15=E1373)*(참조!$D$2:$D$15=C1373)*(참조!$E$2:$E$15=D1373),참조!$C$2:$C$15,"")</f>
        <v/>
      </c>
    </row>
    <row r="1374" hidden="1" s="27">
      <c r="A1374" s="47" t="inlineStr">
        <is>
          <t>KT스카이라이프</t>
        </is>
      </c>
      <c r="B1374" s="47" t="inlineStr">
        <is>
          <t>5G 모두 충분 110GB+</t>
        </is>
      </c>
      <c r="C1374" s="47" t="inlineStr">
        <is>
          <t>무제한</t>
        </is>
      </c>
      <c r="D1374" s="47" t="inlineStr">
        <is>
          <t>무제한</t>
        </is>
      </c>
      <c r="E1374" s="47" t="inlineStr">
        <is>
          <t>월 110GB + 5Mbps</t>
        </is>
      </c>
      <c r="F1374" s="47" t="inlineStr">
        <is>
          <t>KT</t>
        </is>
      </c>
      <c r="G1374" s="47" t="inlineStr">
        <is>
          <t>5G</t>
        </is>
      </c>
      <c r="H1374" s="48" t="n">
        <v>42800</v>
      </c>
      <c r="I1374" s="48" t="n"/>
      <c r="J1374" s="48" t="n"/>
      <c r="K1374" s="47">
        <f t="array" ref="K1374">_xlfn.XLOOKUP(1,(참조!$B$2:$B$15=E1374)*(참조!$D$2:$D$15=C1374)*(참조!$E$2:$E$15=D1374),참조!$C$2:$C$15,"")</f>
        <v/>
      </c>
    </row>
    <row r="1375" hidden="1" s="27">
      <c r="A1375" s="47" t="inlineStr">
        <is>
          <t>모빙</t>
        </is>
      </c>
      <c r="B1375" s="47" t="inlineStr">
        <is>
          <t>실속 100분5GB+</t>
        </is>
      </c>
      <c r="C1375" s="47" t="inlineStr">
        <is>
          <t>100분</t>
        </is>
      </c>
      <c r="D1375" s="47" t="inlineStr">
        <is>
          <t>100건</t>
        </is>
      </c>
      <c r="E1375" s="47" t="inlineStr">
        <is>
          <t>월 5GB + 1Mbps</t>
        </is>
      </c>
      <c r="F1375" s="47" t="inlineStr">
        <is>
          <t>LG U+</t>
        </is>
      </c>
      <c r="G1375" s="47" t="inlineStr">
        <is>
          <t>LTE</t>
        </is>
      </c>
      <c r="H1375" s="48" t="n">
        <v>4400</v>
      </c>
      <c r="I1375" s="48" t="n">
        <v>24</v>
      </c>
      <c r="J1375" s="48" t="n">
        <v>14000</v>
      </c>
      <c r="K1375" s="47">
        <f t="array" ref="K1375">_xlfn.XLOOKUP(1,(참조!$B$2:$B$15=E1375)*(참조!$D$2:$D$15=C1375)*(참조!$E$2:$E$15=D1375),참조!$C$2:$C$15,"")</f>
        <v/>
      </c>
    </row>
    <row r="1376" hidden="1" s="27">
      <c r="A1376" s="47" t="inlineStr">
        <is>
          <t>스마텔</t>
        </is>
      </c>
      <c r="B1376" s="47" t="inlineStr">
        <is>
          <t>USIM 심플 (100분 + 3GB)</t>
        </is>
      </c>
      <c r="C1376" s="47" t="inlineStr">
        <is>
          <t>100분</t>
        </is>
      </c>
      <c r="D1376" s="47" t="inlineStr">
        <is>
          <t>100건</t>
        </is>
      </c>
      <c r="E1376" s="47" t="inlineStr">
        <is>
          <t>월 3GB</t>
        </is>
      </c>
      <c r="F1376" s="47" t="inlineStr">
        <is>
          <t>LG U+</t>
        </is>
      </c>
      <c r="G1376" s="47" t="inlineStr">
        <is>
          <t>LTE</t>
        </is>
      </c>
      <c r="H1376" s="48" t="n">
        <v>1900</v>
      </c>
      <c r="I1376" s="48" t="n">
        <v>6</v>
      </c>
      <c r="J1376" s="48" t="n">
        <v>5500</v>
      </c>
      <c r="K1376" s="47">
        <f t="array" ref="K1376">_xlfn.XLOOKUP(1,(참조!$B$2:$B$15=E1376)*(참조!$D$2:$D$15=C1376)*(참조!$E$2:$E$15=D1376),참조!$C$2:$C$15,"")</f>
        <v/>
      </c>
    </row>
    <row r="1377" hidden="1" s="27">
      <c r="A1377" s="47" t="inlineStr">
        <is>
          <t>스마텔</t>
        </is>
      </c>
      <c r="B1377" s="47" t="inlineStr">
        <is>
          <t>USIM 심플 (100분+2.2GB)</t>
        </is>
      </c>
      <c r="C1377" s="47" t="inlineStr">
        <is>
          <t>100분</t>
        </is>
      </c>
      <c r="D1377" s="47" t="inlineStr">
        <is>
          <t>100건</t>
        </is>
      </c>
      <c r="E1377" s="47" t="inlineStr">
        <is>
          <t>월 2.2GB</t>
        </is>
      </c>
      <c r="F1377" s="47" t="inlineStr">
        <is>
          <t>LG U+</t>
        </is>
      </c>
      <c r="G1377" s="47" t="inlineStr">
        <is>
          <t>LTE</t>
        </is>
      </c>
      <c r="H1377" s="48" t="n">
        <v>1900</v>
      </c>
      <c r="I1377" s="48" t="n">
        <v>6</v>
      </c>
      <c r="J1377" s="48" t="n">
        <v>4400</v>
      </c>
      <c r="K1377" s="47">
        <f t="array" ref="K1377">_xlfn.XLOOKUP(1,(참조!$B$2:$B$15=E1377)*(참조!$D$2:$D$15=C1377)*(참조!$E$2:$E$15=D1377),참조!$C$2:$C$15,"")</f>
        <v/>
      </c>
    </row>
    <row r="1378" hidden="1" s="27">
      <c r="A1378" s="47" t="inlineStr">
        <is>
          <t>스마텔</t>
        </is>
      </c>
      <c r="B1378" s="47" t="inlineStr">
        <is>
          <t>USIM 심플 (500분 + 2GB)</t>
        </is>
      </c>
      <c r="C1378" s="47" t="inlineStr">
        <is>
          <t>500분</t>
        </is>
      </c>
      <c r="D1378" s="47" t="inlineStr">
        <is>
          <t>100건</t>
        </is>
      </c>
      <c r="E1378" s="47" t="inlineStr">
        <is>
          <t>월 2GB</t>
        </is>
      </c>
      <c r="F1378" s="47" t="inlineStr">
        <is>
          <t>LG U+</t>
        </is>
      </c>
      <c r="G1378" s="47" t="inlineStr">
        <is>
          <t>LTE</t>
        </is>
      </c>
      <c r="H1378" s="48" t="n">
        <v>1900</v>
      </c>
      <c r="I1378" s="48" t="n">
        <v>6</v>
      </c>
      <c r="J1378" s="48" t="n">
        <v>7700</v>
      </c>
      <c r="K1378" s="47">
        <f t="array" ref="K1378">_xlfn.XLOOKUP(1,(참조!$B$2:$B$15=E1378)*(참조!$D$2:$D$15=C1378)*(참조!$E$2:$E$15=D1378),참조!$C$2:$C$15,"")</f>
        <v/>
      </c>
    </row>
    <row r="1379" hidden="1" s="27">
      <c r="A1379" s="47" t="inlineStr">
        <is>
          <t>스마텔</t>
        </is>
      </c>
      <c r="B1379" s="47" t="inlineStr">
        <is>
          <t>USIM 심플 (50분 + 1.8GB)</t>
        </is>
      </c>
      <c r="C1379" s="47" t="inlineStr">
        <is>
          <t>50분</t>
        </is>
      </c>
      <c r="D1379" s="47" t="inlineStr">
        <is>
          <t>50건</t>
        </is>
      </c>
      <c r="E1379" s="47" t="inlineStr">
        <is>
          <t>월 1.8GB</t>
        </is>
      </c>
      <c r="F1379" s="47" t="inlineStr">
        <is>
          <t>LG U+</t>
        </is>
      </c>
      <c r="G1379" s="47" t="inlineStr">
        <is>
          <t>LTE</t>
        </is>
      </c>
      <c r="H1379" s="48" t="n">
        <v>1900</v>
      </c>
      <c r="I1379" s="48" t="n">
        <v>6</v>
      </c>
      <c r="J1379" s="48" t="n">
        <v>3300</v>
      </c>
      <c r="K1379" s="47">
        <f t="array" ref="K1379">_xlfn.XLOOKUP(1,(참조!$B$2:$B$15=E1379)*(참조!$D$2:$D$15=C1379)*(참조!$E$2:$E$15=D1379),참조!$C$2:$C$15,"")</f>
        <v/>
      </c>
    </row>
    <row r="1380" hidden="1" s="27">
      <c r="A1380" s="47" t="inlineStr">
        <is>
          <t>스마텔</t>
        </is>
      </c>
      <c r="B1380" s="47" t="inlineStr">
        <is>
          <t>USIM 심플 (200분 + 1.5GB)</t>
        </is>
      </c>
      <c r="C1380" s="47" t="inlineStr">
        <is>
          <t>200분</t>
        </is>
      </c>
      <c r="D1380" s="47" t="inlineStr">
        <is>
          <t>100건</t>
        </is>
      </c>
      <c r="E1380" s="47" t="inlineStr">
        <is>
          <t>월 1.5GB</t>
        </is>
      </c>
      <c r="F1380" s="47" t="inlineStr">
        <is>
          <t>LG U+</t>
        </is>
      </c>
      <c r="G1380" s="47" t="inlineStr">
        <is>
          <t>LTE</t>
        </is>
      </c>
      <c r="H1380" s="48" t="n">
        <v>1900</v>
      </c>
      <c r="I1380" s="48" t="n">
        <v>6</v>
      </c>
      <c r="J1380" s="48" t="n">
        <v>4400</v>
      </c>
      <c r="K1380" s="47">
        <f t="array" ref="K1380">_xlfn.XLOOKUP(1,(참조!$B$2:$B$15=E1380)*(참조!$D$2:$D$15=C1380)*(참조!$E$2:$E$15=D1380),참조!$C$2:$C$15,"")</f>
        <v/>
      </c>
    </row>
    <row r="1381" hidden="1" s="27">
      <c r="A1381" s="47" t="inlineStr">
        <is>
          <t>스마텔</t>
        </is>
      </c>
      <c r="B1381" s="47" t="inlineStr">
        <is>
          <t>USIM스마트 심플(100분+1.5GB)</t>
        </is>
      </c>
      <c r="C1381" s="47" t="inlineStr">
        <is>
          <t>100분</t>
        </is>
      </c>
      <c r="D1381" s="47" t="inlineStr">
        <is>
          <t>100건</t>
        </is>
      </c>
      <c r="E1381" s="47" t="inlineStr">
        <is>
          <t>월 1.5GB</t>
        </is>
      </c>
      <c r="F1381" s="47" t="inlineStr">
        <is>
          <t>LG U+</t>
        </is>
      </c>
      <c r="G1381" s="47" t="inlineStr">
        <is>
          <t>LTE</t>
        </is>
      </c>
      <c r="H1381" s="48" t="n">
        <v>1900</v>
      </c>
      <c r="I1381" s="48" t="n">
        <v>6</v>
      </c>
      <c r="J1381" s="48" t="n">
        <v>5500</v>
      </c>
      <c r="K1381" s="47">
        <f t="array" ref="K1381">_xlfn.XLOOKUP(1,(참조!$B$2:$B$15=E1381)*(참조!$D$2:$D$15=C1381)*(참조!$E$2:$E$15=D1381),참조!$C$2:$C$15,"")</f>
        <v/>
      </c>
    </row>
    <row r="1382" hidden="1" s="27">
      <c r="A1382" s="47" t="inlineStr">
        <is>
          <t>이야기모바일</t>
        </is>
      </c>
      <c r="B1382" s="47" t="inlineStr">
        <is>
          <t>내맘대로(100분+6GB)(5G)</t>
        </is>
      </c>
      <c r="C1382" s="47" t="inlineStr">
        <is>
          <t>100분</t>
        </is>
      </c>
      <c r="D1382" s="47" t="inlineStr">
        <is>
          <t>100건</t>
        </is>
      </c>
      <c r="E1382" s="47" t="inlineStr">
        <is>
          <t>월 6GB</t>
        </is>
      </c>
      <c r="F1382" s="47" t="inlineStr">
        <is>
          <t>LG U+</t>
        </is>
      </c>
      <c r="G1382" s="47" t="inlineStr">
        <is>
          <t>5G</t>
        </is>
      </c>
      <c r="H1382" s="48" t="n">
        <v>8800</v>
      </c>
      <c r="I1382" s="48" t="n"/>
      <c r="J1382" s="48" t="n"/>
      <c r="K1382" s="47">
        <f t="array" ref="K1382">_xlfn.XLOOKUP(1,(참조!$B$2:$B$15=E1382)*(참조!$D$2:$D$15=C1382)*(참조!$E$2:$E$15=D1382),참조!$C$2:$C$15,"")</f>
        <v/>
      </c>
    </row>
    <row r="1383" hidden="1" s="27">
      <c r="A1383" s="47" t="inlineStr">
        <is>
          <t>티플러스</t>
        </is>
      </c>
      <c r="B1383" s="47" t="inlineStr">
        <is>
          <t>티플온 10G＋</t>
        </is>
      </c>
      <c r="C1383" s="47" t="inlineStr">
        <is>
          <t>9,996분</t>
        </is>
      </c>
      <c r="D1383" s="47" t="inlineStr">
        <is>
          <t>무제한</t>
        </is>
      </c>
      <c r="E1383" s="47" t="inlineStr">
        <is>
          <t>월 10GB + 1Mbps</t>
        </is>
      </c>
      <c r="F1383" s="47" t="inlineStr">
        <is>
          <t>LG U+</t>
        </is>
      </c>
      <c r="G1383" s="47" t="inlineStr">
        <is>
          <t>LTE</t>
        </is>
      </c>
      <c r="H1383" s="48" t="n">
        <v>5900</v>
      </c>
      <c r="I1383" s="48" t="n">
        <v>7</v>
      </c>
      <c r="J1383" s="48" t="n">
        <v>33000</v>
      </c>
      <c r="K1383" s="47">
        <f t="array" ref="K1383">_xlfn.XLOOKUP(1,(참조!$B$2:$B$15=E1383)*(참조!$D$2:$D$15=C1383)*(참조!$E$2:$E$15=D1383),참조!$C$2:$C$15,"")</f>
        <v/>
      </c>
    </row>
    <row r="1384" hidden="1" s="27">
      <c r="A1384" s="47" t="inlineStr">
        <is>
          <t>아이즈모바일</t>
        </is>
      </c>
      <c r="B1384" s="47" t="inlineStr">
        <is>
          <t>[K]무한100분/15GB+ Npay</t>
        </is>
      </c>
      <c r="C1384" s="47" t="inlineStr">
        <is>
          <t>100분</t>
        </is>
      </c>
      <c r="D1384" s="47" t="inlineStr">
        <is>
          <t>100건</t>
        </is>
      </c>
      <c r="E1384" s="47" t="inlineStr">
        <is>
          <t>월 15GB + 3Mbps</t>
        </is>
      </c>
      <c r="F1384" s="47" t="inlineStr">
        <is>
          <t>KT</t>
        </is>
      </c>
      <c r="G1384" s="47" t="inlineStr">
        <is>
          <t>LTE</t>
        </is>
      </c>
      <c r="H1384" s="48" t="n">
        <v>8900</v>
      </c>
      <c r="I1384" s="48" t="n">
        <v>7</v>
      </c>
      <c r="J1384" s="48" t="n">
        <v>38500</v>
      </c>
      <c r="K1384" s="47">
        <f t="array" ref="K1384">_xlfn.XLOOKUP(1,(참조!$B$2:$B$15=E1384)*(참조!$D$2:$D$15=C1384)*(참조!$E$2:$E$15=D1384),참조!$C$2:$C$15,"")</f>
        <v/>
      </c>
    </row>
    <row r="1385" hidden="1" s="27">
      <c r="A1385" s="47" t="inlineStr">
        <is>
          <t>아이즈모바일</t>
        </is>
      </c>
      <c r="B1385" s="47" t="inlineStr">
        <is>
          <t>[L]매일5GB+</t>
        </is>
      </c>
      <c r="C1385" s="47" t="inlineStr">
        <is>
          <t>무제한</t>
        </is>
      </c>
      <c r="D1385" s="47" t="inlineStr">
        <is>
          <t>무제한</t>
        </is>
      </c>
      <c r="E1385" s="47" t="inlineStr">
        <is>
          <t>매일 5GB + 5Mbps</t>
        </is>
      </c>
      <c r="F1385" s="47" t="inlineStr">
        <is>
          <t>LG U+</t>
        </is>
      </c>
      <c r="G1385" s="47" t="inlineStr">
        <is>
          <t>LTE</t>
        </is>
      </c>
      <c r="H1385" s="48" t="n">
        <v>29500</v>
      </c>
      <c r="I1385" s="48" t="n"/>
      <c r="J1385" s="48" t="n"/>
      <c r="K1385" s="47">
        <f t="array" ref="K1385">_xlfn.XLOOKUP(1,(참조!$B$2:$B$15=E1385)*(참조!$D$2:$D$15=C1385)*(참조!$E$2:$E$15=D1385),참조!$C$2:$C$15,"")</f>
        <v/>
      </c>
    </row>
    <row r="1386" hidden="1" s="27">
      <c r="A1386" s="47" t="inlineStr">
        <is>
          <t>아이즈모바일</t>
        </is>
      </c>
      <c r="B1386" s="47" t="inlineStr">
        <is>
          <t>[K]무한7GB+ 밀리의서재</t>
        </is>
      </c>
      <c r="C1386" s="47" t="inlineStr">
        <is>
          <t>무제한</t>
        </is>
      </c>
      <c r="D1386" s="47" t="inlineStr">
        <is>
          <t>무제한</t>
        </is>
      </c>
      <c r="E1386" s="47" t="inlineStr">
        <is>
          <t>월 7GB + 1Mbps</t>
        </is>
      </c>
      <c r="F1386" s="47" t="inlineStr">
        <is>
          <t>KT</t>
        </is>
      </c>
      <c r="G1386" s="47" t="inlineStr">
        <is>
          <t>LTE</t>
        </is>
      </c>
      <c r="H1386" s="48" t="n">
        <v>12500</v>
      </c>
      <c r="I1386" s="48" t="n"/>
      <c r="J1386" s="48" t="n"/>
      <c r="K1386" s="47">
        <f t="array" ref="K1386">_xlfn.XLOOKUP(1,(참조!$B$2:$B$15=E1386)*(참조!$D$2:$D$15=C1386)*(참조!$E$2:$E$15=D1386),참조!$C$2:$C$15,"")</f>
        <v/>
      </c>
    </row>
    <row r="1387" hidden="1" s="27">
      <c r="A1387" s="47" t="inlineStr">
        <is>
          <t>고고모바일</t>
        </is>
      </c>
      <c r="B1387" s="47" t="inlineStr">
        <is>
          <t>무제한 11GB+3M(올리브영 매월 5000원)</t>
        </is>
      </c>
      <c r="C1387" s="47" t="inlineStr">
        <is>
          <t>무제한</t>
        </is>
      </c>
      <c r="D1387" s="47" t="inlineStr">
        <is>
          <t>무제한</t>
        </is>
      </c>
      <c r="E1387" s="47" t="inlineStr">
        <is>
          <t>월 11GB + 매일 2GB + 3Mbps</t>
        </is>
      </c>
      <c r="F1387" s="47" t="inlineStr">
        <is>
          <t>KT</t>
        </is>
      </c>
      <c r="G1387" s="47" t="inlineStr">
        <is>
          <t>LTE</t>
        </is>
      </c>
      <c r="H1387" s="48" t="n">
        <v>39160</v>
      </c>
      <c r="I1387" s="48" t="n"/>
      <c r="J1387" s="48" t="n"/>
      <c r="K1387" s="47">
        <f t="array" ref="K1387">_xlfn.XLOOKUP(1,(참조!$B$2:$B$15=E1387)*(참조!$D$2:$D$15=C1387)*(참조!$E$2:$E$15=D1387),참조!$C$2:$C$15,"")</f>
        <v/>
      </c>
    </row>
    <row r="1388" hidden="1" s="27">
      <c r="A1388" s="47" t="inlineStr">
        <is>
          <t>티플러스</t>
        </is>
      </c>
      <c r="B1388" s="47" t="inlineStr">
        <is>
          <t>티플포유(3G/500분)</t>
        </is>
      </c>
      <c r="C1388" s="47" t="inlineStr">
        <is>
          <t>500분</t>
        </is>
      </c>
      <c r="D1388" s="47" t="inlineStr">
        <is>
          <t>100건</t>
        </is>
      </c>
      <c r="E1388" s="47" t="inlineStr">
        <is>
          <t>월 3GB</t>
        </is>
      </c>
      <c r="F1388" s="47" t="inlineStr">
        <is>
          <t>LG U+</t>
        </is>
      </c>
      <c r="G1388" s="47" t="inlineStr">
        <is>
          <t>LTE</t>
        </is>
      </c>
      <c r="H1388" s="48" t="n">
        <v>1900</v>
      </c>
      <c r="I1388" s="48" t="n">
        <v>6</v>
      </c>
      <c r="J1388" s="48" t="n">
        <v>7700</v>
      </c>
      <c r="K1388" s="47">
        <f t="array" ref="K1388">_xlfn.XLOOKUP(1,(참조!$B$2:$B$15=E1388)*(참조!$D$2:$D$15=C1388)*(참조!$E$2:$E$15=D1388),참조!$C$2:$C$15,"")</f>
        <v/>
      </c>
    </row>
    <row r="1389" hidden="1" s="27">
      <c r="A1389" s="47" t="inlineStr">
        <is>
          <t>고고모바일</t>
        </is>
      </c>
      <c r="B1389" s="47" t="inlineStr">
        <is>
          <t>무제한11GB+3M(네이버페이 매월 5000P)</t>
        </is>
      </c>
      <c r="C1389" s="47" t="inlineStr">
        <is>
          <t>무제한</t>
        </is>
      </c>
      <c r="D1389" s="47" t="inlineStr">
        <is>
          <t>무제한</t>
        </is>
      </c>
      <c r="E1389" s="47" t="inlineStr">
        <is>
          <t>월 11GB + 매일 2GB + 3Mbps</t>
        </is>
      </c>
      <c r="F1389" s="47" t="inlineStr">
        <is>
          <t>KT</t>
        </is>
      </c>
      <c r="G1389" s="47" t="inlineStr">
        <is>
          <t>LTE</t>
        </is>
      </c>
      <c r="H1389" s="48" t="n">
        <v>39160</v>
      </c>
      <c r="I1389" s="48" t="n"/>
      <c r="J1389" s="48" t="n"/>
      <c r="K1389" s="47">
        <f t="array" ref="K1389">_xlfn.XLOOKUP(1,(참조!$B$2:$B$15=E1389)*(참조!$D$2:$D$15=C1389)*(참조!$E$2:$E$15=D1389),참조!$C$2:$C$15,"")</f>
        <v/>
      </c>
    </row>
    <row r="1390" hidden="1" s="27">
      <c r="A1390" s="47" t="inlineStr">
        <is>
          <t>고고모바일</t>
        </is>
      </c>
      <c r="B1390" s="47" t="inlineStr">
        <is>
          <t>[모요only] 5G 무제한 70GB+1Mbps</t>
        </is>
      </c>
      <c r="C1390" s="47" t="inlineStr">
        <is>
          <t>무제한</t>
        </is>
      </c>
      <c r="D1390" s="47" t="inlineStr">
        <is>
          <t>무제한</t>
        </is>
      </c>
      <c r="E1390" s="47" t="inlineStr">
        <is>
          <t>월 70GB + 1Mbps</t>
        </is>
      </c>
      <c r="F1390" s="47" t="inlineStr">
        <is>
          <t>KT</t>
        </is>
      </c>
      <c r="G1390" s="47" t="inlineStr">
        <is>
          <t>5G</t>
        </is>
      </c>
      <c r="H1390" s="48" t="n">
        <v>31000</v>
      </c>
      <c r="I1390" s="48" t="n">
        <v>12</v>
      </c>
      <c r="J1390" s="48" t="n">
        <v>42900</v>
      </c>
      <c r="K1390" s="47">
        <f t="array" ref="K1390">_xlfn.XLOOKUP(1,(참조!$B$2:$B$15=E1390)*(참조!$D$2:$D$15=C1390)*(참조!$E$2:$E$15=D1390),참조!$C$2:$C$15,"")</f>
        <v/>
      </c>
    </row>
    <row r="1391" hidden="1" s="27">
      <c r="A1391" s="47" t="inlineStr">
        <is>
          <t>아이즈모바일</t>
        </is>
      </c>
      <c r="B1391" s="47" t="inlineStr">
        <is>
          <t>[L]아이즈팩 7GB+</t>
        </is>
      </c>
      <c r="C1391" s="47" t="inlineStr">
        <is>
          <t>무제한</t>
        </is>
      </c>
      <c r="D1391" s="47" t="inlineStr">
        <is>
          <t>무제한</t>
        </is>
      </c>
      <c r="E1391" s="47" t="inlineStr">
        <is>
          <t>월 7GB + 1Mbps</t>
        </is>
      </c>
      <c r="F1391" s="47" t="inlineStr">
        <is>
          <t>LG U+</t>
        </is>
      </c>
      <c r="G1391" s="47" t="inlineStr">
        <is>
          <t>LTE</t>
        </is>
      </c>
      <c r="H1391" s="48" t="n">
        <v>9900</v>
      </c>
      <c r="I1391" s="48" t="n">
        <v>24</v>
      </c>
      <c r="J1391" s="48" t="n">
        <v>24200</v>
      </c>
      <c r="K1391" s="47">
        <f t="array" ref="K1391">_xlfn.XLOOKUP(1,(참조!$B$2:$B$15=E1391)*(참조!$D$2:$D$15=C1391)*(참조!$E$2:$E$15=D1391),참조!$C$2:$C$15,"")</f>
        <v/>
      </c>
    </row>
    <row r="1392" hidden="1" s="27">
      <c r="A1392" s="47" t="inlineStr">
        <is>
          <t>리브모바일</t>
        </is>
      </c>
      <c r="B1392" s="47" t="inlineStr">
        <is>
          <t>LTE 15GB+(100분/100건)</t>
        </is>
      </c>
      <c r="C1392" s="47" t="inlineStr">
        <is>
          <t>100분</t>
        </is>
      </c>
      <c r="D1392" s="47" t="inlineStr">
        <is>
          <t>100건</t>
        </is>
      </c>
      <c r="E1392" s="47" t="inlineStr">
        <is>
          <t>월 15GB + 3Mbps</t>
        </is>
      </c>
      <c r="F1392" s="47" t="inlineStr">
        <is>
          <t>LG U+</t>
        </is>
      </c>
      <c r="G1392" s="47" t="inlineStr">
        <is>
          <t>LTE</t>
        </is>
      </c>
      <c r="H1392" s="48" t="n">
        <v>22500</v>
      </c>
      <c r="I1392" s="48" t="n">
        <v>12</v>
      </c>
      <c r="J1392" s="48" t="n">
        <v>26900</v>
      </c>
      <c r="K1392" s="47">
        <f t="array" ref="K1392">_xlfn.XLOOKUP(1,(참조!$B$2:$B$15=E1392)*(참조!$D$2:$D$15=C1392)*(참조!$E$2:$E$15=D1392),참조!$C$2:$C$15,"")</f>
        <v/>
      </c>
    </row>
    <row r="1393" hidden="1" s="27">
      <c r="A1393" s="47" t="inlineStr">
        <is>
          <t>이지모바일</t>
        </is>
      </c>
      <c r="B1393" s="47" t="inlineStr">
        <is>
          <t>[5G]EG 무제한 110GB+5(올영5000원)</t>
        </is>
      </c>
      <c r="C1393" s="47" t="inlineStr">
        <is>
          <t>무제한</t>
        </is>
      </c>
      <c r="D1393" s="47" t="inlineStr">
        <is>
          <t>무제한</t>
        </is>
      </c>
      <c r="E1393" s="47" t="inlineStr">
        <is>
          <t>월 110GB + 5Mbps</t>
        </is>
      </c>
      <c r="F1393" s="47" t="inlineStr">
        <is>
          <t>KT</t>
        </is>
      </c>
      <c r="G1393" s="47" t="inlineStr">
        <is>
          <t>5G</t>
        </is>
      </c>
      <c r="H1393" s="48" t="n">
        <v>25500</v>
      </c>
      <c r="I1393" s="48" t="n">
        <v>7</v>
      </c>
      <c r="J1393" s="48" t="n">
        <v>49500</v>
      </c>
      <c r="K1393" s="47">
        <f t="array" ref="K1393">_xlfn.XLOOKUP(1,(참조!$B$2:$B$15=E1393)*(참조!$D$2:$D$15=C1393)*(참조!$E$2:$E$15=D1393),참조!$C$2:$C$15,"")</f>
        <v/>
      </c>
    </row>
    <row r="1394" hidden="1" s="27">
      <c r="A1394" s="47" t="inlineStr">
        <is>
          <t>모빙</t>
        </is>
      </c>
      <c r="B1394" s="47" t="inlineStr">
        <is>
          <t>5G 실속 200분3GB</t>
        </is>
      </c>
      <c r="C1394" s="47" t="inlineStr">
        <is>
          <t>200분</t>
        </is>
      </c>
      <c r="D1394" s="47" t="inlineStr">
        <is>
          <t>200건</t>
        </is>
      </c>
      <c r="E1394" s="47" t="inlineStr">
        <is>
          <t>월 3GB</t>
        </is>
      </c>
      <c r="F1394" s="47" t="inlineStr">
        <is>
          <t>LG U+</t>
        </is>
      </c>
      <c r="G1394" s="47" t="inlineStr">
        <is>
          <t>5G</t>
        </is>
      </c>
      <c r="H1394" s="48" t="n">
        <v>2900</v>
      </c>
      <c r="I1394" s="48" t="n"/>
      <c r="J1394" s="48" t="n"/>
      <c r="K1394" s="47">
        <f t="array" ref="K1394">_xlfn.XLOOKUP(1,(참조!$B$2:$B$15=E1394)*(참조!$D$2:$D$15=C1394)*(참조!$E$2:$E$15=D1394),참조!$C$2:$C$15,"")</f>
        <v/>
      </c>
    </row>
    <row r="1395" hidden="1" s="27">
      <c r="A1395" s="47" t="inlineStr">
        <is>
          <t>에이모바일</t>
        </is>
      </c>
      <c r="B1395" s="47" t="inlineStr">
        <is>
          <t>A 갓성비 유독 5GB+ 7</t>
        </is>
      </c>
      <c r="C1395" s="47" t="inlineStr">
        <is>
          <t>100분</t>
        </is>
      </c>
      <c r="D1395" s="47" t="inlineStr">
        <is>
          <t>100건</t>
        </is>
      </c>
      <c r="E1395" s="47" t="inlineStr">
        <is>
          <t>월 5GB + 1Mbps</t>
        </is>
      </c>
      <c r="F1395" s="47" t="inlineStr">
        <is>
          <t>LG U+</t>
        </is>
      </c>
      <c r="G1395" s="47" t="inlineStr">
        <is>
          <t>LTE</t>
        </is>
      </c>
      <c r="H1395" s="48" t="n">
        <v>330</v>
      </c>
      <c r="I1395" s="48" t="n">
        <v>7</v>
      </c>
      <c r="J1395" s="48" t="n">
        <v>11000</v>
      </c>
      <c r="K1395" s="47">
        <f t="array" ref="K1395">_xlfn.XLOOKUP(1,(참조!$B$2:$B$15=E1395)*(참조!$D$2:$D$15=C1395)*(참조!$E$2:$E$15=D1395),참조!$C$2:$C$15,"")</f>
        <v/>
      </c>
    </row>
    <row r="1396" hidden="1" s="27">
      <c r="A1396" s="47" t="inlineStr">
        <is>
          <t>KT스카이라이프</t>
        </is>
      </c>
      <c r="B1396" s="47" t="inlineStr">
        <is>
          <t>모두 충분 10GB+(모아진)</t>
        </is>
      </c>
      <c r="C1396" s="47" t="inlineStr">
        <is>
          <t>무제한</t>
        </is>
      </c>
      <c r="D1396" s="47" t="inlineStr">
        <is>
          <t>무제한</t>
        </is>
      </c>
      <c r="E1396" s="47" t="inlineStr">
        <is>
          <t>월 10GB + 1Mbps</t>
        </is>
      </c>
      <c r="F1396" s="47" t="inlineStr">
        <is>
          <t>KT</t>
        </is>
      </c>
      <c r="G1396" s="47" t="inlineStr">
        <is>
          <t>LTE</t>
        </is>
      </c>
      <c r="H1396" s="48" t="n">
        <v>19300</v>
      </c>
      <c r="I1396" s="48" t="n"/>
      <c r="J1396" s="48" t="n"/>
      <c r="K1396" s="47">
        <f t="array" ref="K1396">_xlfn.XLOOKUP(1,(참조!$B$2:$B$15=E1396)*(참조!$D$2:$D$15=C1396)*(참조!$E$2:$E$15=D1396),참조!$C$2:$C$15,"")</f>
        <v/>
      </c>
    </row>
    <row r="1397" hidden="1" s="27">
      <c r="A1397" s="47" t="inlineStr">
        <is>
          <t>티플러스</t>
        </is>
      </c>
      <c r="B1397" s="47" t="inlineStr">
        <is>
          <t>티플 올리브영 10GB+(매월 5000P)</t>
        </is>
      </c>
      <c r="C1397" s="47" t="inlineStr">
        <is>
          <t>무제한</t>
        </is>
      </c>
      <c r="D1397" s="47" t="inlineStr">
        <is>
          <t>무제한</t>
        </is>
      </c>
      <c r="E1397" s="47" t="inlineStr">
        <is>
          <t>월 10GB + 1Mbps</t>
        </is>
      </c>
      <c r="F1397" s="47" t="inlineStr">
        <is>
          <t>SKT</t>
        </is>
      </c>
      <c r="G1397" s="47" t="inlineStr">
        <is>
          <t>LTE</t>
        </is>
      </c>
      <c r="H1397" s="48" t="n">
        <v>6900</v>
      </c>
      <c r="I1397" s="48" t="n">
        <v>7</v>
      </c>
      <c r="J1397" s="48" t="n">
        <v>30800</v>
      </c>
      <c r="K1397" s="47">
        <f t="array" ref="K1397">_xlfn.XLOOKUP(1,(참조!$B$2:$B$15=E1397)*(참조!$D$2:$D$15=C1397)*(참조!$E$2:$E$15=D1397),참조!$C$2:$C$15,"")</f>
        <v/>
      </c>
    </row>
    <row r="1398" hidden="1" s="27">
      <c r="A1398" s="47" t="inlineStr">
        <is>
          <t>이야기모바일</t>
        </is>
      </c>
      <c r="B1398" s="47" t="inlineStr">
        <is>
          <t>이야기 데이터 무제한 15GB+</t>
        </is>
      </c>
      <c r="C1398" s="47" t="inlineStr">
        <is>
          <t>100분</t>
        </is>
      </c>
      <c r="D1398" s="47" t="inlineStr">
        <is>
          <t>100건</t>
        </is>
      </c>
      <c r="E1398" s="47" t="inlineStr">
        <is>
          <t>월 15GB + 3Mbps</t>
        </is>
      </c>
      <c r="F1398" s="47" t="inlineStr">
        <is>
          <t>SKT</t>
        </is>
      </c>
      <c r="G1398" s="47" t="inlineStr">
        <is>
          <t>LTE</t>
        </is>
      </c>
      <c r="H1398" s="48" t="n">
        <v>17600</v>
      </c>
      <c r="I1398" s="48" t="n">
        <v>7</v>
      </c>
      <c r="J1398" s="48" t="n">
        <v>31900</v>
      </c>
      <c r="K1398" s="47">
        <f t="array" ref="K1398">_xlfn.XLOOKUP(1,(참조!$B$2:$B$15=E1398)*(참조!$D$2:$D$15=C1398)*(참조!$E$2:$E$15=D1398),참조!$C$2:$C$15,"")</f>
        <v/>
      </c>
    </row>
    <row r="1399" hidden="1" s="27">
      <c r="A1399" s="47" t="inlineStr">
        <is>
          <t>KT스카이라이프</t>
        </is>
      </c>
      <c r="B1399" s="47" t="inlineStr">
        <is>
          <t>모두 충분 11GB+(멜론뮤직)</t>
        </is>
      </c>
      <c r="C1399" s="47" t="inlineStr">
        <is>
          <t>무제한</t>
        </is>
      </c>
      <c r="D1399" s="47" t="inlineStr">
        <is>
          <t>무제한</t>
        </is>
      </c>
      <c r="E1399" s="47" t="inlineStr">
        <is>
          <t>월 11GB + 매일 2GB + 3Mbps</t>
        </is>
      </c>
      <c r="F1399" s="47" t="inlineStr">
        <is>
          <t>KT</t>
        </is>
      </c>
      <c r="G1399" s="47" t="inlineStr">
        <is>
          <t>LTE</t>
        </is>
      </c>
      <c r="H1399" s="48" t="n">
        <v>37500</v>
      </c>
      <c r="I1399" s="48" t="n"/>
      <c r="J1399" s="48" t="n"/>
      <c r="K1399" s="47">
        <f t="array" ref="K1399">_xlfn.XLOOKUP(1,(참조!$B$2:$B$15=E1399)*(참조!$D$2:$D$15=C1399)*(참조!$E$2:$E$15=D1399),참조!$C$2:$C$15,"")</f>
        <v/>
      </c>
    </row>
    <row r="1400" hidden="1" s="27">
      <c r="A1400" s="47" t="inlineStr">
        <is>
          <t>아이즈모바일</t>
        </is>
      </c>
      <c r="B1400" s="47" t="inlineStr">
        <is>
          <t>[K]무한15GB+ 밀리의서재</t>
        </is>
      </c>
      <c r="C1400" s="47" t="inlineStr">
        <is>
          <t>무제한</t>
        </is>
      </c>
      <c r="D1400" s="47" t="inlineStr">
        <is>
          <t>무제한</t>
        </is>
      </c>
      <c r="E1400" s="47" t="inlineStr">
        <is>
          <t>월 15GB + 1Mbps</t>
        </is>
      </c>
      <c r="F1400" s="47" t="inlineStr">
        <is>
          <t>KT</t>
        </is>
      </c>
      <c r="G1400" s="47" t="inlineStr">
        <is>
          <t>LTE</t>
        </is>
      </c>
      <c r="H1400" s="48" t="n">
        <v>18900</v>
      </c>
      <c r="I1400" s="48" t="n"/>
      <c r="J1400" s="48" t="n"/>
      <c r="K1400" s="47">
        <f t="array" ref="K1400">_xlfn.XLOOKUP(1,(참조!$B$2:$B$15=E1400)*(참조!$D$2:$D$15=C1400)*(참조!$E$2:$E$15=D1400),참조!$C$2:$C$15,"")</f>
        <v/>
      </c>
    </row>
    <row r="1401" hidden="1" s="27">
      <c r="A1401" s="47" t="inlineStr">
        <is>
          <t>스마텔</t>
        </is>
      </c>
      <c r="B1401" s="47" t="inlineStr">
        <is>
          <t>5G 음성무제한 5GB</t>
        </is>
      </c>
      <c r="C1401" s="47" t="inlineStr">
        <is>
          <t>무제한</t>
        </is>
      </c>
      <c r="D1401" s="47" t="inlineStr">
        <is>
          <t>200건</t>
        </is>
      </c>
      <c r="E1401" s="47" t="inlineStr">
        <is>
          <t>월 5GB</t>
        </is>
      </c>
      <c r="F1401" s="47" t="inlineStr">
        <is>
          <t>SKT</t>
        </is>
      </c>
      <c r="G1401" s="47" t="inlineStr">
        <is>
          <t>5G</t>
        </is>
      </c>
      <c r="H1401" s="48" t="n">
        <v>5800</v>
      </c>
      <c r="I1401" s="48" t="n"/>
      <c r="J1401" s="48" t="n"/>
      <c r="K1401" s="47">
        <f t="array" ref="K1401">_xlfn.XLOOKUP(1,(참조!$B$2:$B$15=E1401)*(참조!$D$2:$D$15=C1401)*(참조!$E$2:$E$15=D1401),참조!$C$2:$C$15,"")</f>
        <v/>
      </c>
    </row>
    <row r="1402" hidden="1" s="27">
      <c r="A1402" s="47" t="inlineStr">
        <is>
          <t>스마텔</t>
        </is>
      </c>
      <c r="B1402" s="47" t="inlineStr">
        <is>
          <t>스마일프리미엄2 7GB+</t>
        </is>
      </c>
      <c r="C1402" s="47" t="inlineStr">
        <is>
          <t>무제한</t>
        </is>
      </c>
      <c r="D1402" s="47" t="inlineStr">
        <is>
          <t>무제한</t>
        </is>
      </c>
      <c r="E1402" s="47" t="inlineStr">
        <is>
          <t>월 7GB + 1Mbps</t>
        </is>
      </c>
      <c r="F1402" s="47" t="inlineStr">
        <is>
          <t>SKT</t>
        </is>
      </c>
      <c r="G1402" s="47" t="inlineStr">
        <is>
          <t>LTE</t>
        </is>
      </c>
      <c r="H1402" s="48" t="n">
        <v>19800</v>
      </c>
      <c r="I1402" s="48" t="n"/>
      <c r="J1402" s="48" t="n"/>
      <c r="K1402" s="47">
        <f t="array" ref="K1402">_xlfn.XLOOKUP(1,(참조!$B$2:$B$15=E1402)*(참조!$D$2:$D$15=C1402)*(참조!$E$2:$E$15=D1402),참조!$C$2:$C$15,"")</f>
        <v/>
      </c>
    </row>
    <row r="1403" hidden="1" s="27">
      <c r="A1403" s="47" t="inlineStr">
        <is>
          <t>스마텔</t>
        </is>
      </c>
      <c r="B1403" s="47" t="inlineStr">
        <is>
          <t>5G 스마트 95GB+</t>
        </is>
      </c>
      <c r="C1403" s="47" t="inlineStr">
        <is>
          <t>무제한</t>
        </is>
      </c>
      <c r="D1403" s="47" t="inlineStr">
        <is>
          <t>무제한</t>
        </is>
      </c>
      <c r="E1403" s="47" t="inlineStr">
        <is>
          <t>월 95GB + 3Mbps</t>
        </is>
      </c>
      <c r="F1403" s="47" t="inlineStr">
        <is>
          <t>LG U+</t>
        </is>
      </c>
      <c r="G1403" s="47" t="inlineStr">
        <is>
          <t>5G</t>
        </is>
      </c>
      <c r="H1403" s="48" t="n">
        <v>21700</v>
      </c>
      <c r="I1403" s="48" t="n">
        <v>7</v>
      </c>
      <c r="J1403" s="48" t="n">
        <v>49500</v>
      </c>
      <c r="K1403" s="47">
        <f t="array" ref="K1403">_xlfn.XLOOKUP(1,(참조!$B$2:$B$15=E1403)*(참조!$D$2:$D$15=C1403)*(참조!$E$2:$E$15=D1403),참조!$C$2:$C$15,"")</f>
        <v/>
      </c>
    </row>
    <row r="1404" hidden="1" s="27">
      <c r="A1404" s="47" t="inlineStr">
        <is>
          <t>KG모바일</t>
        </is>
      </c>
      <c r="B1404" s="47" t="inlineStr">
        <is>
          <t>[모빌카드 스페셜] 데이터 마음대로 (15GB+/300분)</t>
        </is>
      </c>
      <c r="C1404" s="47" t="inlineStr">
        <is>
          <t>300분</t>
        </is>
      </c>
      <c r="D1404" s="47" t="inlineStr">
        <is>
          <t>300건</t>
        </is>
      </c>
      <c r="E1404" s="47" t="inlineStr">
        <is>
          <t>월 15GB + 3Mbps</t>
        </is>
      </c>
      <c r="F1404" s="47" t="inlineStr">
        <is>
          <t>LG U+</t>
        </is>
      </c>
      <c r="G1404" s="47" t="inlineStr">
        <is>
          <t>LTE</t>
        </is>
      </c>
      <c r="H1404" s="48" t="n">
        <v>16000</v>
      </c>
      <c r="I1404" s="48" t="n">
        <v>7</v>
      </c>
      <c r="J1404" s="48" t="n">
        <v>35200</v>
      </c>
      <c r="K1404" s="47">
        <f t="array" ref="K1404">_xlfn.XLOOKUP(1,(참조!$B$2:$B$15=E1404)*(참조!$D$2:$D$15=C1404)*(참조!$E$2:$E$15=D1404),참조!$C$2:$C$15,"")</f>
        <v/>
      </c>
    </row>
    <row r="1405" hidden="1" s="27">
      <c r="A1405" s="47" t="inlineStr">
        <is>
          <t>이야기모바일</t>
        </is>
      </c>
      <c r="B1405" s="47" t="inlineStr">
        <is>
          <t>내맘대로 차단형 (50분+1GB)</t>
        </is>
      </c>
      <c r="C1405" s="47" t="inlineStr">
        <is>
          <t>50분</t>
        </is>
      </c>
      <c r="D1405" s="47" t="inlineStr">
        <is>
          <t>50건</t>
        </is>
      </c>
      <c r="E1405" s="47" t="inlineStr">
        <is>
          <t>월 1GB</t>
        </is>
      </c>
      <c r="F1405" s="47" t="inlineStr">
        <is>
          <t>LG U+</t>
        </is>
      </c>
      <c r="G1405" s="47" t="inlineStr">
        <is>
          <t>LTE</t>
        </is>
      </c>
      <c r="H1405" s="48" t="n">
        <v>7920</v>
      </c>
      <c r="I1405" s="48" t="n"/>
      <c r="J1405" s="48" t="n"/>
      <c r="K1405" s="47">
        <f t="array" ref="K1405">_xlfn.XLOOKUP(1,(참조!$B$2:$B$15=E1405)*(참조!$D$2:$D$15=C1405)*(참조!$E$2:$E$15=D1405),참조!$C$2:$C$15,"")</f>
        <v/>
      </c>
    </row>
    <row r="1406" hidden="1" s="27">
      <c r="A1406" s="47" t="inlineStr">
        <is>
          <t>스마텔</t>
        </is>
      </c>
      <c r="B1406" s="47" t="inlineStr">
        <is>
          <t>5G 스위트 110GB+(지니뮤직)</t>
        </is>
      </c>
      <c r="C1406" s="47" t="inlineStr">
        <is>
          <t>무제한</t>
        </is>
      </c>
      <c r="D1406" s="47" t="inlineStr">
        <is>
          <t>무제한</t>
        </is>
      </c>
      <c r="E1406" s="47" t="inlineStr">
        <is>
          <t>월 110GB + 5Mbps</t>
        </is>
      </c>
      <c r="F1406" s="47" t="inlineStr">
        <is>
          <t>KT</t>
        </is>
      </c>
      <c r="G1406" s="47" t="inlineStr">
        <is>
          <t>5G</t>
        </is>
      </c>
      <c r="H1406" s="48" t="n">
        <v>47300</v>
      </c>
      <c r="I1406" s="48" t="n">
        <v>36</v>
      </c>
      <c r="J1406" s="48" t="n">
        <v>49500</v>
      </c>
      <c r="K1406" s="47">
        <f t="array" ref="K1406">_xlfn.XLOOKUP(1,(참조!$B$2:$B$15=E1406)*(참조!$D$2:$D$15=C1406)*(참조!$E$2:$E$15=D1406),참조!$C$2:$C$15,"")</f>
        <v/>
      </c>
    </row>
    <row r="1407" hidden="1" s="27">
      <c r="A1407" s="47" t="inlineStr">
        <is>
          <t>아이즈모바일</t>
        </is>
      </c>
      <c r="B1407" s="47" t="inlineStr">
        <is>
          <t>[L]5G 데이터안심(200분/6GB+)</t>
        </is>
      </c>
      <c r="C1407" s="47" t="inlineStr">
        <is>
          <t>200분</t>
        </is>
      </c>
      <c r="D1407" s="47" t="inlineStr">
        <is>
          <t>100건</t>
        </is>
      </c>
      <c r="E1407" s="47" t="inlineStr">
        <is>
          <t>월 6GB + 1Mbps</t>
        </is>
      </c>
      <c r="F1407" s="47" t="inlineStr">
        <is>
          <t>LG U+</t>
        </is>
      </c>
      <c r="G1407" s="47" t="inlineStr">
        <is>
          <t>5G</t>
        </is>
      </c>
      <c r="H1407" s="48" t="n">
        <v>660</v>
      </c>
      <c r="I1407" s="48" t="n">
        <v>6</v>
      </c>
      <c r="J1407" s="48" t="n">
        <v>16500</v>
      </c>
      <c r="K1407" s="47">
        <f t="array" ref="K1407">_xlfn.XLOOKUP(1,(참조!$B$2:$B$15=E1407)*(참조!$D$2:$D$15=C1407)*(참조!$E$2:$E$15=D1407),참조!$C$2:$C$15,"")</f>
        <v/>
      </c>
    </row>
    <row r="1408" hidden="1" s="27">
      <c r="A1408" s="47" t="inlineStr">
        <is>
          <t>스마텔</t>
        </is>
      </c>
      <c r="B1408" s="47" t="inlineStr">
        <is>
          <t>스위트 15GB+(지니뮤직)</t>
        </is>
      </c>
      <c r="C1408" s="47" t="inlineStr">
        <is>
          <t>100분</t>
        </is>
      </c>
      <c r="D1408" s="47" t="inlineStr">
        <is>
          <t>100건</t>
        </is>
      </c>
      <c r="E1408" s="47" t="inlineStr">
        <is>
          <t>월 15GB + 3Mbps</t>
        </is>
      </c>
      <c r="F1408" s="47" t="inlineStr">
        <is>
          <t>KT</t>
        </is>
      </c>
      <c r="G1408" s="47" t="inlineStr">
        <is>
          <t>LTE</t>
        </is>
      </c>
      <c r="H1408" s="48" t="n">
        <v>30800</v>
      </c>
      <c r="I1408" s="48" t="n">
        <v>36</v>
      </c>
      <c r="J1408" s="48" t="n">
        <v>36300</v>
      </c>
      <c r="K1408" s="47">
        <f t="array" ref="K1408">_xlfn.XLOOKUP(1,(참조!$B$2:$B$15=E1408)*(참조!$D$2:$D$15=C1408)*(참조!$E$2:$E$15=D1408),참조!$C$2:$C$15,"")</f>
        <v/>
      </c>
    </row>
    <row r="1409" hidden="1" s="27">
      <c r="A1409" s="47" t="inlineStr">
        <is>
          <t>스마텔</t>
        </is>
      </c>
      <c r="B1409" s="47" t="inlineStr">
        <is>
          <t>스위트 15GB+(네이버페이)</t>
        </is>
      </c>
      <c r="C1409" s="47" t="inlineStr">
        <is>
          <t>100분</t>
        </is>
      </c>
      <c r="D1409" s="47" t="inlineStr">
        <is>
          <t>100건</t>
        </is>
      </c>
      <c r="E1409" s="47" t="inlineStr">
        <is>
          <t>월 15GB + 3Mbps</t>
        </is>
      </c>
      <c r="F1409" s="47" t="inlineStr">
        <is>
          <t>KT</t>
        </is>
      </c>
      <c r="G1409" s="47" t="inlineStr">
        <is>
          <t>LTE</t>
        </is>
      </c>
      <c r="H1409" s="48" t="n">
        <v>30800</v>
      </c>
      <c r="I1409" s="48" t="n">
        <v>36</v>
      </c>
      <c r="J1409" s="48" t="n">
        <v>36300</v>
      </c>
      <c r="K1409" s="47">
        <f t="array" ref="K1409">_xlfn.XLOOKUP(1,(참조!$B$2:$B$15=E1409)*(참조!$D$2:$D$15=C1409)*(참조!$E$2:$E$15=D1409),참조!$C$2:$C$15,"")</f>
        <v/>
      </c>
    </row>
    <row r="1410" hidden="1" s="27">
      <c r="A1410" s="47" t="inlineStr">
        <is>
          <t>에이모바일</t>
        </is>
      </c>
      <c r="B1410" s="47" t="inlineStr">
        <is>
          <t>A 스페셜 15GB+/100분 (24개월)</t>
        </is>
      </c>
      <c r="C1410" s="47" t="inlineStr">
        <is>
          <t>100분</t>
        </is>
      </c>
      <c r="D1410" s="47" t="inlineStr">
        <is>
          <t>100건</t>
        </is>
      </c>
      <c r="E1410" s="47" t="inlineStr">
        <is>
          <t>월 15GB + 3Mbps</t>
        </is>
      </c>
      <c r="F1410" s="47" t="inlineStr">
        <is>
          <t>LG U+</t>
        </is>
      </c>
      <c r="G1410" s="47" t="inlineStr">
        <is>
          <t>LTE</t>
        </is>
      </c>
      <c r="H1410" s="48" t="n">
        <v>21010</v>
      </c>
      <c r="I1410" s="48" t="n">
        <v>24</v>
      </c>
      <c r="J1410" s="48" t="n">
        <v>28600</v>
      </c>
      <c r="K1410" s="47">
        <f t="array" ref="K1410">_xlfn.XLOOKUP(1,(참조!$B$2:$B$15=E1410)*(참조!$D$2:$D$15=C1410)*(참조!$E$2:$E$15=D1410),참조!$C$2:$C$15,"")</f>
        <v/>
      </c>
    </row>
    <row r="1411" hidden="1" s="27">
      <c r="A1411" s="47" t="inlineStr">
        <is>
          <t>모빙</t>
        </is>
      </c>
      <c r="B1411" s="47" t="inlineStr">
        <is>
          <t>실속 200분5GB</t>
        </is>
      </c>
      <c r="C1411" s="47" t="inlineStr">
        <is>
          <t>200분</t>
        </is>
      </c>
      <c r="D1411" s="47" t="inlineStr">
        <is>
          <t>100건</t>
        </is>
      </c>
      <c r="E1411" s="47" t="inlineStr">
        <is>
          <t>월 5GB</t>
        </is>
      </c>
      <c r="F1411" s="47" t="inlineStr">
        <is>
          <t>LG U+</t>
        </is>
      </c>
      <c r="G1411" s="47" t="inlineStr">
        <is>
          <t>LTE</t>
        </is>
      </c>
      <c r="H1411" s="48" t="n">
        <v>3800</v>
      </c>
      <c r="I1411" s="48" t="n"/>
      <c r="J1411" s="48" t="n"/>
      <c r="K1411" s="47">
        <f t="array" ref="K1411">_xlfn.XLOOKUP(1,(참조!$B$2:$B$15=E1411)*(참조!$D$2:$D$15=C1411)*(참조!$E$2:$E$15=D1411),참조!$C$2:$C$15,"")</f>
        <v/>
      </c>
    </row>
    <row r="1412" hidden="1" s="27">
      <c r="A1412" s="47" t="inlineStr">
        <is>
          <t>LG헬로모바일</t>
        </is>
      </c>
      <c r="B1412" s="47" t="inlineStr">
        <is>
          <t>DATA 걱정없는 유심 1GB</t>
        </is>
      </c>
      <c r="C1412" s="47" t="inlineStr">
        <is>
          <t>무제한</t>
        </is>
      </c>
      <c r="D1412" s="47" t="inlineStr">
        <is>
          <t>무제한</t>
        </is>
      </c>
      <c r="E1412" s="47" t="inlineStr">
        <is>
          <t>월 1GB + 1Mbps</t>
        </is>
      </c>
      <c r="F1412" s="47" t="inlineStr">
        <is>
          <t>LG U+</t>
        </is>
      </c>
      <c r="G1412" s="47" t="inlineStr">
        <is>
          <t>LTE</t>
        </is>
      </c>
      <c r="H1412" s="48" t="n">
        <v>7500</v>
      </c>
      <c r="I1412" s="48" t="n">
        <v>7</v>
      </c>
      <c r="J1412" s="48" t="n">
        <v>11550</v>
      </c>
      <c r="K1412" s="47">
        <f t="array" ref="K1412">_xlfn.XLOOKUP(1,(참조!$B$2:$B$15=E1412)*(참조!$D$2:$D$15=C1412)*(참조!$E$2:$E$15=D1412),참조!$C$2:$C$15,"")</f>
        <v/>
      </c>
    </row>
    <row r="1413" hidden="1" s="27">
      <c r="A1413" s="47" t="inlineStr">
        <is>
          <t>모빙</t>
        </is>
      </c>
      <c r="B1413" s="47" t="inlineStr">
        <is>
          <t>[L] 5G 100분5GB</t>
        </is>
      </c>
      <c r="C1413" s="47" t="inlineStr">
        <is>
          <t>100분</t>
        </is>
      </c>
      <c r="D1413" s="47" t="inlineStr">
        <is>
          <t>100건</t>
        </is>
      </c>
      <c r="E1413" s="47" t="inlineStr">
        <is>
          <t>월 5GB</t>
        </is>
      </c>
      <c r="F1413" s="47" t="inlineStr">
        <is>
          <t>LG U+</t>
        </is>
      </c>
      <c r="G1413" s="47" t="inlineStr">
        <is>
          <t>5G</t>
        </is>
      </c>
      <c r="H1413" s="48" t="n">
        <v>3800</v>
      </c>
      <c r="I1413" s="48" t="n"/>
      <c r="J1413" s="48" t="n"/>
      <c r="K1413" s="47">
        <f t="array" ref="K1413">_xlfn.XLOOKUP(1,(참조!$B$2:$B$15=E1413)*(참조!$D$2:$D$15=C1413)*(참조!$E$2:$E$15=D1413),참조!$C$2:$C$15,"")</f>
        <v/>
      </c>
    </row>
    <row r="1414" hidden="1" s="27">
      <c r="A1414" s="47" t="inlineStr">
        <is>
          <t>스마텔</t>
        </is>
      </c>
      <c r="B1414" s="47" t="inlineStr">
        <is>
          <t>스위트 15GB+(멜론)</t>
        </is>
      </c>
      <c r="C1414" s="47" t="inlineStr">
        <is>
          <t>100분</t>
        </is>
      </c>
      <c r="D1414" s="47" t="inlineStr">
        <is>
          <t>100건</t>
        </is>
      </c>
      <c r="E1414" s="47" t="inlineStr">
        <is>
          <t>월 15GB + 3Mbps</t>
        </is>
      </c>
      <c r="F1414" s="47" t="inlineStr">
        <is>
          <t>KT</t>
        </is>
      </c>
      <c r="G1414" s="47" t="inlineStr">
        <is>
          <t>LTE</t>
        </is>
      </c>
      <c r="H1414" s="48" t="n">
        <v>30800</v>
      </c>
      <c r="I1414" s="48" t="n">
        <v>36</v>
      </c>
      <c r="J1414" s="48" t="n">
        <v>36300</v>
      </c>
      <c r="K1414" s="47">
        <f t="array" ref="K1414">_xlfn.XLOOKUP(1,(참조!$B$2:$B$15=E1414)*(참조!$D$2:$D$15=C1414)*(참조!$E$2:$E$15=D1414),참조!$C$2:$C$15,"")</f>
        <v/>
      </c>
    </row>
    <row r="1415" hidden="1" s="27">
      <c r="A1415" s="47" t="inlineStr">
        <is>
          <t>모빙</t>
        </is>
      </c>
      <c r="B1415" s="47" t="inlineStr">
        <is>
          <t>[K] 250분2.5GB</t>
        </is>
      </c>
      <c r="C1415" s="47" t="inlineStr">
        <is>
          <t>250분</t>
        </is>
      </c>
      <c r="D1415" s="47" t="inlineStr">
        <is>
          <t>250건</t>
        </is>
      </c>
      <c r="E1415" s="47" t="inlineStr">
        <is>
          <t>월 2.5GB</t>
        </is>
      </c>
      <c r="F1415" s="47" t="inlineStr">
        <is>
          <t>KT</t>
        </is>
      </c>
      <c r="G1415" s="47" t="inlineStr">
        <is>
          <t>LTE</t>
        </is>
      </c>
      <c r="H1415" s="48" t="n">
        <v>110</v>
      </c>
      <c r="I1415" s="48" t="n">
        <v>5</v>
      </c>
      <c r="J1415" s="48" t="n">
        <v>13200</v>
      </c>
      <c r="K1415" s="47">
        <f t="array" ref="K1415">_xlfn.XLOOKUP(1,(참조!$B$2:$B$15=E1415)*(참조!$D$2:$D$15=C1415)*(참조!$E$2:$E$15=D1415),참조!$C$2:$C$15,"")</f>
        <v/>
      </c>
    </row>
    <row r="1416" hidden="1" s="27">
      <c r="A1416" s="47" t="inlineStr">
        <is>
          <t>이야기모바일</t>
        </is>
      </c>
      <c r="B1416" s="47" t="inlineStr">
        <is>
          <t>5G 이야기 프리미엄 180GB+</t>
        </is>
      </c>
      <c r="C1416" s="47" t="inlineStr">
        <is>
          <t>무제한</t>
        </is>
      </c>
      <c r="D1416" s="47" t="inlineStr">
        <is>
          <t>무제한</t>
        </is>
      </c>
      <c r="E1416" s="47" t="inlineStr">
        <is>
          <t>월 180GB + 10Mbps</t>
        </is>
      </c>
      <c r="F1416" s="47" t="inlineStr">
        <is>
          <t>LG U+</t>
        </is>
      </c>
      <c r="G1416" s="47" t="inlineStr">
        <is>
          <t>5G</t>
        </is>
      </c>
      <c r="H1416" s="48" t="n">
        <v>22000</v>
      </c>
      <c r="I1416" s="48" t="n">
        <v>7</v>
      </c>
      <c r="J1416" s="48" t="n">
        <v>62700</v>
      </c>
      <c r="K1416" s="47">
        <f t="array" ref="K1416">_xlfn.XLOOKUP(1,(참조!$B$2:$B$15=E1416)*(참조!$D$2:$D$15=C1416)*(참조!$E$2:$E$15=D1416),참조!$C$2:$C$15,"")</f>
        <v/>
      </c>
    </row>
    <row r="1417" hidden="1" s="27">
      <c r="A1417" s="47" t="inlineStr">
        <is>
          <t>이지모바일</t>
        </is>
      </c>
      <c r="B1417" s="47" t="inlineStr">
        <is>
          <t>EG 무제한 100G+5(웨이브)</t>
        </is>
      </c>
      <c r="C1417" s="47" t="inlineStr">
        <is>
          <t>무제한</t>
        </is>
      </c>
      <c r="D1417" s="47" t="inlineStr">
        <is>
          <t>무제한</t>
        </is>
      </c>
      <c r="E1417" s="47" t="inlineStr">
        <is>
          <t>월 100GB + 5Mbps</t>
        </is>
      </c>
      <c r="F1417" s="47" t="inlineStr">
        <is>
          <t>KT</t>
        </is>
      </c>
      <c r="G1417" s="47" t="inlineStr">
        <is>
          <t>LTE</t>
        </is>
      </c>
      <c r="H1417" s="48" t="n">
        <v>23650</v>
      </c>
      <c r="I1417" s="48" t="n">
        <v>7</v>
      </c>
      <c r="J1417" s="48" t="n">
        <v>46200</v>
      </c>
      <c r="K1417" s="47">
        <f t="array" ref="K1417">_xlfn.XLOOKUP(1,(참조!$B$2:$B$15=E1417)*(참조!$D$2:$D$15=C1417)*(참조!$E$2:$E$15=D1417),참조!$C$2:$C$15,"")</f>
        <v/>
      </c>
    </row>
    <row r="1418" hidden="1" s="27">
      <c r="A1418" s="47" t="inlineStr">
        <is>
          <t>고고모바일</t>
        </is>
      </c>
      <c r="B1418" s="47" t="inlineStr">
        <is>
          <t>5G무제한 70GB+1Mbps</t>
        </is>
      </c>
      <c r="C1418" s="47" t="inlineStr">
        <is>
          <t>무제한</t>
        </is>
      </c>
      <c r="D1418" s="47" t="inlineStr">
        <is>
          <t>무제한</t>
        </is>
      </c>
      <c r="E1418" s="47" t="inlineStr">
        <is>
          <t>월 70GB + 1Mbps</t>
        </is>
      </c>
      <c r="F1418" s="47" t="inlineStr">
        <is>
          <t>KT</t>
        </is>
      </c>
      <c r="G1418" s="47" t="inlineStr">
        <is>
          <t>5G</t>
        </is>
      </c>
      <c r="H1418" s="48" t="n">
        <v>42900</v>
      </c>
      <c r="I1418" s="48" t="n"/>
      <c r="J1418" s="48" t="n"/>
      <c r="K1418" s="47">
        <f t="array" ref="K1418">_xlfn.XLOOKUP(1,(참조!$B$2:$B$15=E1418)*(참조!$D$2:$D$15=C1418)*(참조!$E$2:$E$15=D1418),참조!$C$2:$C$15,"")</f>
        <v/>
      </c>
    </row>
    <row r="1419" hidden="1" s="27">
      <c r="A1419" s="47" t="inlineStr">
        <is>
          <t>LG헬로모바일</t>
        </is>
      </c>
      <c r="B1419" s="47" t="inlineStr">
        <is>
          <t>The 착한 데이터 유심 9GB 3000분</t>
        </is>
      </c>
      <c r="C1419" s="47" t="inlineStr">
        <is>
          <t>3,000분</t>
        </is>
      </c>
      <c r="D1419" s="47" t="inlineStr">
        <is>
          <t>1,000건</t>
        </is>
      </c>
      <c r="E1419" s="47" t="inlineStr">
        <is>
          <t>월 9GB</t>
        </is>
      </c>
      <c r="F1419" s="47" t="inlineStr">
        <is>
          <t>LG U+</t>
        </is>
      </c>
      <c r="G1419" s="47" t="inlineStr">
        <is>
          <t>LTE</t>
        </is>
      </c>
      <c r="H1419" s="48" t="n">
        <v>16900</v>
      </c>
      <c r="I1419" s="48" t="n"/>
      <c r="J1419" s="48" t="n"/>
      <c r="K1419" s="47">
        <f t="array" ref="K1419">_xlfn.XLOOKUP(1,(참조!$B$2:$B$15=E1419)*(참조!$D$2:$D$15=C1419)*(참조!$E$2:$E$15=D1419),참조!$C$2:$C$15,"")</f>
        <v/>
      </c>
    </row>
    <row r="1420" hidden="1" s="27">
      <c r="A1420" s="47" t="inlineStr">
        <is>
          <t>이야기모바일</t>
        </is>
      </c>
      <c r="B1420" s="47" t="inlineStr">
        <is>
          <t>이야기K 데이터 11GB+(N Pay 5000P)</t>
        </is>
      </c>
      <c r="C1420" s="47" t="inlineStr">
        <is>
          <t>무제한</t>
        </is>
      </c>
      <c r="D1420" s="47" t="inlineStr">
        <is>
          <t>무제한</t>
        </is>
      </c>
      <c r="E1420" s="47" t="inlineStr">
        <is>
          <t>월 11GB + 매일 2GB + 3Mbps</t>
        </is>
      </c>
      <c r="F1420" s="47" t="inlineStr">
        <is>
          <t>KT</t>
        </is>
      </c>
      <c r="G1420" s="47" t="inlineStr">
        <is>
          <t>LTE</t>
        </is>
      </c>
      <c r="H1420" s="48" t="n">
        <v>22000</v>
      </c>
      <c r="I1420" s="48" t="n">
        <v>7</v>
      </c>
      <c r="J1420" s="48" t="n">
        <v>40300</v>
      </c>
      <c r="K1420" s="47">
        <f t="array" ref="K1420">_xlfn.XLOOKUP(1,(참조!$B$2:$B$15=E1420)*(참조!$D$2:$D$15=C1420)*(참조!$E$2:$E$15=D1420),참조!$C$2:$C$15,"")</f>
        <v/>
      </c>
    </row>
    <row r="1421" hidden="1" s="27">
      <c r="A1421" s="47" t="inlineStr">
        <is>
          <t>티플러스</t>
        </is>
      </c>
      <c r="B1421" s="47" t="inlineStr">
        <is>
          <t>완전마음껏 7GB＋＋(네이버페이 매월 5000P)</t>
        </is>
      </c>
      <c r="C1421" s="47" t="inlineStr">
        <is>
          <t>무제한</t>
        </is>
      </c>
      <c r="D1421" s="47" t="inlineStr">
        <is>
          <t>무제한</t>
        </is>
      </c>
      <c r="E1421" s="47" t="inlineStr">
        <is>
          <t>월 7GB + 1Mbps</t>
        </is>
      </c>
      <c r="F1421" s="47" t="inlineStr">
        <is>
          <t>KT</t>
        </is>
      </c>
      <c r="G1421" s="47" t="inlineStr">
        <is>
          <t>LTE</t>
        </is>
      </c>
      <c r="H1421" s="48" t="n">
        <v>11900</v>
      </c>
      <c r="I1421" s="48" t="n">
        <v>7</v>
      </c>
      <c r="J1421" s="48" t="n">
        <v>27500</v>
      </c>
      <c r="K1421" s="47">
        <f t="array" ref="K1421">_xlfn.XLOOKUP(1,(참조!$B$2:$B$15=E1421)*(참조!$D$2:$D$15=C1421)*(참조!$E$2:$E$15=D1421),참조!$C$2:$C$15,"")</f>
        <v/>
      </c>
    </row>
    <row r="1422" hidden="1" s="27">
      <c r="A1422" s="47" t="inlineStr">
        <is>
          <t>이야기모바일</t>
        </is>
      </c>
      <c r="B1422" s="47" t="inlineStr">
        <is>
          <t>이야기 K 데이터 11GB+(다이소 5000P)</t>
        </is>
      </c>
      <c r="C1422" s="47" t="inlineStr">
        <is>
          <t>무제한</t>
        </is>
      </c>
      <c r="D1422" s="47" t="inlineStr">
        <is>
          <t>무제한</t>
        </is>
      </c>
      <c r="E1422" s="47" t="inlineStr">
        <is>
          <t>월 11GB + 매일 2GB + 3Mbps</t>
        </is>
      </c>
      <c r="F1422" s="47" t="inlineStr">
        <is>
          <t>KT</t>
        </is>
      </c>
      <c r="G1422" s="47" t="inlineStr">
        <is>
          <t>LTE</t>
        </is>
      </c>
      <c r="H1422" s="48" t="n">
        <v>22000</v>
      </c>
      <c r="I1422" s="48" t="n">
        <v>7</v>
      </c>
      <c r="J1422" s="48" t="n">
        <v>40590</v>
      </c>
      <c r="K1422" s="47">
        <f t="array" ref="K1422">_xlfn.XLOOKUP(1,(참조!$B$2:$B$15=E1422)*(참조!$D$2:$D$15=C1422)*(참조!$E$2:$E$15=D1422),참조!$C$2:$C$15,"")</f>
        <v/>
      </c>
    </row>
    <row r="1423" hidden="1" s="27">
      <c r="A1423" s="47" t="inlineStr">
        <is>
          <t>아이즈모바일</t>
        </is>
      </c>
      <c r="B1423" s="47" t="inlineStr">
        <is>
          <t>[S]OK캐쉬백 11GB+</t>
        </is>
      </c>
      <c r="C1423" s="47" t="inlineStr">
        <is>
          <t>무제한</t>
        </is>
      </c>
      <c r="D1423" s="47" t="inlineStr">
        <is>
          <t>무제한</t>
        </is>
      </c>
      <c r="E1423" s="47" t="inlineStr">
        <is>
          <t>월 11GB + 매일 2GB + 3Mbps</t>
        </is>
      </c>
      <c r="F1423" s="47" t="inlineStr">
        <is>
          <t>SKT</t>
        </is>
      </c>
      <c r="G1423" s="47" t="inlineStr">
        <is>
          <t>LTE</t>
        </is>
      </c>
      <c r="H1423" s="48" t="n">
        <v>29900</v>
      </c>
      <c r="I1423" s="48" t="n">
        <v>12</v>
      </c>
      <c r="J1423" s="48" t="n">
        <v>48400</v>
      </c>
      <c r="K1423" s="47">
        <f t="array" ref="K1423">_xlfn.XLOOKUP(1,(참조!$B$2:$B$15=E1423)*(참조!$D$2:$D$15=C1423)*(참조!$E$2:$E$15=D1423),참조!$C$2:$C$15,"")</f>
        <v/>
      </c>
    </row>
    <row r="1424" hidden="1" s="27">
      <c r="A1424" s="47" t="inlineStr">
        <is>
          <t>이야기모바일</t>
        </is>
      </c>
      <c r="B1424" s="47" t="inlineStr">
        <is>
          <t>이야기K 데이터 11GB+(배달의 민족 5000P)</t>
        </is>
      </c>
      <c r="C1424" s="47" t="inlineStr">
        <is>
          <t>무제한</t>
        </is>
      </c>
      <c r="D1424" s="47" t="inlineStr">
        <is>
          <t>무제한</t>
        </is>
      </c>
      <c r="E1424" s="47" t="inlineStr">
        <is>
          <t>월 11GB + 매일 2GB + 3Mbps</t>
        </is>
      </c>
      <c r="F1424" s="47" t="inlineStr">
        <is>
          <t>KT</t>
        </is>
      </c>
      <c r="G1424" s="47" t="inlineStr">
        <is>
          <t>LTE</t>
        </is>
      </c>
      <c r="H1424" s="48" t="n">
        <v>22000</v>
      </c>
      <c r="I1424" s="48" t="n">
        <v>7</v>
      </c>
      <c r="J1424" s="48" t="n">
        <v>40700</v>
      </c>
      <c r="K1424" s="47">
        <f t="array" ref="K1424">_xlfn.XLOOKUP(1,(참조!$B$2:$B$15=E1424)*(참조!$D$2:$D$15=C1424)*(참조!$E$2:$E$15=D1424),참조!$C$2:$C$15,"")</f>
        <v/>
      </c>
    </row>
    <row r="1425" hidden="1" s="27">
      <c r="A1425" s="47" t="inlineStr">
        <is>
          <t>이야기모바일</t>
        </is>
      </c>
      <c r="B1425" s="47" t="inlineStr">
        <is>
          <t>이야기K 데이터 11GB+(멜론)</t>
        </is>
      </c>
      <c r="C1425" s="47" t="inlineStr">
        <is>
          <t>무제한</t>
        </is>
      </c>
      <c r="D1425" s="47" t="inlineStr">
        <is>
          <t>무제한</t>
        </is>
      </c>
      <c r="E1425" s="47" t="inlineStr">
        <is>
          <t>월 11GB + 매일 2GB + 3Mbps</t>
        </is>
      </c>
      <c r="F1425" s="47" t="inlineStr">
        <is>
          <t>KT</t>
        </is>
      </c>
      <c r="G1425" s="47" t="inlineStr">
        <is>
          <t>LTE</t>
        </is>
      </c>
      <c r="H1425" s="48" t="n">
        <v>22000</v>
      </c>
      <c r="I1425" s="48" t="n">
        <v>7</v>
      </c>
      <c r="J1425" s="48" t="n">
        <v>40590</v>
      </c>
      <c r="K1425" s="47">
        <f t="array" ref="K1425">_xlfn.XLOOKUP(1,(참조!$B$2:$B$15=E1425)*(참조!$D$2:$D$15=C1425)*(참조!$E$2:$E$15=D1425),참조!$C$2:$C$15,"")</f>
        <v/>
      </c>
    </row>
    <row r="1426" hidden="1" s="27">
      <c r="A1426" s="47" t="inlineStr">
        <is>
          <t>아이즈모바일</t>
        </is>
      </c>
      <c r="B1426" s="47" t="inlineStr">
        <is>
          <t>[S]그란데(200분/6GB)</t>
        </is>
      </c>
      <c r="C1426" s="47" t="inlineStr">
        <is>
          <t>200분</t>
        </is>
      </c>
      <c r="D1426" s="47" t="inlineStr">
        <is>
          <t>100건</t>
        </is>
      </c>
      <c r="E1426" s="47" t="inlineStr">
        <is>
          <t>월 6GB</t>
        </is>
      </c>
      <c r="F1426" s="47" t="inlineStr">
        <is>
          <t>SKT</t>
        </is>
      </c>
      <c r="G1426" s="47" t="inlineStr">
        <is>
          <t>LTE</t>
        </is>
      </c>
      <c r="H1426" s="48" t="n">
        <v>6600</v>
      </c>
      <c r="I1426" s="48" t="n"/>
      <c r="J1426" s="48" t="n"/>
      <c r="K1426" s="47">
        <f t="array" ref="K1426">_xlfn.XLOOKUP(1,(참조!$B$2:$B$15=E1426)*(참조!$D$2:$D$15=C1426)*(참조!$E$2:$E$15=D1426),참조!$C$2:$C$15,"")</f>
        <v/>
      </c>
    </row>
    <row r="1427" hidden="1" s="27">
      <c r="A1427" s="47" t="inlineStr">
        <is>
          <t>모나</t>
        </is>
      </c>
      <c r="B1427" s="47" t="inlineStr">
        <is>
          <t>5G_코나아이데이터150G안심5</t>
        </is>
      </c>
      <c r="C1427" s="47" t="inlineStr">
        <is>
          <t>무제한</t>
        </is>
      </c>
      <c r="D1427" s="47" t="inlineStr">
        <is>
          <t>무제한</t>
        </is>
      </c>
      <c r="E1427" s="47" t="inlineStr">
        <is>
          <t>월 150GB + 5Mbps</t>
        </is>
      </c>
      <c r="F1427" s="47" t="inlineStr">
        <is>
          <t>LG U+</t>
        </is>
      </c>
      <c r="G1427" s="47" t="inlineStr">
        <is>
          <t>5G</t>
        </is>
      </c>
      <c r="H1427" s="48" t="n">
        <v>38900</v>
      </c>
      <c r="I1427" s="48" t="n">
        <v>7</v>
      </c>
      <c r="J1427" s="48" t="n">
        <v>62700</v>
      </c>
      <c r="K1427" s="47">
        <f t="array" ref="K1427">_xlfn.XLOOKUP(1,(참조!$B$2:$B$15=E1427)*(참조!$D$2:$D$15=C1427)*(참조!$E$2:$E$15=D1427),참조!$C$2:$C$15,"")</f>
        <v/>
      </c>
    </row>
    <row r="1428" hidden="1" s="27">
      <c r="A1428" s="47" t="inlineStr">
        <is>
          <t>이야기모바일</t>
        </is>
      </c>
      <c r="B1428" s="47" t="inlineStr">
        <is>
          <t>이야기K 데이터 11GB+(지니뮤직)</t>
        </is>
      </c>
      <c r="C1428" s="47" t="inlineStr">
        <is>
          <t>무제한</t>
        </is>
      </c>
      <c r="D1428" s="47" t="inlineStr">
        <is>
          <t>무제한</t>
        </is>
      </c>
      <c r="E1428" s="47" t="inlineStr">
        <is>
          <t>월 11GB + 매일 2GB + 3Mbps</t>
        </is>
      </c>
      <c r="F1428" s="47" t="inlineStr">
        <is>
          <t>KT</t>
        </is>
      </c>
      <c r="G1428" s="47" t="inlineStr">
        <is>
          <t>LTE</t>
        </is>
      </c>
      <c r="H1428" s="48" t="n">
        <v>22000</v>
      </c>
      <c r="I1428" s="48" t="n">
        <v>7</v>
      </c>
      <c r="J1428" s="48" t="n">
        <v>40590</v>
      </c>
      <c r="K1428" s="47">
        <f t="array" ref="K1428">_xlfn.XLOOKUP(1,(참조!$B$2:$B$15=E1428)*(참조!$D$2:$D$15=C1428)*(참조!$E$2:$E$15=D1428),참조!$C$2:$C$15,"")</f>
        <v/>
      </c>
    </row>
    <row r="1429" hidden="1" s="27">
      <c r="A1429" s="47" t="inlineStr">
        <is>
          <t>U+유모바일</t>
        </is>
      </c>
      <c r="B1429" s="47" t="inlineStr">
        <is>
          <t>교보문고 북 플러스알파 4.5GB+</t>
        </is>
      </c>
      <c r="C1429" s="47" t="inlineStr">
        <is>
          <t>무제한</t>
        </is>
      </c>
      <c r="D1429" s="47" t="inlineStr">
        <is>
          <t>무제한</t>
        </is>
      </c>
      <c r="E1429" s="47" t="inlineStr">
        <is>
          <t>월 4.5GB + 1Mbps</t>
        </is>
      </c>
      <c r="F1429" s="47" t="inlineStr">
        <is>
          <t>LG U+</t>
        </is>
      </c>
      <c r="G1429" s="47" t="inlineStr">
        <is>
          <t>LTE</t>
        </is>
      </c>
      <c r="H1429" s="48" t="n">
        <v>15400</v>
      </c>
      <c r="I1429" s="48" t="n"/>
      <c r="J1429" s="48" t="n"/>
      <c r="K1429" s="47">
        <f t="array" ref="K1429">_xlfn.XLOOKUP(1,(참조!$B$2:$B$15=E1429)*(참조!$D$2:$D$15=C1429)*(참조!$E$2:$E$15=D1429),참조!$C$2:$C$15,"")</f>
        <v/>
      </c>
    </row>
    <row r="1430" hidden="1" s="27">
      <c r="A1430" s="47" t="inlineStr">
        <is>
          <t>LG헬로모바일</t>
        </is>
      </c>
      <c r="B1430" s="47" t="inlineStr">
        <is>
          <t>보편 안심 유심 1GB 100분</t>
        </is>
      </c>
      <c r="C1430" s="47" t="inlineStr">
        <is>
          <t>100분</t>
        </is>
      </c>
      <c r="D1430" s="47" t="inlineStr">
        <is>
          <t>100건</t>
        </is>
      </c>
      <c r="E1430" s="47" t="inlineStr">
        <is>
          <t>월 1GB + 1Mbps</t>
        </is>
      </c>
      <c r="F1430" s="47" t="inlineStr">
        <is>
          <t>LG U+</t>
        </is>
      </c>
      <c r="G1430" s="47" t="inlineStr">
        <is>
          <t>LTE</t>
        </is>
      </c>
      <c r="H1430" s="48" t="n">
        <v>7900</v>
      </c>
      <c r="I1430" s="48" t="n"/>
      <c r="J1430" s="48" t="n"/>
      <c r="K1430" s="47">
        <f t="array" ref="K1430">_xlfn.XLOOKUP(1,(참조!$B$2:$B$15=E1430)*(참조!$D$2:$D$15=C1430)*(참조!$E$2:$E$15=D1430),참조!$C$2:$C$15,"")</f>
        <v/>
      </c>
    </row>
    <row r="1431" hidden="1" s="27">
      <c r="A1431" s="47" t="inlineStr">
        <is>
          <t>LG헬로모바일</t>
        </is>
      </c>
      <c r="B1431" s="47" t="inlineStr">
        <is>
          <t>The 착한 데이터 유심 1.3GB</t>
        </is>
      </c>
      <c r="C1431" s="47" t="inlineStr">
        <is>
          <t>무제한</t>
        </is>
      </c>
      <c r="D1431" s="47" t="inlineStr">
        <is>
          <t>무제한</t>
        </is>
      </c>
      <c r="E1431" s="47" t="inlineStr">
        <is>
          <t>월 1.3GB</t>
        </is>
      </c>
      <c r="F1431" s="47" t="inlineStr">
        <is>
          <t>LG U+</t>
        </is>
      </c>
      <c r="G1431" s="47" t="inlineStr">
        <is>
          <t>LTE</t>
        </is>
      </c>
      <c r="H1431" s="48" t="n">
        <v>6300</v>
      </c>
      <c r="I1431" s="48" t="n"/>
      <c r="J1431" s="48" t="n"/>
      <c r="K1431" s="47">
        <f t="array" ref="K1431">_xlfn.XLOOKUP(1,(참조!$B$2:$B$15=E1431)*(참조!$D$2:$D$15=C1431)*(참조!$E$2:$E$15=D1431),참조!$C$2:$C$15,"")</f>
        <v/>
      </c>
    </row>
    <row r="1432" hidden="1" s="27">
      <c r="A1432" s="47" t="inlineStr">
        <is>
          <t>위너스텔</t>
        </is>
      </c>
      <c r="B1432" s="47" t="inlineStr">
        <is>
          <t>WELL ON 비디오</t>
        </is>
      </c>
      <c r="C1432" s="47" t="inlineStr">
        <is>
          <t>무제한</t>
        </is>
      </c>
      <c r="D1432" s="47" t="inlineStr">
        <is>
          <t>무제한</t>
        </is>
      </c>
      <c r="E1432" s="47" t="inlineStr">
        <is>
          <t>월 100GB + 5Mbps</t>
        </is>
      </c>
      <c r="F1432" s="47" t="inlineStr">
        <is>
          <t>KT</t>
        </is>
      </c>
      <c r="G1432" s="47" t="inlineStr">
        <is>
          <t>LTE</t>
        </is>
      </c>
      <c r="H1432" s="48" t="n">
        <v>42900</v>
      </c>
      <c r="I1432" s="48" t="n"/>
      <c r="J1432" s="48" t="n"/>
      <c r="K1432" s="47">
        <f t="array" ref="K1432">_xlfn.XLOOKUP(1,(참조!$B$2:$B$15=E1432)*(참조!$D$2:$D$15=C1432)*(참조!$E$2:$E$15=D1432),참조!$C$2:$C$15,"")</f>
        <v/>
      </c>
    </row>
    <row r="1433" hidden="1" s="27">
      <c r="A1433" s="47" t="inlineStr">
        <is>
          <t>에이모바일</t>
        </is>
      </c>
      <c r="B1433" s="47" t="inlineStr">
        <is>
          <t>A 5G 갓성비 10GB/200분</t>
        </is>
      </c>
      <c r="C1433" s="47" t="inlineStr">
        <is>
          <t>200분</t>
        </is>
      </c>
      <c r="D1433" s="47" t="inlineStr">
        <is>
          <t>100건</t>
        </is>
      </c>
      <c r="E1433" s="47" t="inlineStr">
        <is>
          <t>월 10GB</t>
        </is>
      </c>
      <c r="F1433" s="47" t="inlineStr">
        <is>
          <t>LG U+</t>
        </is>
      </c>
      <c r="G1433" s="47" t="inlineStr">
        <is>
          <t>5G</t>
        </is>
      </c>
      <c r="H1433" s="48" t="n">
        <v>3300</v>
      </c>
      <c r="I1433" s="48" t="n">
        <v>6</v>
      </c>
      <c r="J1433" s="48" t="n">
        <v>12100</v>
      </c>
      <c r="K1433" s="47">
        <f t="array" ref="K1433">_xlfn.XLOOKUP(1,(참조!$B$2:$B$15=E1433)*(참조!$D$2:$D$15=C1433)*(참조!$E$2:$E$15=D1433),참조!$C$2:$C$15,"")</f>
        <v/>
      </c>
    </row>
    <row r="1434" hidden="1" s="27">
      <c r="A1434" s="47" t="inlineStr">
        <is>
          <t>티플러스</t>
        </is>
      </c>
      <c r="B1434" s="47" t="inlineStr">
        <is>
          <t>KT 7GB+ (밀리의서재+올리브영 매월 5천원 상품권!)</t>
        </is>
      </c>
      <c r="C1434" s="47" t="inlineStr">
        <is>
          <t>무제한</t>
        </is>
      </c>
      <c r="D1434" s="47" t="inlineStr">
        <is>
          <t>무제한</t>
        </is>
      </c>
      <c r="E1434" s="47" t="inlineStr">
        <is>
          <t>월 7GB + 1Mbps</t>
        </is>
      </c>
      <c r="F1434" s="47" t="inlineStr">
        <is>
          <t>KT</t>
        </is>
      </c>
      <c r="G1434" s="47" t="inlineStr">
        <is>
          <t>LTE</t>
        </is>
      </c>
      <c r="H1434" s="48" t="n">
        <v>7900</v>
      </c>
      <c r="I1434" s="48" t="n">
        <v>7</v>
      </c>
      <c r="J1434" s="48" t="n">
        <v>30800</v>
      </c>
      <c r="K1434" s="47">
        <f t="array" ref="K1434">_xlfn.XLOOKUP(1,(참조!$B$2:$B$15=E1434)*(참조!$D$2:$D$15=C1434)*(참조!$E$2:$E$15=D1434),참조!$C$2:$C$15,"")</f>
        <v/>
      </c>
    </row>
    <row r="1435" hidden="1" s="27">
      <c r="A1435" s="47" t="inlineStr">
        <is>
          <t>이지모바일</t>
        </is>
      </c>
      <c r="B1435" s="47" t="inlineStr">
        <is>
          <t>EG 5G프리미엄 200G+</t>
        </is>
      </c>
      <c r="C1435" s="47" t="inlineStr">
        <is>
          <t>무제한</t>
        </is>
      </c>
      <c r="D1435" s="47" t="inlineStr">
        <is>
          <t>무제한</t>
        </is>
      </c>
      <c r="E1435" s="47" t="inlineStr">
        <is>
          <t>월 200GB + 10Mbps</t>
        </is>
      </c>
      <c r="F1435" s="47" t="inlineStr">
        <is>
          <t>KT</t>
        </is>
      </c>
      <c r="G1435" s="47" t="inlineStr">
        <is>
          <t>5G</t>
        </is>
      </c>
      <c r="H1435" s="48" t="n">
        <v>29150</v>
      </c>
      <c r="I1435" s="48" t="n">
        <v>7</v>
      </c>
      <c r="J1435" s="48" t="n">
        <v>58300</v>
      </c>
      <c r="K1435" s="47">
        <f t="array" ref="K1435">_xlfn.XLOOKUP(1,(참조!$B$2:$B$15=E1435)*(참조!$D$2:$D$15=C1435)*(참조!$E$2:$E$15=D1435),참조!$C$2:$C$15,"")</f>
        <v/>
      </c>
    </row>
    <row r="1436" hidden="1" s="27">
      <c r="A1436" s="47" t="inlineStr">
        <is>
          <t>시월모바일</t>
        </is>
      </c>
      <c r="B1436" s="47" t="inlineStr">
        <is>
          <t>시월 무제한 10GB+1Mbps</t>
        </is>
      </c>
      <c r="C1436" s="47" t="inlineStr">
        <is>
          <t>무제한</t>
        </is>
      </c>
      <c r="D1436" s="47" t="inlineStr">
        <is>
          <t>무제한</t>
        </is>
      </c>
      <c r="E1436" s="47" t="inlineStr">
        <is>
          <t>월 10GB + 1Mbps</t>
        </is>
      </c>
      <c r="F1436" s="47" t="inlineStr">
        <is>
          <t>LG U+</t>
        </is>
      </c>
      <c r="G1436" s="47" t="inlineStr">
        <is>
          <t>LTE</t>
        </is>
      </c>
      <c r="H1436" s="48" t="n">
        <v>7840</v>
      </c>
      <c r="I1436" s="48" t="n">
        <v>7</v>
      </c>
      <c r="J1436" s="48" t="n">
        <v>22140</v>
      </c>
      <c r="K1436" s="47">
        <f t="array" ref="K1436">_xlfn.XLOOKUP(1,(참조!$B$2:$B$15=E1436)*(참조!$D$2:$D$15=C1436)*(참조!$E$2:$E$15=D1436),참조!$C$2:$C$15,"")</f>
        <v/>
      </c>
    </row>
    <row r="1437" hidden="1" s="27">
      <c r="A1437" s="47" t="inlineStr">
        <is>
          <t>스마텔</t>
        </is>
      </c>
      <c r="B1437" s="47" t="inlineStr">
        <is>
          <t>CU 스위트 무제한 15GB+ (+10GB 24개월간 추가 제공)</t>
        </is>
      </c>
      <c r="C1437" s="47" t="inlineStr">
        <is>
          <t>무제한</t>
        </is>
      </c>
      <c r="D1437" s="47" t="inlineStr">
        <is>
          <t>무제한</t>
        </is>
      </c>
      <c r="E1437" s="47" t="inlineStr">
        <is>
          <t>월 15GB + 1Mbps</t>
        </is>
      </c>
      <c r="F1437" s="47" t="inlineStr">
        <is>
          <t>KT</t>
        </is>
      </c>
      <c r="G1437" s="47" t="inlineStr">
        <is>
          <t>LTE</t>
        </is>
      </c>
      <c r="H1437" s="48" t="n">
        <v>17000</v>
      </c>
      <c r="I1437" s="48" t="n">
        <v>7</v>
      </c>
      <c r="J1437" s="48" t="n">
        <v>30800</v>
      </c>
      <c r="K1437" s="47">
        <f t="array" ref="K1437">_xlfn.XLOOKUP(1,(참조!$B$2:$B$15=E1437)*(참조!$D$2:$D$15=C1437)*(참조!$E$2:$E$15=D1437),참조!$C$2:$C$15,"")</f>
        <v/>
      </c>
    </row>
    <row r="1438" hidden="1" s="27">
      <c r="A1438" s="47" t="inlineStr">
        <is>
          <t>스마텔</t>
        </is>
      </c>
      <c r="B1438" s="47" t="inlineStr">
        <is>
          <t>스위트3 15GB+(밀리의서재) (+10GB 24개월간 추가 제공)</t>
        </is>
      </c>
      <c r="C1438" s="47" t="inlineStr">
        <is>
          <t>무제한</t>
        </is>
      </c>
      <c r="D1438" s="47" t="inlineStr">
        <is>
          <t>무제한</t>
        </is>
      </c>
      <c r="E1438" s="47" t="inlineStr">
        <is>
          <t>월 15GB + 1Mbps</t>
        </is>
      </c>
      <c r="F1438" s="47" t="inlineStr">
        <is>
          <t>KT</t>
        </is>
      </c>
      <c r="G1438" s="47" t="inlineStr">
        <is>
          <t>LTE</t>
        </is>
      </c>
      <c r="H1438" s="48" t="n">
        <v>17000</v>
      </c>
      <c r="I1438" s="48" t="n">
        <v>7</v>
      </c>
      <c r="J1438" s="48" t="n">
        <v>30800</v>
      </c>
      <c r="K1438" s="47">
        <f t="array" ref="K1438">_xlfn.XLOOKUP(1,(참조!$B$2:$B$15=E1438)*(참조!$D$2:$D$15=C1438)*(참조!$E$2:$E$15=D1438),참조!$C$2:$C$15,"")</f>
        <v/>
      </c>
    </row>
    <row r="1439" hidden="1" s="27">
      <c r="A1439" s="47" t="inlineStr">
        <is>
          <t>아이즈모바일</t>
        </is>
      </c>
      <c r="B1439" s="47" t="inlineStr">
        <is>
          <t>세이브머니유심(100분/5GB+)</t>
        </is>
      </c>
      <c r="C1439" s="47" t="inlineStr">
        <is>
          <t>100분</t>
        </is>
      </c>
      <c r="D1439" s="47" t="inlineStr">
        <is>
          <t>100건</t>
        </is>
      </c>
      <c r="E1439" s="47" t="inlineStr">
        <is>
          <t>월 5GB + 1Mbps</t>
        </is>
      </c>
      <c r="F1439" s="47" t="inlineStr">
        <is>
          <t>LG U+</t>
        </is>
      </c>
      <c r="G1439" s="47" t="inlineStr">
        <is>
          <t>LTE</t>
        </is>
      </c>
      <c r="H1439" s="48" t="n">
        <v>4900</v>
      </c>
      <c r="I1439" s="48" t="n"/>
      <c r="J1439" s="48" t="n"/>
      <c r="K1439" s="47">
        <f t="array" ref="K1439">_xlfn.XLOOKUP(1,(참조!$B$2:$B$15=E1439)*(참조!$D$2:$D$15=C1439)*(참조!$E$2:$E$15=D1439),참조!$C$2:$C$15,"")</f>
        <v/>
      </c>
    </row>
    <row r="1440" hidden="1" s="27">
      <c r="A1440" s="47" t="inlineStr">
        <is>
          <t>U+유모바일</t>
        </is>
      </c>
      <c r="B1440" s="47" t="inlineStr">
        <is>
          <t>[평생할인] 4.5GB+/통화기본</t>
        </is>
      </c>
      <c r="C1440" s="47" t="inlineStr">
        <is>
          <t>무제한</t>
        </is>
      </c>
      <c r="D1440" s="47" t="inlineStr">
        <is>
          <t>무제한</t>
        </is>
      </c>
      <c r="E1440" s="47" t="inlineStr">
        <is>
          <t>월 4.5GB + 1Mbps</t>
        </is>
      </c>
      <c r="F1440" s="47" t="inlineStr">
        <is>
          <t>LG U+</t>
        </is>
      </c>
      <c r="G1440" s="47" t="inlineStr">
        <is>
          <t>LTE</t>
        </is>
      </c>
      <c r="H1440" s="48" t="n">
        <v>13900</v>
      </c>
      <c r="I1440" s="48" t="n"/>
      <c r="J1440" s="48" t="n"/>
      <c r="K1440" s="47">
        <f t="array" ref="K1440">_xlfn.XLOOKUP(1,(참조!$B$2:$B$15=E1440)*(참조!$D$2:$D$15=C1440)*(참조!$E$2:$E$15=D1440),참조!$C$2:$C$15,"")</f>
        <v/>
      </c>
    </row>
    <row r="1441" hidden="1" s="27">
      <c r="A1441" s="47" t="inlineStr">
        <is>
          <t>U+유모바일</t>
        </is>
      </c>
      <c r="B1441" s="47" t="inlineStr">
        <is>
          <t>[티머니 12만원] 1GB+/통화기본</t>
        </is>
      </c>
      <c r="C1441" s="47" t="inlineStr">
        <is>
          <t>무제한</t>
        </is>
      </c>
      <c r="D1441" s="47" t="inlineStr">
        <is>
          <t>무제한</t>
        </is>
      </c>
      <c r="E1441" s="47" t="inlineStr">
        <is>
          <t>월 1GB + 1Mbps</t>
        </is>
      </c>
      <c r="F1441" s="47" t="inlineStr">
        <is>
          <t>LG U+</t>
        </is>
      </c>
      <c r="G1441" s="47" t="inlineStr">
        <is>
          <t>LTE</t>
        </is>
      </c>
      <c r="H1441" s="48" t="n">
        <v>10900</v>
      </c>
      <c r="I1441" s="48" t="n"/>
      <c r="J1441" s="48" t="n"/>
      <c r="K1441" s="47">
        <f t="array" ref="K1441">_xlfn.XLOOKUP(1,(참조!$B$2:$B$15=E1441)*(참조!$D$2:$D$15=C1441)*(참조!$E$2:$E$15=D1441),참조!$C$2:$C$15,"")</f>
        <v/>
      </c>
    </row>
    <row r="1442" hidden="1" s="27">
      <c r="A1442" s="47" t="inlineStr">
        <is>
          <t>아이즈모바일</t>
        </is>
      </c>
      <c r="B1442" s="47" t="inlineStr">
        <is>
          <t>[L]벤티(100분/10GB)</t>
        </is>
      </c>
      <c r="C1442" s="47" t="inlineStr">
        <is>
          <t>100분</t>
        </is>
      </c>
      <c r="D1442" s="47" t="inlineStr">
        <is>
          <t>100건</t>
        </is>
      </c>
      <c r="E1442" s="47" t="inlineStr">
        <is>
          <t>월 10GB</t>
        </is>
      </c>
      <c r="F1442" s="47" t="inlineStr">
        <is>
          <t>LG U+</t>
        </is>
      </c>
      <c r="G1442" s="47" t="inlineStr">
        <is>
          <t>LTE</t>
        </is>
      </c>
      <c r="H1442" s="48" t="n">
        <v>880</v>
      </c>
      <c r="I1442" s="48" t="n">
        <v>7</v>
      </c>
      <c r="J1442" s="48" t="n">
        <v>18200</v>
      </c>
      <c r="K1442" s="47">
        <f t="array" ref="K1442">_xlfn.XLOOKUP(1,(참조!$B$2:$B$15=E1442)*(참조!$D$2:$D$15=C1442)*(참조!$E$2:$E$15=D1442),참조!$C$2:$C$15,"")</f>
        <v/>
      </c>
    </row>
    <row r="1443" hidden="1" s="27">
      <c r="A1443" s="47" t="inlineStr">
        <is>
          <t>KT스카이라이프</t>
        </is>
      </c>
      <c r="B1443" s="47" t="inlineStr">
        <is>
          <t>모두 충분 10GB+(다이소_5000)</t>
        </is>
      </c>
      <c r="C1443" s="47" t="inlineStr">
        <is>
          <t>무제한</t>
        </is>
      </c>
      <c r="D1443" s="47" t="inlineStr">
        <is>
          <t>무제한</t>
        </is>
      </c>
      <c r="E1443" s="47" t="inlineStr">
        <is>
          <t>월 10GB + 1Mbps</t>
        </is>
      </c>
      <c r="F1443" s="47" t="inlineStr">
        <is>
          <t>KT</t>
        </is>
      </c>
      <c r="G1443" s="47" t="inlineStr">
        <is>
          <t>LTE</t>
        </is>
      </c>
      <c r="H1443" s="48" t="n">
        <v>21500</v>
      </c>
      <c r="I1443" s="48" t="n"/>
      <c r="J1443" s="48" t="n"/>
      <c r="K1443" s="47">
        <f t="array" ref="K1443">_xlfn.XLOOKUP(1,(참조!$B$2:$B$15=E1443)*(참조!$D$2:$D$15=C1443)*(참조!$E$2:$E$15=D1443),참조!$C$2:$C$15,"")</f>
        <v/>
      </c>
    </row>
    <row r="1444" hidden="1" s="27">
      <c r="A1444" s="47" t="inlineStr">
        <is>
          <t>이지모바일</t>
        </is>
      </c>
      <c r="B1444" s="47" t="inlineStr">
        <is>
          <t>EG 5G 심플 70GB+</t>
        </is>
      </c>
      <c r="C1444" s="47" t="inlineStr">
        <is>
          <t>무제한</t>
        </is>
      </c>
      <c r="D1444" s="47" t="inlineStr">
        <is>
          <t>무제한</t>
        </is>
      </c>
      <c r="E1444" s="47" t="inlineStr">
        <is>
          <t>월 70GB + 1Mbps</t>
        </is>
      </c>
      <c r="F1444" s="47" t="inlineStr">
        <is>
          <t>KT</t>
        </is>
      </c>
      <c r="G1444" s="47" t="inlineStr">
        <is>
          <t>5G</t>
        </is>
      </c>
      <c r="H1444" s="48" t="n">
        <v>23650</v>
      </c>
      <c r="I1444" s="48" t="n">
        <v>7</v>
      </c>
      <c r="J1444" s="48" t="n">
        <v>47300</v>
      </c>
      <c r="K1444" s="47">
        <f t="array" ref="K1444">_xlfn.XLOOKUP(1,(참조!$B$2:$B$15=E1444)*(참조!$D$2:$D$15=C1444)*(참조!$E$2:$E$15=D1444),참조!$C$2:$C$15,"")</f>
        <v/>
      </c>
    </row>
    <row r="1445" hidden="1" s="27">
      <c r="A1445" s="47" t="inlineStr">
        <is>
          <t>쉐이크모바일</t>
        </is>
      </c>
      <c r="B1445" s="47" t="inlineStr">
        <is>
          <t>[모요only] 쉐이크 LTE 10GB+_CU</t>
        </is>
      </c>
      <c r="C1445" s="47" t="inlineStr">
        <is>
          <t>무제한</t>
        </is>
      </c>
      <c r="D1445" s="47" t="inlineStr">
        <is>
          <t>무제한</t>
        </is>
      </c>
      <c r="E1445" s="47" t="inlineStr">
        <is>
          <t>월 10GB + 1Mbps</t>
        </is>
      </c>
      <c r="F1445" s="47" t="inlineStr">
        <is>
          <t>KT</t>
        </is>
      </c>
      <c r="G1445" s="47" t="inlineStr">
        <is>
          <t>LTE</t>
        </is>
      </c>
      <c r="H1445" s="48" t="n">
        <v>8800</v>
      </c>
      <c r="I1445" s="48" t="n">
        <v>7</v>
      </c>
      <c r="J1445" s="48" t="n">
        <v>25300</v>
      </c>
      <c r="K1445" s="47">
        <f t="array" ref="K1445">_xlfn.XLOOKUP(1,(참조!$B$2:$B$15=E1445)*(참조!$D$2:$D$15=C1445)*(참조!$E$2:$E$15=D1445),참조!$C$2:$C$15,"")</f>
        <v/>
      </c>
    </row>
    <row r="1446" hidden="1" s="27">
      <c r="A1446" s="47" t="inlineStr">
        <is>
          <t>시월모바일</t>
        </is>
      </c>
      <c r="B1446" s="47" t="inlineStr">
        <is>
          <t>쿠폰팩 통화기본7GB+</t>
        </is>
      </c>
      <c r="C1446" s="47" t="inlineStr">
        <is>
          <t>무제한</t>
        </is>
      </c>
      <c r="D1446" s="47" t="inlineStr">
        <is>
          <t>무제한</t>
        </is>
      </c>
      <c r="E1446" s="47" t="inlineStr">
        <is>
          <t>월 7GB + 1Mbps</t>
        </is>
      </c>
      <c r="F1446" s="47" t="inlineStr">
        <is>
          <t>LG U+</t>
        </is>
      </c>
      <c r="G1446" s="47" t="inlineStr">
        <is>
          <t>LTE</t>
        </is>
      </c>
      <c r="H1446" s="48" t="n">
        <v>9910</v>
      </c>
      <c r="I1446" s="48" t="n">
        <v>7</v>
      </c>
      <c r="J1446" s="48" t="n">
        <v>22010</v>
      </c>
      <c r="K1446" s="47">
        <f t="array" ref="K1446">_xlfn.XLOOKUP(1,(참조!$B$2:$B$15=E1446)*(참조!$D$2:$D$15=C1446)*(참조!$E$2:$E$15=D1446),참조!$C$2:$C$15,"")</f>
        <v/>
      </c>
    </row>
    <row r="1447" hidden="1" s="27">
      <c r="A1447" s="47" t="inlineStr">
        <is>
          <t>KT엠모바일</t>
        </is>
      </c>
      <c r="B1447" s="47" t="inlineStr">
        <is>
          <t>모두다 맘껏 10GB+(PAY쿠폰 5000P)</t>
        </is>
      </c>
      <c r="C1447" s="47" t="inlineStr">
        <is>
          <t>무제한</t>
        </is>
      </c>
      <c r="D1447" s="47" t="inlineStr">
        <is>
          <t>무제한</t>
        </is>
      </c>
      <c r="E1447" s="47" t="inlineStr">
        <is>
          <t>월 10GB + 1Mbps</t>
        </is>
      </c>
      <c r="F1447" s="47" t="inlineStr">
        <is>
          <t>KT</t>
        </is>
      </c>
      <c r="G1447" s="47" t="inlineStr">
        <is>
          <t>LTE</t>
        </is>
      </c>
      <c r="H1447" s="48" t="n">
        <v>21200</v>
      </c>
      <c r="I1447" s="48" t="n"/>
      <c r="J1447" s="48" t="n"/>
      <c r="K1447" s="47">
        <f t="array" ref="K1447">_xlfn.XLOOKUP(1,(참조!$B$2:$B$15=E1447)*(참조!$D$2:$D$15=C1447)*(참조!$E$2:$E$15=D1447),참조!$C$2:$C$15,"")</f>
        <v/>
      </c>
    </row>
    <row r="1448" hidden="1" s="27">
      <c r="A1448" s="47" t="inlineStr">
        <is>
          <t>위너스텔</t>
        </is>
      </c>
      <c r="B1448" s="47" t="inlineStr">
        <is>
          <t>5G 가성비</t>
        </is>
      </c>
      <c r="C1448" s="47" t="inlineStr">
        <is>
          <t>50분</t>
        </is>
      </c>
      <c r="D1448" s="47" t="inlineStr">
        <is>
          <t>50건</t>
        </is>
      </c>
      <c r="E1448" s="47" t="inlineStr">
        <is>
          <t>월 2GB</t>
        </is>
      </c>
      <c r="F1448" s="47" t="inlineStr">
        <is>
          <t>KT</t>
        </is>
      </c>
      <c r="G1448" s="47" t="inlineStr">
        <is>
          <t>5G</t>
        </is>
      </c>
      <c r="H1448" s="48" t="n">
        <v>7700</v>
      </c>
      <c r="I1448" s="48" t="n"/>
      <c r="J1448" s="48" t="n"/>
      <c r="K1448" s="47">
        <f t="array" ref="K1448">_xlfn.XLOOKUP(1,(참조!$B$2:$B$15=E1448)*(참조!$D$2:$D$15=C1448)*(참조!$E$2:$E$15=D1448),참조!$C$2:$C$15,"")</f>
        <v/>
      </c>
    </row>
    <row r="1449" hidden="1" s="27">
      <c r="A1449" s="47" t="inlineStr">
        <is>
          <t>위너스텔</t>
        </is>
      </c>
      <c r="B1449" s="47" t="inlineStr">
        <is>
          <t>조은 88</t>
        </is>
      </c>
      <c r="C1449" s="47" t="inlineStr">
        <is>
          <t>120분</t>
        </is>
      </c>
      <c r="D1449" s="47" t="inlineStr">
        <is>
          <t>120건</t>
        </is>
      </c>
      <c r="E1449" s="47" t="inlineStr">
        <is>
          <t>월 1GB</t>
        </is>
      </c>
      <c r="F1449" s="47" t="inlineStr">
        <is>
          <t>KT</t>
        </is>
      </c>
      <c r="G1449" s="47" t="inlineStr">
        <is>
          <t>LTE</t>
        </is>
      </c>
      <c r="H1449" s="48" t="n">
        <v>7700</v>
      </c>
      <c r="I1449" s="48" t="n"/>
      <c r="J1449" s="48" t="n"/>
      <c r="K1449" s="47">
        <f t="array" ref="K1449">_xlfn.XLOOKUP(1,(참조!$B$2:$B$15=E1449)*(참조!$D$2:$D$15=C1449)*(참조!$E$2:$E$15=D1449),참조!$C$2:$C$15,"")</f>
        <v/>
      </c>
    </row>
    <row r="1450" hidden="1" s="27">
      <c r="A1450" s="47" t="inlineStr">
        <is>
          <t>스마텔</t>
        </is>
      </c>
      <c r="B1450" s="47" t="inlineStr">
        <is>
          <t>5G 스위트 110GB</t>
        </is>
      </c>
      <c r="C1450" s="47" t="inlineStr">
        <is>
          <t>무제한</t>
        </is>
      </c>
      <c r="D1450" s="47" t="inlineStr">
        <is>
          <t>무제한</t>
        </is>
      </c>
      <c r="E1450" s="47" t="inlineStr">
        <is>
          <t>월 110GB + 5Mbps</t>
        </is>
      </c>
      <c r="F1450" s="47" t="inlineStr">
        <is>
          <t>KT</t>
        </is>
      </c>
      <c r="G1450" s="47" t="inlineStr">
        <is>
          <t>5G</t>
        </is>
      </c>
      <c r="H1450" s="48" t="n">
        <v>44000</v>
      </c>
      <c r="I1450" s="48" t="n">
        <v>36</v>
      </c>
      <c r="J1450" s="48" t="n">
        <v>47300</v>
      </c>
      <c r="K1450" s="47">
        <f t="array" ref="K1450">_xlfn.XLOOKUP(1,(참조!$B$2:$B$15=E1450)*(참조!$D$2:$D$15=C1450)*(참조!$E$2:$E$15=D1450),참조!$C$2:$C$15,"")</f>
        <v/>
      </c>
    </row>
    <row r="1451" hidden="1" s="27">
      <c r="A1451" s="47" t="inlineStr">
        <is>
          <t>에이모바일</t>
        </is>
      </c>
      <c r="B1451" s="47" t="inlineStr">
        <is>
          <t>A 갓성비 1GB/100분</t>
        </is>
      </c>
      <c r="C1451" s="47" t="inlineStr">
        <is>
          <t>100분</t>
        </is>
      </c>
      <c r="D1451" s="47" t="inlineStr">
        <is>
          <t>50건</t>
        </is>
      </c>
      <c r="E1451" s="47" t="inlineStr">
        <is>
          <t>월 1GB</t>
        </is>
      </c>
      <c r="F1451" s="47" t="inlineStr">
        <is>
          <t>LG U+</t>
        </is>
      </c>
      <c r="G1451" s="47" t="inlineStr">
        <is>
          <t>LTE</t>
        </is>
      </c>
      <c r="H1451" s="48" t="n">
        <v>550</v>
      </c>
      <c r="I1451" s="48" t="n">
        <v>6</v>
      </c>
      <c r="J1451" s="48" t="n">
        <v>3960</v>
      </c>
      <c r="K1451" s="47">
        <f t="array" ref="K1451">_xlfn.XLOOKUP(1,(참조!$B$2:$B$15=E1451)*(참조!$D$2:$D$15=C1451)*(참조!$E$2:$E$15=D1451),참조!$C$2:$C$15,"")</f>
        <v/>
      </c>
    </row>
    <row r="1452" hidden="1" s="27">
      <c r="A1452" s="47" t="inlineStr">
        <is>
          <t>더원모바일</t>
        </is>
      </c>
      <c r="B1452" s="47" t="inlineStr">
        <is>
          <t>TOP 5G 200GB 기본 (지니뮤직)</t>
        </is>
      </c>
      <c r="C1452" s="47" t="inlineStr">
        <is>
          <t>무제한</t>
        </is>
      </c>
      <c r="D1452" s="47" t="inlineStr">
        <is>
          <t>무제한</t>
        </is>
      </c>
      <c r="E1452" s="47" t="inlineStr">
        <is>
          <t>월 200GB + 10Mbps</t>
        </is>
      </c>
      <c r="F1452" s="47" t="inlineStr">
        <is>
          <t>KT</t>
        </is>
      </c>
      <c r="G1452" s="47" t="inlineStr">
        <is>
          <t>5G</t>
        </is>
      </c>
      <c r="H1452" s="48" t="n">
        <v>24200</v>
      </c>
      <c r="I1452" s="48" t="n">
        <v>7</v>
      </c>
      <c r="J1452" s="48" t="n">
        <v>55000</v>
      </c>
      <c r="K1452" s="47">
        <f t="array" ref="K1452">_xlfn.XLOOKUP(1,(참조!$B$2:$B$15=E1452)*(참조!$D$2:$D$15=C1452)*(참조!$E$2:$E$15=D1452),참조!$C$2:$C$15,"")</f>
        <v/>
      </c>
    </row>
    <row r="1453" hidden="1" s="27">
      <c r="A1453" s="47" t="inlineStr">
        <is>
          <t>에이모바일</t>
        </is>
      </c>
      <c r="B1453" s="47" t="inlineStr">
        <is>
          <t>A 스페셜 15GB+</t>
        </is>
      </c>
      <c r="C1453" s="47" t="inlineStr">
        <is>
          <t>무제한</t>
        </is>
      </c>
      <c r="D1453" s="47" t="inlineStr">
        <is>
          <t>무제한</t>
        </is>
      </c>
      <c r="E1453" s="47" t="inlineStr">
        <is>
          <t>월 15GB + 1Mbps</t>
        </is>
      </c>
      <c r="F1453" s="47" t="inlineStr">
        <is>
          <t>LG U+</t>
        </is>
      </c>
      <c r="G1453" s="47" t="inlineStr">
        <is>
          <t>LTE</t>
        </is>
      </c>
      <c r="H1453" s="48" t="n">
        <v>7500</v>
      </c>
      <c r="I1453" s="48" t="n">
        <v>7</v>
      </c>
      <c r="J1453" s="48" t="n">
        <v>28600</v>
      </c>
      <c r="K1453" s="47">
        <f t="array" ref="K1453">_xlfn.XLOOKUP(1,(참조!$B$2:$B$15=E1453)*(참조!$D$2:$D$15=C1453)*(참조!$E$2:$E$15=D1453),참조!$C$2:$C$15,"")</f>
        <v/>
      </c>
    </row>
    <row r="1454" hidden="1" s="27">
      <c r="A1454" s="47" t="inlineStr">
        <is>
          <t>스마텔</t>
        </is>
      </c>
      <c r="B1454" s="47" t="inlineStr">
        <is>
          <t>스위트 100분 15GB+(밀리의서재)</t>
        </is>
      </c>
      <c r="C1454" s="47" t="inlineStr">
        <is>
          <t>100분</t>
        </is>
      </c>
      <c r="D1454" s="47" t="inlineStr">
        <is>
          <t>100건</t>
        </is>
      </c>
      <c r="E1454" s="47" t="inlineStr">
        <is>
          <t>월 15GB + 3Mbps</t>
        </is>
      </c>
      <c r="F1454" s="47" t="inlineStr">
        <is>
          <t>KT</t>
        </is>
      </c>
      <c r="G1454" s="47" t="inlineStr">
        <is>
          <t>LTE</t>
        </is>
      </c>
      <c r="H1454" s="48" t="n">
        <v>18000</v>
      </c>
      <c r="I1454" s="48" t="n">
        <v>7</v>
      </c>
      <c r="J1454" s="48" t="n">
        <v>33000</v>
      </c>
      <c r="K1454" s="47">
        <f t="array" ref="K1454">_xlfn.XLOOKUP(1,(참조!$B$2:$B$15=E1454)*(참조!$D$2:$D$15=C1454)*(참조!$E$2:$E$15=D1454),참조!$C$2:$C$15,"")</f>
        <v/>
      </c>
    </row>
    <row r="1455" hidden="1" s="27">
      <c r="A1455" s="47" t="inlineStr">
        <is>
          <t>아이즈모바일</t>
        </is>
      </c>
      <c r="B1455" s="47" t="inlineStr">
        <is>
          <t>[S]아이즈팩 100분/15GB+</t>
        </is>
      </c>
      <c r="C1455" s="47" t="inlineStr">
        <is>
          <t>100분</t>
        </is>
      </c>
      <c r="D1455" s="47" t="inlineStr">
        <is>
          <t>100건</t>
        </is>
      </c>
      <c r="E1455" s="47" t="inlineStr">
        <is>
          <t>월 15GB + 3Mbps</t>
        </is>
      </c>
      <c r="F1455" s="47" t="inlineStr">
        <is>
          <t>SKT</t>
        </is>
      </c>
      <c r="G1455" s="47" t="inlineStr">
        <is>
          <t>LTE</t>
        </is>
      </c>
      <c r="H1455" s="48" t="n">
        <v>7700</v>
      </c>
      <c r="I1455" s="48" t="n">
        <v>7</v>
      </c>
      <c r="J1455" s="48" t="n">
        <v>35200</v>
      </c>
      <c r="K1455" s="47">
        <f t="array" ref="K1455">_xlfn.XLOOKUP(1,(참조!$B$2:$B$15=E1455)*(참조!$D$2:$D$15=C1455)*(참조!$E$2:$E$15=D1455),참조!$C$2:$C$15,"")</f>
        <v/>
      </c>
    </row>
    <row r="1456" hidden="1" s="27">
      <c r="A1456" s="47" t="inlineStr">
        <is>
          <t>아이즈모바일</t>
        </is>
      </c>
      <c r="B1456" s="47" t="inlineStr">
        <is>
          <t>[K]무한7GB+ Npay</t>
        </is>
      </c>
      <c r="C1456" s="47" t="inlineStr">
        <is>
          <t>무제한</t>
        </is>
      </c>
      <c r="D1456" s="47" t="inlineStr">
        <is>
          <t>무제한</t>
        </is>
      </c>
      <c r="E1456" s="47" t="inlineStr">
        <is>
          <t>월 7GB + 1Mbps</t>
        </is>
      </c>
      <c r="F1456" s="47" t="inlineStr">
        <is>
          <t>KT</t>
        </is>
      </c>
      <c r="G1456" s="47" t="inlineStr">
        <is>
          <t>LTE</t>
        </is>
      </c>
      <c r="H1456" s="48" t="n">
        <v>4900</v>
      </c>
      <c r="I1456" s="48" t="n">
        <v>7</v>
      </c>
      <c r="J1456" s="48" t="n">
        <v>26400</v>
      </c>
      <c r="K1456" s="47">
        <f t="array" ref="K1456">_xlfn.XLOOKUP(1,(참조!$B$2:$B$15=E1456)*(참조!$D$2:$D$15=C1456)*(참조!$E$2:$E$15=D1456),참조!$C$2:$C$15,"")</f>
        <v/>
      </c>
    </row>
    <row r="1457" hidden="1" s="27">
      <c r="A1457" s="47" t="inlineStr">
        <is>
          <t>KT엠모바일</t>
        </is>
      </c>
      <c r="B1457" s="47" t="inlineStr">
        <is>
          <t>5G 모두다 맘껏 50GB+</t>
        </is>
      </c>
      <c r="C1457" s="47" t="inlineStr">
        <is>
          <t>무제한</t>
        </is>
      </c>
      <c r="D1457" s="47" t="inlineStr">
        <is>
          <t>무제한</t>
        </is>
      </c>
      <c r="E1457" s="47" t="inlineStr">
        <is>
          <t>월 50GB + 1Mbps</t>
        </is>
      </c>
      <c r="F1457" s="47" t="inlineStr">
        <is>
          <t>KT</t>
        </is>
      </c>
      <c r="G1457" s="47" t="inlineStr">
        <is>
          <t>5G</t>
        </is>
      </c>
      <c r="H1457" s="48" t="n">
        <v>37900</v>
      </c>
      <c r="I1457" s="48" t="n"/>
      <c r="J1457" s="48" t="n"/>
      <c r="K1457" s="47">
        <f t="array" ref="K1457">_xlfn.XLOOKUP(1,(참조!$B$2:$B$15=E1457)*(참조!$D$2:$D$15=C1457)*(참조!$E$2:$E$15=D1457),참조!$C$2:$C$15,"")</f>
        <v/>
      </c>
    </row>
    <row r="1458" hidden="1" s="27">
      <c r="A1458" s="47" t="inlineStr">
        <is>
          <t>티플러스</t>
        </is>
      </c>
      <c r="B1458" s="47" t="inlineStr">
        <is>
          <t>The 완전마음껏 10GB＋</t>
        </is>
      </c>
      <c r="C1458" s="47" t="inlineStr">
        <is>
          <t>무제한</t>
        </is>
      </c>
      <c r="D1458" s="47" t="inlineStr">
        <is>
          <t>무제한</t>
        </is>
      </c>
      <c r="E1458" s="47" t="inlineStr">
        <is>
          <t>월 10GB + 1Mbps</t>
        </is>
      </c>
      <c r="F1458" s="47" t="inlineStr">
        <is>
          <t>SKT</t>
        </is>
      </c>
      <c r="G1458" s="47" t="inlineStr">
        <is>
          <t>LTE</t>
        </is>
      </c>
      <c r="H1458" s="48" t="n">
        <v>8900</v>
      </c>
      <c r="I1458" s="48" t="n">
        <v>7</v>
      </c>
      <c r="J1458" s="48" t="n">
        <v>29700</v>
      </c>
      <c r="K1458" s="47">
        <f t="array" ref="K1458">_xlfn.XLOOKUP(1,(참조!$B$2:$B$15=E1458)*(참조!$D$2:$D$15=C1458)*(참조!$E$2:$E$15=D1458),참조!$C$2:$C$15,"")</f>
        <v/>
      </c>
    </row>
    <row r="1459" hidden="1" s="27">
      <c r="A1459" s="47" t="inlineStr">
        <is>
          <t>이야기모바일</t>
        </is>
      </c>
      <c r="B1459" s="47" t="inlineStr">
        <is>
          <t>내맘대로 차단형 (100분+500MB)</t>
        </is>
      </c>
      <c r="C1459" s="47" t="inlineStr">
        <is>
          <t>100분</t>
        </is>
      </c>
      <c r="D1459" s="47" t="inlineStr">
        <is>
          <t>50건</t>
        </is>
      </c>
      <c r="E1459" s="47" t="inlineStr">
        <is>
          <t>월 500MB</t>
        </is>
      </c>
      <c r="F1459" s="47" t="inlineStr">
        <is>
          <t>LG U+</t>
        </is>
      </c>
      <c r="G1459" s="47" t="inlineStr">
        <is>
          <t>LTE</t>
        </is>
      </c>
      <c r="H1459" s="48" t="n">
        <v>6930</v>
      </c>
      <c r="I1459" s="48" t="n"/>
      <c r="J1459" s="48" t="n"/>
      <c r="K1459" s="47">
        <f t="array" ref="K1459">_xlfn.XLOOKUP(1,(참조!$B$2:$B$15=E1459)*(참조!$D$2:$D$15=C1459)*(참조!$E$2:$E$15=D1459),참조!$C$2:$C$15,"")</f>
        <v/>
      </c>
    </row>
    <row r="1460" hidden="1" s="27">
      <c r="A1460" s="47" t="inlineStr">
        <is>
          <t>티플러스</t>
        </is>
      </c>
      <c r="B1460" s="47" t="inlineStr">
        <is>
          <t>티플 위드유 10GB+ (G car+세차클링)</t>
        </is>
      </c>
      <c r="C1460" s="47" t="inlineStr">
        <is>
          <t>무제한</t>
        </is>
      </c>
      <c r="D1460" s="47" t="inlineStr">
        <is>
          <t>무제한</t>
        </is>
      </c>
      <c r="E1460" s="47" t="inlineStr">
        <is>
          <t>월 10GB + 1Mbps</t>
        </is>
      </c>
      <c r="F1460" s="47" t="inlineStr">
        <is>
          <t>SKT</t>
        </is>
      </c>
      <c r="G1460" s="47" t="inlineStr">
        <is>
          <t>LTE</t>
        </is>
      </c>
      <c r="H1460" s="48" t="n">
        <v>8900</v>
      </c>
      <c r="I1460" s="48" t="n">
        <v>7</v>
      </c>
      <c r="J1460" s="48" t="n">
        <v>29700</v>
      </c>
      <c r="K1460" s="47">
        <f t="array" ref="K1460">_xlfn.XLOOKUP(1,(참조!$B$2:$B$15=E1460)*(참조!$D$2:$D$15=C1460)*(참조!$E$2:$E$15=D1460),참조!$C$2:$C$15,"")</f>
        <v/>
      </c>
    </row>
    <row r="1461" hidden="1" s="27">
      <c r="A1461" s="47" t="inlineStr">
        <is>
          <t>스마텔</t>
        </is>
      </c>
      <c r="B1461" s="47" t="inlineStr">
        <is>
          <t>CU 스위트 100분/15GB+</t>
        </is>
      </c>
      <c r="C1461" s="47" t="inlineStr">
        <is>
          <t>100분</t>
        </is>
      </c>
      <c r="D1461" s="47" t="inlineStr">
        <is>
          <t>100건</t>
        </is>
      </c>
      <c r="E1461" s="47" t="inlineStr">
        <is>
          <t>월 15GB + 3Mbps</t>
        </is>
      </c>
      <c r="F1461" s="47" t="inlineStr">
        <is>
          <t>KT</t>
        </is>
      </c>
      <c r="G1461" s="47" t="inlineStr">
        <is>
          <t>LTE</t>
        </is>
      </c>
      <c r="H1461" s="48" t="n">
        <v>18000</v>
      </c>
      <c r="I1461" s="48" t="n">
        <v>7</v>
      </c>
      <c r="J1461" s="48" t="n">
        <v>33000</v>
      </c>
      <c r="K1461" s="47">
        <f t="array" ref="K1461">_xlfn.XLOOKUP(1,(참조!$B$2:$B$15=E1461)*(참조!$D$2:$D$15=C1461)*(참조!$E$2:$E$15=D1461),참조!$C$2:$C$15,"")</f>
        <v/>
      </c>
    </row>
    <row r="1462" hidden="1" s="27">
      <c r="A1462" s="47" t="inlineStr">
        <is>
          <t>아이즈모바일</t>
        </is>
      </c>
      <c r="B1462" s="47" t="inlineStr">
        <is>
          <t>[L]아이즈100분/15GB+</t>
        </is>
      </c>
      <c r="C1462" s="47" t="inlineStr">
        <is>
          <t>100분</t>
        </is>
      </c>
      <c r="D1462" s="47" t="inlineStr">
        <is>
          <t>100건</t>
        </is>
      </c>
      <c r="E1462" s="47" t="inlineStr">
        <is>
          <t>월 15GB + 3Mbps</t>
        </is>
      </c>
      <c r="F1462" s="47" t="inlineStr">
        <is>
          <t>LG U+</t>
        </is>
      </c>
      <c r="G1462" s="47" t="inlineStr">
        <is>
          <t>LTE</t>
        </is>
      </c>
      <c r="H1462" s="48" t="n">
        <v>10900</v>
      </c>
      <c r="I1462" s="48" t="n">
        <v>7</v>
      </c>
      <c r="J1462" s="48" t="n">
        <v>37400</v>
      </c>
      <c r="K1462" s="47">
        <f t="array" ref="K1462">_xlfn.XLOOKUP(1,(참조!$B$2:$B$15=E1462)*(참조!$D$2:$D$15=C1462)*(참조!$E$2:$E$15=D1462),참조!$C$2:$C$15,"")</f>
        <v/>
      </c>
    </row>
    <row r="1463" hidden="1" s="27">
      <c r="A1463" s="47" t="inlineStr">
        <is>
          <t>티플러스</t>
        </is>
      </c>
      <c r="B1463" s="47" t="inlineStr">
        <is>
          <t>티플 10G＋(CU멤버십＋매월 5000P)</t>
        </is>
      </c>
      <c r="C1463" s="47" t="inlineStr">
        <is>
          <t>무제한</t>
        </is>
      </c>
      <c r="D1463" s="47" t="inlineStr">
        <is>
          <t>무제한</t>
        </is>
      </c>
      <c r="E1463" s="47" t="inlineStr">
        <is>
          <t>월 10GB + 1Mbps</t>
        </is>
      </c>
      <c r="F1463" s="47" t="inlineStr">
        <is>
          <t>SKT</t>
        </is>
      </c>
      <c r="G1463" s="47" t="inlineStr">
        <is>
          <t>LTE</t>
        </is>
      </c>
      <c r="H1463" s="48" t="n">
        <v>8900</v>
      </c>
      <c r="I1463" s="48" t="n">
        <v>7</v>
      </c>
      <c r="J1463" s="48" t="n">
        <v>33000</v>
      </c>
      <c r="K1463" s="47">
        <f t="array" ref="K1463">_xlfn.XLOOKUP(1,(참조!$B$2:$B$15=E1463)*(참조!$D$2:$D$15=C1463)*(참조!$E$2:$E$15=D1463),참조!$C$2:$C$15,"")</f>
        <v/>
      </c>
    </row>
    <row r="1464" hidden="1" s="27">
      <c r="A1464" s="47" t="inlineStr">
        <is>
          <t>핀다이렉트</t>
        </is>
      </c>
      <c r="B1464" s="47" t="inlineStr">
        <is>
          <t>[모요only] [K] 핀다이렉트Z Mini + 밀리의서재 _PIN</t>
        </is>
      </c>
      <c r="C1464" s="47" t="inlineStr">
        <is>
          <t>무제한</t>
        </is>
      </c>
      <c r="D1464" s="47" t="inlineStr">
        <is>
          <t>무제한</t>
        </is>
      </c>
      <c r="E1464" s="47" t="inlineStr">
        <is>
          <t>월 7GB + 1Mbps</t>
        </is>
      </c>
      <c r="F1464" s="47" t="inlineStr">
        <is>
          <t>KT</t>
        </is>
      </c>
      <c r="G1464" s="47" t="inlineStr">
        <is>
          <t>LTE</t>
        </is>
      </c>
      <c r="H1464" s="48" t="n">
        <v>9900</v>
      </c>
      <c r="I1464" s="48" t="n">
        <v>7</v>
      </c>
      <c r="J1464" s="48" t="n">
        <v>22000</v>
      </c>
      <c r="K1464" s="47">
        <f t="array" ref="K1464">_xlfn.XLOOKUP(1,(참조!$B$2:$B$15=E1464)*(참조!$D$2:$D$15=C1464)*(참조!$E$2:$E$15=D1464),참조!$C$2:$C$15,"")</f>
        <v/>
      </c>
    </row>
    <row r="1465" hidden="1" s="27">
      <c r="A1465" s="47" t="inlineStr">
        <is>
          <t>스마텔</t>
        </is>
      </c>
      <c r="B1465" s="47" t="inlineStr">
        <is>
          <t>스위트2 15GB+(네이버페이)</t>
        </is>
      </c>
      <c r="C1465" s="47" t="inlineStr">
        <is>
          <t>300분</t>
        </is>
      </c>
      <c r="D1465" s="47" t="inlineStr">
        <is>
          <t>300건</t>
        </is>
      </c>
      <c r="E1465" s="47" t="inlineStr">
        <is>
          <t>월 15GB + 3Mbps</t>
        </is>
      </c>
      <c r="F1465" s="47" t="inlineStr">
        <is>
          <t>KT</t>
        </is>
      </c>
      <c r="G1465" s="47" t="inlineStr">
        <is>
          <t>LTE</t>
        </is>
      </c>
      <c r="H1465" s="48" t="n">
        <v>31900</v>
      </c>
      <c r="I1465" s="48" t="n">
        <v>36</v>
      </c>
      <c r="J1465" s="48" t="n">
        <v>38500</v>
      </c>
      <c r="K1465" s="47">
        <f t="array" ref="K1465">_xlfn.XLOOKUP(1,(참조!$B$2:$B$15=E1465)*(참조!$D$2:$D$15=C1465)*(참조!$E$2:$E$15=D1465),참조!$C$2:$C$15,"")</f>
        <v/>
      </c>
    </row>
    <row r="1466" hidden="1" s="27">
      <c r="A1466" s="47" t="inlineStr">
        <is>
          <t>아이즈모바일</t>
        </is>
      </c>
      <c r="B1466" s="47" t="inlineStr">
        <is>
          <t>[S]음성자유/3GB</t>
        </is>
      </c>
      <c r="C1466" s="47" t="inlineStr">
        <is>
          <t>무제한</t>
        </is>
      </c>
      <c r="D1466" s="47" t="inlineStr">
        <is>
          <t>100건</t>
        </is>
      </c>
      <c r="E1466" s="47" t="inlineStr">
        <is>
          <t>월 3GB</t>
        </is>
      </c>
      <c r="F1466" s="47" t="inlineStr">
        <is>
          <t>SKT</t>
        </is>
      </c>
      <c r="G1466" s="47" t="inlineStr">
        <is>
          <t>LTE</t>
        </is>
      </c>
      <c r="H1466" s="48" t="n">
        <v>3900</v>
      </c>
      <c r="I1466" s="48" t="n"/>
      <c r="J1466" s="48" t="n"/>
      <c r="K1466" s="47">
        <f t="array" ref="K1466">_xlfn.XLOOKUP(1,(참조!$B$2:$B$15=E1466)*(참조!$D$2:$D$15=C1466)*(참조!$E$2:$E$15=D1466),참조!$C$2:$C$15,"")</f>
        <v/>
      </c>
    </row>
    <row r="1467" hidden="1" s="27">
      <c r="A1467" s="47" t="inlineStr">
        <is>
          <t>리브모바일</t>
        </is>
      </c>
      <c r="B1467" s="47" t="inlineStr">
        <is>
          <t>더블업 LTE 20GB+ (10+10 24개월) / 평생가 20,000원</t>
        </is>
      </c>
      <c r="C1467" s="47" t="inlineStr">
        <is>
          <t>무제한</t>
        </is>
      </c>
      <c r="D1467" s="47" t="inlineStr">
        <is>
          <t>무제한</t>
        </is>
      </c>
      <c r="E1467" s="47" t="inlineStr">
        <is>
          <t>월 20GB + 1Mbps</t>
        </is>
      </c>
      <c r="F1467" s="47" t="inlineStr">
        <is>
          <t>LG U+</t>
        </is>
      </c>
      <c r="G1467" s="47" t="inlineStr">
        <is>
          <t>LTE</t>
        </is>
      </c>
      <c r="H1467" s="48" t="n">
        <v>20000</v>
      </c>
      <c r="I1467" s="48" t="n"/>
      <c r="J1467" s="48" t="n"/>
      <c r="K1467" s="47">
        <f t="array" ref="K1467">_xlfn.XLOOKUP(1,(참조!$B$2:$B$15=E1467)*(참조!$D$2:$D$15=C1467)*(참조!$E$2:$E$15=D1467),참조!$C$2:$C$15,"")</f>
        <v/>
      </c>
    </row>
    <row r="1468" hidden="1" s="27">
      <c r="A1468" s="47" t="inlineStr">
        <is>
          <t>아이즈모바일</t>
        </is>
      </c>
      <c r="B1468" s="47" t="inlineStr">
        <is>
          <t>[L]그란데(300분/5GB)</t>
        </is>
      </c>
      <c r="C1468" s="47" t="inlineStr">
        <is>
          <t>300분</t>
        </is>
      </c>
      <c r="D1468" s="47" t="inlineStr">
        <is>
          <t>100건</t>
        </is>
      </c>
      <c r="E1468" s="47" t="inlineStr">
        <is>
          <t>월 5GB</t>
        </is>
      </c>
      <c r="F1468" s="47" t="inlineStr">
        <is>
          <t>LG U+</t>
        </is>
      </c>
      <c r="G1468" s="47" t="inlineStr">
        <is>
          <t>LTE</t>
        </is>
      </c>
      <c r="H1468" s="48" t="n">
        <v>5000</v>
      </c>
      <c r="I1468" s="48" t="n">
        <v>24</v>
      </c>
      <c r="J1468" s="48" t="n">
        <v>14900</v>
      </c>
      <c r="K1468" s="47">
        <f t="array" ref="K1468">_xlfn.XLOOKUP(1,(참조!$B$2:$B$15=E1468)*(참조!$D$2:$D$15=C1468)*(참조!$E$2:$E$15=D1468),참조!$C$2:$C$15,"")</f>
        <v/>
      </c>
    </row>
    <row r="1469" hidden="1" s="27">
      <c r="A1469" s="47" t="inlineStr">
        <is>
          <t>고고모바일</t>
        </is>
      </c>
      <c r="B1469" s="47" t="inlineStr">
        <is>
          <t>LTE200분/5GB+1M</t>
        </is>
      </c>
      <c r="C1469" s="47" t="inlineStr">
        <is>
          <t>200분</t>
        </is>
      </c>
      <c r="D1469" s="47" t="inlineStr">
        <is>
          <t>100건</t>
        </is>
      </c>
      <c r="E1469" s="47" t="inlineStr">
        <is>
          <t>월 5GB + 1Mbps</t>
        </is>
      </c>
      <c r="F1469" s="47" t="inlineStr">
        <is>
          <t>KT</t>
        </is>
      </c>
      <c r="G1469" s="47" t="inlineStr">
        <is>
          <t>LTE</t>
        </is>
      </c>
      <c r="H1469" s="48" t="n">
        <v>11660</v>
      </c>
      <c r="I1469" s="48" t="n"/>
      <c r="J1469" s="48" t="n"/>
      <c r="K1469" s="47">
        <f t="array" ref="K1469">_xlfn.XLOOKUP(1,(참조!$B$2:$B$15=E1469)*(참조!$D$2:$D$15=C1469)*(참조!$E$2:$E$15=D1469),참조!$C$2:$C$15,"")</f>
        <v/>
      </c>
    </row>
    <row r="1470" hidden="1" s="27">
      <c r="A1470" s="47" t="inlineStr">
        <is>
          <t>모빙</t>
        </is>
      </c>
      <c r="B1470" s="47" t="inlineStr">
        <is>
          <t>[L] 데이터 10GB+_2y_plus</t>
        </is>
      </c>
      <c r="C1470" s="47" t="inlineStr">
        <is>
          <t>무제한</t>
        </is>
      </c>
      <c r="D1470" s="47" t="inlineStr">
        <is>
          <t>무제한</t>
        </is>
      </c>
      <c r="E1470" s="47" t="inlineStr">
        <is>
          <t>월 10GB + 1Mbps</t>
        </is>
      </c>
      <c r="F1470" s="47" t="inlineStr">
        <is>
          <t>LG U+</t>
        </is>
      </c>
      <c r="G1470" s="47" t="inlineStr">
        <is>
          <t>LTE</t>
        </is>
      </c>
      <c r="H1470" s="48" t="n">
        <v>13000</v>
      </c>
      <c r="I1470" s="48" t="n">
        <v>24</v>
      </c>
      <c r="J1470" s="48" t="n">
        <v>30800</v>
      </c>
      <c r="K1470" s="47">
        <f t="array" ref="K1470">_xlfn.XLOOKUP(1,(참조!$B$2:$B$15=E1470)*(참조!$D$2:$D$15=C1470)*(참조!$E$2:$E$15=D1470),참조!$C$2:$C$15,"")</f>
        <v/>
      </c>
    </row>
    <row r="1471" hidden="1" s="27">
      <c r="A1471" s="47" t="inlineStr">
        <is>
          <t>이야기모바일</t>
        </is>
      </c>
      <c r="B1471" s="47" t="inlineStr">
        <is>
          <t>이야기K 데이터 7GB+(밀리의서재)</t>
        </is>
      </c>
      <c r="C1471" s="47" t="inlineStr">
        <is>
          <t>무제한</t>
        </is>
      </c>
      <c r="D1471" s="47" t="inlineStr">
        <is>
          <t>무제한</t>
        </is>
      </c>
      <c r="E1471" s="47" t="inlineStr">
        <is>
          <t>월 7GB + 1Mbps</t>
        </is>
      </c>
      <c r="F1471" s="47" t="inlineStr">
        <is>
          <t>KT</t>
        </is>
      </c>
      <c r="G1471" s="47" t="inlineStr">
        <is>
          <t>LTE</t>
        </is>
      </c>
      <c r="H1471" s="48" t="n">
        <v>9900</v>
      </c>
      <c r="I1471" s="48" t="n">
        <v>7</v>
      </c>
      <c r="J1471" s="48" t="n">
        <v>24200</v>
      </c>
      <c r="K1471" s="47">
        <f t="array" ref="K1471">_xlfn.XLOOKUP(1,(참조!$B$2:$B$15=E1471)*(참조!$D$2:$D$15=C1471)*(참조!$E$2:$E$15=D1471),참조!$C$2:$C$15,"")</f>
        <v/>
      </c>
    </row>
    <row r="1472" hidden="1" s="27">
      <c r="A1472" s="47" t="inlineStr">
        <is>
          <t>KT스카이라이프</t>
        </is>
      </c>
      <c r="B1472" s="47" t="inlineStr">
        <is>
          <t>모두 충분 2.5GB+</t>
        </is>
      </c>
      <c r="C1472" s="47" t="inlineStr">
        <is>
          <t>무제한</t>
        </is>
      </c>
      <c r="D1472" s="47" t="inlineStr">
        <is>
          <t>무제한</t>
        </is>
      </c>
      <c r="E1472" s="47" t="inlineStr">
        <is>
          <t>월 2.5GB + 400Kbps</t>
        </is>
      </c>
      <c r="F1472" s="47" t="inlineStr">
        <is>
          <t>KT</t>
        </is>
      </c>
      <c r="G1472" s="47" t="inlineStr">
        <is>
          <t>LTE</t>
        </is>
      </c>
      <c r="H1472" s="48" t="n">
        <v>11800</v>
      </c>
      <c r="I1472" s="48" t="n"/>
      <c r="J1472" s="48" t="n"/>
      <c r="K1472" s="47">
        <f t="array" ref="K1472">_xlfn.XLOOKUP(1,(참조!$B$2:$B$15=E1472)*(참조!$D$2:$D$15=C1472)*(참조!$E$2:$E$15=D1472),참조!$C$2:$C$15,"")</f>
        <v/>
      </c>
    </row>
    <row r="1473" hidden="1" s="27">
      <c r="A1473" s="47" t="inlineStr">
        <is>
          <t>모빙</t>
        </is>
      </c>
      <c r="B1473" s="47" t="inlineStr">
        <is>
          <t>[L] 데이터 15GB+</t>
        </is>
      </c>
      <c r="C1473" s="47" t="inlineStr">
        <is>
          <t>무제한</t>
        </is>
      </c>
      <c r="D1473" s="47" t="inlineStr">
        <is>
          <t>무제한</t>
        </is>
      </c>
      <c r="E1473" s="47" t="inlineStr">
        <is>
          <t>월 15GB + 1Mbps</t>
        </is>
      </c>
      <c r="F1473" s="47" t="inlineStr">
        <is>
          <t>LG U+</t>
        </is>
      </c>
      <c r="G1473" s="47" t="inlineStr">
        <is>
          <t>LTE</t>
        </is>
      </c>
      <c r="H1473" s="48" t="n">
        <v>12000</v>
      </c>
      <c r="I1473" s="48" t="n">
        <v>7</v>
      </c>
      <c r="J1473" s="48" t="n">
        <v>33000</v>
      </c>
      <c r="K1473" s="47">
        <f t="array" ref="K1473">_xlfn.XLOOKUP(1,(참조!$B$2:$B$15=E1473)*(참조!$D$2:$D$15=C1473)*(참조!$E$2:$E$15=D1473),참조!$C$2:$C$15,"")</f>
        <v/>
      </c>
    </row>
    <row r="1474" hidden="1" s="27">
      <c r="A1474" s="47" t="inlineStr">
        <is>
          <t>U+유모바일</t>
        </is>
      </c>
      <c r="B1474" s="47" t="inlineStr">
        <is>
          <t>[다이소 12만] 1GB+</t>
        </is>
      </c>
      <c r="C1474" s="47" t="inlineStr">
        <is>
          <t>무제한</t>
        </is>
      </c>
      <c r="D1474" s="47" t="inlineStr">
        <is>
          <t>무제한</t>
        </is>
      </c>
      <c r="E1474" s="47" t="inlineStr">
        <is>
          <t>월 1GB + 1Mbps</t>
        </is>
      </c>
      <c r="F1474" s="47" t="inlineStr">
        <is>
          <t>LG U+</t>
        </is>
      </c>
      <c r="G1474" s="47" t="inlineStr">
        <is>
          <t>LTE</t>
        </is>
      </c>
      <c r="H1474" s="48" t="n">
        <v>11400</v>
      </c>
      <c r="I1474" s="48" t="n"/>
      <c r="J1474" s="48" t="n"/>
      <c r="K1474" s="47">
        <f t="array" ref="K1474">_xlfn.XLOOKUP(1,(참조!$B$2:$B$15=E1474)*(참조!$D$2:$D$15=C1474)*(참조!$E$2:$E$15=D1474),참조!$C$2:$C$15,"")</f>
        <v/>
      </c>
    </row>
    <row r="1475" hidden="1" s="27">
      <c r="A1475" s="47" t="inlineStr">
        <is>
          <t>이지모바일</t>
        </is>
      </c>
      <c r="B1475" s="47" t="inlineStr">
        <is>
          <t>이지 무한 7G+1</t>
        </is>
      </c>
      <c r="C1475" s="47" t="inlineStr">
        <is>
          <t>무제한</t>
        </is>
      </c>
      <c r="D1475" s="47" t="inlineStr">
        <is>
          <t>무제한</t>
        </is>
      </c>
      <c r="E1475" s="47" t="inlineStr">
        <is>
          <t>월 7GB + 1Mbps</t>
        </is>
      </c>
      <c r="F1475" s="47" t="inlineStr">
        <is>
          <t>LG U+</t>
        </is>
      </c>
      <c r="G1475" s="47" t="inlineStr">
        <is>
          <t>LTE</t>
        </is>
      </c>
      <c r="H1475" s="48" t="n">
        <v>9500</v>
      </c>
      <c r="I1475" s="48" t="n">
        <v>7</v>
      </c>
      <c r="J1475" s="48" t="n">
        <v>20900</v>
      </c>
      <c r="K1475" s="47">
        <f t="array" ref="K1475">_xlfn.XLOOKUP(1,(참조!$B$2:$B$15=E1475)*(참조!$D$2:$D$15=C1475)*(참조!$E$2:$E$15=D1475),참조!$C$2:$C$15,"")</f>
        <v/>
      </c>
    </row>
    <row r="1476" hidden="1" s="27">
      <c r="A1476" s="47" t="inlineStr">
        <is>
          <t>KG모바일</t>
        </is>
      </c>
      <c r="B1476" s="47" t="inlineStr">
        <is>
          <t>[모빌카드 스페셜] 통화, 데이터 마음대로 10GB+</t>
        </is>
      </c>
      <c r="C1476" s="47" t="inlineStr">
        <is>
          <t>무제한</t>
        </is>
      </c>
      <c r="D1476" s="47" t="inlineStr">
        <is>
          <t>무제한</t>
        </is>
      </c>
      <c r="E1476" s="47" t="inlineStr">
        <is>
          <t>월 10GB + 1Mbps</t>
        </is>
      </c>
      <c r="F1476" s="47" t="inlineStr">
        <is>
          <t>LG U+</t>
        </is>
      </c>
      <c r="G1476" s="47" t="inlineStr">
        <is>
          <t>LTE</t>
        </is>
      </c>
      <c r="H1476" s="48" t="n">
        <v>9500</v>
      </c>
      <c r="I1476" s="48" t="n">
        <v>7</v>
      </c>
      <c r="J1476" s="48" t="n">
        <v>26400</v>
      </c>
      <c r="K1476" s="47">
        <f t="array" ref="K1476">_xlfn.XLOOKUP(1,(참조!$B$2:$B$15=E1476)*(참조!$D$2:$D$15=C1476)*(참조!$E$2:$E$15=D1476),참조!$C$2:$C$15,"")</f>
        <v/>
      </c>
    </row>
    <row r="1477" hidden="1" s="27">
      <c r="A1477" s="47" t="inlineStr">
        <is>
          <t>모빙</t>
        </is>
      </c>
      <c r="B1477" s="47" t="inlineStr">
        <is>
          <t>[K] 300분15GB+</t>
        </is>
      </c>
      <c r="C1477" s="47" t="inlineStr">
        <is>
          <t>300분</t>
        </is>
      </c>
      <c r="D1477" s="47" t="inlineStr">
        <is>
          <t>300건</t>
        </is>
      </c>
      <c r="E1477" s="47" t="inlineStr">
        <is>
          <t>월 15GB + 3Mbps</t>
        </is>
      </c>
      <c r="F1477" s="47" t="inlineStr">
        <is>
          <t>KT</t>
        </is>
      </c>
      <c r="G1477" s="47" t="inlineStr">
        <is>
          <t>LTE</t>
        </is>
      </c>
      <c r="H1477" s="48" t="n">
        <v>22000</v>
      </c>
      <c r="I1477" s="48" t="n">
        <v>24</v>
      </c>
      <c r="J1477" s="48" t="n">
        <v>44000</v>
      </c>
      <c r="K1477" s="47">
        <f t="array" ref="K1477">_xlfn.XLOOKUP(1,(참조!$B$2:$B$15=E1477)*(참조!$D$2:$D$15=C1477)*(참조!$E$2:$E$15=D1477),참조!$C$2:$C$15,"")</f>
        <v/>
      </c>
    </row>
    <row r="1478" hidden="1" s="27">
      <c r="A1478" s="47" t="inlineStr">
        <is>
          <t>아이즈모바일</t>
        </is>
      </c>
      <c r="B1478" s="47" t="inlineStr">
        <is>
          <t>[L]무한7GB+</t>
        </is>
      </c>
      <c r="C1478" s="47" t="inlineStr">
        <is>
          <t>무제한</t>
        </is>
      </c>
      <c r="D1478" s="47" t="inlineStr">
        <is>
          <t>무제한</t>
        </is>
      </c>
      <c r="E1478" s="47" t="inlineStr">
        <is>
          <t>월 7GB + 1Mbps</t>
        </is>
      </c>
      <c r="F1478" s="47" t="inlineStr">
        <is>
          <t>LG U+</t>
        </is>
      </c>
      <c r="G1478" s="47" t="inlineStr">
        <is>
          <t>LTE</t>
        </is>
      </c>
      <c r="H1478" s="48" t="n">
        <v>12900</v>
      </c>
      <c r="I1478" s="48" t="n"/>
      <c r="J1478" s="48" t="n"/>
      <c r="K1478" s="47">
        <f t="array" ref="K1478">_xlfn.XLOOKUP(1,(참조!$B$2:$B$15=E1478)*(참조!$D$2:$D$15=C1478)*(참조!$E$2:$E$15=D1478),참조!$C$2:$C$15,"")</f>
        <v/>
      </c>
    </row>
    <row r="1479" hidden="1" s="27">
      <c r="A1479" s="47" t="inlineStr">
        <is>
          <t>이야기모바일</t>
        </is>
      </c>
      <c r="B1479" s="47" t="inlineStr">
        <is>
          <t>내맘대로 차단형 (200분+0MB)</t>
        </is>
      </c>
      <c r="C1479" s="47" t="inlineStr">
        <is>
          <t>200분</t>
        </is>
      </c>
      <c r="D1479" s="47" t="inlineStr">
        <is>
          <t>50건</t>
        </is>
      </c>
      <c r="E1479" s="47" t="inlineStr">
        <is>
          <t>데이터 제공안함</t>
        </is>
      </c>
      <c r="F1479" s="47" t="inlineStr">
        <is>
          <t>LG U+</t>
        </is>
      </c>
      <c r="G1479" s="47" t="inlineStr">
        <is>
          <t>LTE</t>
        </is>
      </c>
      <c r="H1479" s="48" t="n">
        <v>6950</v>
      </c>
      <c r="I1479" s="48" t="n"/>
      <c r="J1479" s="48" t="n"/>
      <c r="K1479" s="47">
        <f t="array" ref="K1479">_xlfn.XLOOKUP(1,(참조!$B$2:$B$15=E1479)*(참조!$D$2:$D$15=C1479)*(참조!$E$2:$E$15=D1479),참조!$C$2:$C$15,"")</f>
        <v/>
      </c>
    </row>
    <row r="1480" hidden="1" s="27">
      <c r="A1480" s="47" t="inlineStr">
        <is>
          <t>KT스카이라이프</t>
        </is>
      </c>
      <c r="B1480" s="47" t="inlineStr">
        <is>
          <t>모두 충분 10GB+(Pay_5000)</t>
        </is>
      </c>
      <c r="C1480" s="47" t="inlineStr">
        <is>
          <t>무제한</t>
        </is>
      </c>
      <c r="D1480" s="47" t="inlineStr">
        <is>
          <t>무제한</t>
        </is>
      </c>
      <c r="E1480" s="47" t="inlineStr">
        <is>
          <t>월 10GB + 1Mbps</t>
        </is>
      </c>
      <c r="F1480" s="47" t="inlineStr">
        <is>
          <t>KT</t>
        </is>
      </c>
      <c r="G1480" s="47" t="inlineStr">
        <is>
          <t>LTE</t>
        </is>
      </c>
      <c r="H1480" s="48" t="n">
        <v>21500</v>
      </c>
      <c r="I1480" s="48" t="n"/>
      <c r="J1480" s="48" t="n"/>
      <c r="K1480" s="47">
        <f t="array" ref="K1480">_xlfn.XLOOKUP(1,(참조!$B$2:$B$15=E1480)*(참조!$D$2:$D$15=C1480)*(참조!$E$2:$E$15=D1480),참조!$C$2:$C$15,"")</f>
        <v/>
      </c>
    </row>
    <row r="1481" hidden="1" s="27">
      <c r="A1481" s="47" t="inlineStr">
        <is>
          <t>에이모바일</t>
        </is>
      </c>
      <c r="B1481" s="47" t="inlineStr">
        <is>
          <t>A 스페셜 15GB+/300분 (24개월)</t>
        </is>
      </c>
      <c r="C1481" s="47" t="inlineStr">
        <is>
          <t>300분</t>
        </is>
      </c>
      <c r="D1481" s="47" t="inlineStr">
        <is>
          <t>300건</t>
        </is>
      </c>
      <c r="E1481" s="47" t="inlineStr">
        <is>
          <t>월 15GB + 3Mbps</t>
        </is>
      </c>
      <c r="F1481" s="47" t="inlineStr">
        <is>
          <t>LG U+</t>
        </is>
      </c>
      <c r="G1481" s="47" t="inlineStr">
        <is>
          <t>LTE</t>
        </is>
      </c>
      <c r="H1481" s="48" t="n">
        <v>22000</v>
      </c>
      <c r="I1481" s="48" t="n">
        <v>24</v>
      </c>
      <c r="J1481" s="48" t="n">
        <v>30800</v>
      </c>
      <c r="K1481" s="47">
        <f t="array" ref="K1481">_xlfn.XLOOKUP(1,(참조!$B$2:$B$15=E1481)*(참조!$D$2:$D$15=C1481)*(참조!$E$2:$E$15=D1481),참조!$C$2:$C$15,"")</f>
        <v/>
      </c>
    </row>
    <row r="1482" hidden="1" s="27">
      <c r="A1482" s="47" t="inlineStr">
        <is>
          <t>이야기모바일</t>
        </is>
      </c>
      <c r="B1482" s="47" t="inlineStr">
        <is>
          <t>이야기 라이트S 300분 15GB+</t>
        </is>
      </c>
      <c r="C1482" s="47" t="inlineStr">
        <is>
          <t>300분</t>
        </is>
      </c>
      <c r="D1482" s="47" t="inlineStr">
        <is>
          <t>300건</t>
        </is>
      </c>
      <c r="E1482" s="47" t="inlineStr">
        <is>
          <t>월 15GB + 1Mbps</t>
        </is>
      </c>
      <c r="F1482" s="47" t="inlineStr">
        <is>
          <t>SKT</t>
        </is>
      </c>
      <c r="G1482" s="47" t="inlineStr">
        <is>
          <t>LTE</t>
        </is>
      </c>
      <c r="H1482" s="48" t="n">
        <v>29150</v>
      </c>
      <c r="I1482" s="48" t="n"/>
      <c r="J1482" s="48" t="n"/>
      <c r="K1482" s="47">
        <f t="array" ref="K1482">_xlfn.XLOOKUP(1,(참조!$B$2:$B$15=E1482)*(참조!$D$2:$D$15=C1482)*(참조!$E$2:$E$15=D1482),참조!$C$2:$C$15,"")</f>
        <v/>
      </c>
    </row>
    <row r="1483" hidden="1" s="27">
      <c r="A1483" s="47" t="inlineStr">
        <is>
          <t>더원모바일</t>
        </is>
      </c>
      <c r="B1483" s="47" t="inlineStr">
        <is>
          <t>TOP 5G 200GB 기본 (올리브영)</t>
        </is>
      </c>
      <c r="C1483" s="47" t="inlineStr">
        <is>
          <t>무제한</t>
        </is>
      </c>
      <c r="D1483" s="47" t="inlineStr">
        <is>
          <t>무제한</t>
        </is>
      </c>
      <c r="E1483" s="47" t="inlineStr">
        <is>
          <t>월 200GB + 10Mbps</t>
        </is>
      </c>
      <c r="F1483" s="47" t="inlineStr">
        <is>
          <t>KT</t>
        </is>
      </c>
      <c r="G1483" s="47" t="inlineStr">
        <is>
          <t>5G</t>
        </is>
      </c>
      <c r="H1483" s="48" t="n">
        <v>24200</v>
      </c>
      <c r="I1483" s="48" t="n">
        <v>7</v>
      </c>
      <c r="J1483" s="48" t="n">
        <v>55000</v>
      </c>
      <c r="K1483" s="47">
        <f t="array" ref="K1483">_xlfn.XLOOKUP(1,(참조!$B$2:$B$15=E1483)*(참조!$D$2:$D$15=C1483)*(참조!$E$2:$E$15=D1483),참조!$C$2:$C$15,"")</f>
        <v/>
      </c>
    </row>
    <row r="1484" hidden="1" s="27">
      <c r="A1484" s="47" t="inlineStr">
        <is>
          <t>리브모바일</t>
        </is>
      </c>
      <c r="B1484" s="47" t="inlineStr">
        <is>
          <t>LTE 무제한 11GB+</t>
        </is>
      </c>
      <c r="C1484" s="47" t="inlineStr">
        <is>
          <t>무제한</t>
        </is>
      </c>
      <c r="D1484" s="47" t="inlineStr">
        <is>
          <t>무제한</t>
        </is>
      </c>
      <c r="E1484" s="47" t="inlineStr">
        <is>
          <t>월 11GB + 매일 2GB + 3Mbps</t>
        </is>
      </c>
      <c r="F1484" s="47" t="inlineStr">
        <is>
          <t>KT</t>
        </is>
      </c>
      <c r="G1484" s="47" t="inlineStr">
        <is>
          <t>LTE</t>
        </is>
      </c>
      <c r="H1484" s="48" t="n">
        <v>31100</v>
      </c>
      <c r="I1484" s="48" t="n">
        <v>12</v>
      </c>
      <c r="J1484" s="48" t="n">
        <v>35500</v>
      </c>
      <c r="K1484" s="47">
        <f t="array" ref="K1484">_xlfn.XLOOKUP(1,(참조!$B$2:$B$15=E1484)*(참조!$D$2:$D$15=C1484)*(참조!$E$2:$E$15=D1484),참조!$C$2:$C$15,"")</f>
        <v/>
      </c>
    </row>
    <row r="1485" hidden="1" s="27">
      <c r="A1485" s="47" t="inlineStr">
        <is>
          <t>핀다이렉트</t>
        </is>
      </c>
      <c r="B1485" s="47" t="inlineStr">
        <is>
          <t>[모요only] [K] 핀다이렉트 Speed 30GB/200분</t>
        </is>
      </c>
      <c r="C1485" s="47" t="inlineStr">
        <is>
          <t>200분</t>
        </is>
      </c>
      <c r="D1485" s="47" t="inlineStr">
        <is>
          <t>100건</t>
        </is>
      </c>
      <c r="E1485" s="47" t="inlineStr">
        <is>
          <t>월 30GB</t>
        </is>
      </c>
      <c r="F1485" s="47" t="inlineStr">
        <is>
          <t>KT</t>
        </is>
      </c>
      <c r="G1485" s="47" t="inlineStr">
        <is>
          <t>5G</t>
        </is>
      </c>
      <c r="H1485" s="48" t="n">
        <v>14000</v>
      </c>
      <c r="I1485" s="48" t="n">
        <v>7</v>
      </c>
      <c r="J1485" s="48" t="n">
        <v>29700</v>
      </c>
      <c r="K1485" s="47">
        <f t="array" ref="K1485">_xlfn.XLOOKUP(1,(참조!$B$2:$B$15=E1485)*(참조!$D$2:$D$15=C1485)*(참조!$E$2:$E$15=D1485),참조!$C$2:$C$15,"")</f>
        <v/>
      </c>
    </row>
    <row r="1486" hidden="1" s="27">
      <c r="A1486" s="47" t="inlineStr">
        <is>
          <t>티플러스</t>
        </is>
      </c>
      <c r="B1486" s="47" t="inlineStr">
        <is>
          <t>티플 CGV 7GB＋</t>
        </is>
      </c>
      <c r="C1486" s="47" t="inlineStr">
        <is>
          <t>무제한</t>
        </is>
      </c>
      <c r="D1486" s="47" t="inlineStr">
        <is>
          <t>무제한</t>
        </is>
      </c>
      <c r="E1486" s="47" t="inlineStr">
        <is>
          <t>월 7GB + 1Mbps</t>
        </is>
      </c>
      <c r="F1486" s="47" t="inlineStr">
        <is>
          <t>SKT</t>
        </is>
      </c>
      <c r="G1486" s="47" t="inlineStr">
        <is>
          <t>LTE</t>
        </is>
      </c>
      <c r="H1486" s="48" t="n">
        <v>7900</v>
      </c>
      <c r="I1486" s="48" t="n">
        <v>7</v>
      </c>
      <c r="J1486" s="48" t="n">
        <v>35200</v>
      </c>
      <c r="K1486" s="47">
        <f t="array" ref="K1486">_xlfn.XLOOKUP(1,(참조!$B$2:$B$15=E1486)*(참조!$D$2:$D$15=C1486)*(참조!$E$2:$E$15=D1486),참조!$C$2:$C$15,"")</f>
        <v/>
      </c>
    </row>
    <row r="1487" hidden="1" s="27">
      <c r="A1487" s="47" t="inlineStr">
        <is>
          <t>이야기모바일</t>
        </is>
      </c>
      <c r="B1487" s="47" t="inlineStr">
        <is>
          <t>이야기 스탠다드 300분15GB+</t>
        </is>
      </c>
      <c r="C1487" s="47" t="inlineStr">
        <is>
          <t>300분</t>
        </is>
      </c>
      <c r="D1487" s="47" t="inlineStr">
        <is>
          <t>300건</t>
        </is>
      </c>
      <c r="E1487" s="47" t="inlineStr">
        <is>
          <t>월 15GB + 3Mbps</t>
        </is>
      </c>
      <c r="F1487" s="47" t="inlineStr">
        <is>
          <t>LG U+</t>
        </is>
      </c>
      <c r="G1487" s="47" t="inlineStr">
        <is>
          <t>LTE</t>
        </is>
      </c>
      <c r="H1487" s="48" t="n">
        <v>19000</v>
      </c>
      <c r="I1487" s="48" t="n">
        <v>7</v>
      </c>
      <c r="J1487" s="48" t="n">
        <v>33000</v>
      </c>
      <c r="K1487" s="47">
        <f t="array" ref="K1487">_xlfn.XLOOKUP(1,(참조!$B$2:$B$15=E1487)*(참조!$D$2:$D$15=C1487)*(참조!$E$2:$E$15=D1487),참조!$C$2:$C$15,"")</f>
        <v/>
      </c>
    </row>
    <row r="1488" hidden="1" s="27">
      <c r="A1488" s="47" t="inlineStr">
        <is>
          <t>스마텔</t>
        </is>
      </c>
      <c r="B1488" s="47" t="inlineStr">
        <is>
          <t>스위트 300분 15GB+(밀리의서재)</t>
        </is>
      </c>
      <c r="C1488" s="47" t="inlineStr">
        <is>
          <t>300분</t>
        </is>
      </c>
      <c r="D1488" s="47" t="inlineStr">
        <is>
          <t>300건</t>
        </is>
      </c>
      <c r="E1488" s="47" t="inlineStr">
        <is>
          <t>월 15GB + 1Mbps</t>
        </is>
      </c>
      <c r="F1488" s="47" t="inlineStr">
        <is>
          <t>KT</t>
        </is>
      </c>
      <c r="G1488" s="47" t="inlineStr">
        <is>
          <t>LTE</t>
        </is>
      </c>
      <c r="H1488" s="48" t="n">
        <v>19000</v>
      </c>
      <c r="I1488" s="48" t="n">
        <v>7</v>
      </c>
      <c r="J1488" s="48" t="n">
        <v>34100</v>
      </c>
      <c r="K1488" s="47">
        <f t="array" ref="K1488">_xlfn.XLOOKUP(1,(참조!$B$2:$B$15=E1488)*(참조!$D$2:$D$15=C1488)*(참조!$E$2:$E$15=D1488),참조!$C$2:$C$15,"")</f>
        <v/>
      </c>
    </row>
    <row r="1489" hidden="1" s="27">
      <c r="A1489" s="47" t="inlineStr">
        <is>
          <t>스마텔</t>
        </is>
      </c>
      <c r="B1489" s="47" t="inlineStr">
        <is>
          <t>USIM 스마일 5G망 (500분/10GB)</t>
        </is>
      </c>
      <c r="C1489" s="47" t="inlineStr">
        <is>
          <t>500분</t>
        </is>
      </c>
      <c r="D1489" s="47" t="inlineStr">
        <is>
          <t>100건</t>
        </is>
      </c>
      <c r="E1489" s="47" t="inlineStr">
        <is>
          <t>월 10GB</t>
        </is>
      </c>
      <c r="F1489" s="47" t="inlineStr">
        <is>
          <t>SKT</t>
        </is>
      </c>
      <c r="G1489" s="47" t="inlineStr">
        <is>
          <t>5G</t>
        </is>
      </c>
      <c r="H1489" s="48" t="n">
        <v>9900</v>
      </c>
      <c r="I1489" s="48" t="n">
        <v>5</v>
      </c>
      <c r="J1489" s="48" t="n">
        <v>20900</v>
      </c>
      <c r="K1489" s="47">
        <f t="array" ref="K1489">_xlfn.XLOOKUP(1,(참조!$B$2:$B$15=E1489)*(참조!$D$2:$D$15=C1489)*(참조!$E$2:$E$15=D1489),참조!$C$2:$C$15,"")</f>
        <v/>
      </c>
    </row>
    <row r="1490" hidden="1" s="27">
      <c r="A1490" s="47" t="inlineStr">
        <is>
          <t>스마텔</t>
        </is>
      </c>
      <c r="B1490" s="47" t="inlineStr">
        <is>
          <t>CU 스위트 300분/15GB+</t>
        </is>
      </c>
      <c r="C1490" s="47" t="inlineStr">
        <is>
          <t>300분</t>
        </is>
      </c>
      <c r="D1490" s="47" t="inlineStr">
        <is>
          <t>300건</t>
        </is>
      </c>
      <c r="E1490" s="47" t="inlineStr">
        <is>
          <t>월 15GB + 3Mbps</t>
        </is>
      </c>
      <c r="F1490" s="47" t="inlineStr">
        <is>
          <t>KT</t>
        </is>
      </c>
      <c r="G1490" s="47" t="inlineStr">
        <is>
          <t>LTE</t>
        </is>
      </c>
      <c r="H1490" s="48" t="n">
        <v>19000</v>
      </c>
      <c r="I1490" s="48" t="n">
        <v>7</v>
      </c>
      <c r="J1490" s="48" t="n">
        <v>34100</v>
      </c>
      <c r="K1490" s="47">
        <f t="array" ref="K1490">_xlfn.XLOOKUP(1,(참조!$B$2:$B$15=E1490)*(참조!$D$2:$D$15=C1490)*(참조!$E$2:$E$15=D1490),참조!$C$2:$C$15,"")</f>
        <v/>
      </c>
    </row>
    <row r="1491" hidden="1" s="27">
      <c r="A1491" s="47" t="inlineStr">
        <is>
          <t>더원모바일</t>
        </is>
      </c>
      <c r="B1491" s="47" t="inlineStr">
        <is>
          <t>ONE 5G 5GB 100분</t>
        </is>
      </c>
      <c r="C1491" s="47" t="inlineStr">
        <is>
          <t>100분</t>
        </is>
      </c>
      <c r="D1491" s="47" t="inlineStr">
        <is>
          <t>100건</t>
        </is>
      </c>
      <c r="E1491" s="47" t="inlineStr">
        <is>
          <t>월 5GB</t>
        </is>
      </c>
      <c r="F1491" s="47" t="inlineStr">
        <is>
          <t>KT</t>
        </is>
      </c>
      <c r="G1491" s="47" t="inlineStr">
        <is>
          <t>5G</t>
        </is>
      </c>
      <c r="H1491" s="48" t="n">
        <v>2200</v>
      </c>
      <c r="I1491" s="48" t="n">
        <v>6</v>
      </c>
      <c r="J1491" s="48" t="n">
        <v>7700</v>
      </c>
      <c r="K1491" s="47">
        <f t="array" ref="K1491">_xlfn.XLOOKUP(1,(참조!$B$2:$B$15=E1491)*(참조!$D$2:$D$15=C1491)*(참조!$E$2:$E$15=D1491),참조!$C$2:$C$15,"")</f>
        <v/>
      </c>
    </row>
    <row r="1492" hidden="1" s="27">
      <c r="A1492" s="47" t="inlineStr">
        <is>
          <t>모빙</t>
        </is>
      </c>
      <c r="B1492" s="47" t="inlineStr">
        <is>
          <t>[K] 데이터 10GB+</t>
        </is>
      </c>
      <c r="C1492" s="47" t="inlineStr">
        <is>
          <t>무제한</t>
        </is>
      </c>
      <c r="D1492" s="47" t="inlineStr">
        <is>
          <t>무제한</t>
        </is>
      </c>
      <c r="E1492" s="47" t="inlineStr">
        <is>
          <t>월 10GB + 1Mbps</t>
        </is>
      </c>
      <c r="F1492" s="47" t="inlineStr">
        <is>
          <t>KT</t>
        </is>
      </c>
      <c r="G1492" s="47" t="inlineStr">
        <is>
          <t>LTE</t>
        </is>
      </c>
      <c r="H1492" s="48" t="n">
        <v>13200</v>
      </c>
      <c r="I1492" s="48" t="n">
        <v>24</v>
      </c>
      <c r="J1492" s="48" t="n">
        <v>30800</v>
      </c>
      <c r="K1492" s="47">
        <f t="array" ref="K1492">_xlfn.XLOOKUP(1,(참조!$B$2:$B$15=E1492)*(참조!$D$2:$D$15=C1492)*(참조!$E$2:$E$15=D1492),참조!$C$2:$C$15,"")</f>
        <v/>
      </c>
    </row>
    <row r="1493" hidden="1" s="27">
      <c r="A1493" s="47" t="inlineStr">
        <is>
          <t>모빙</t>
        </is>
      </c>
      <c r="B1493" s="47" t="inlineStr">
        <is>
          <t>[L] 라운지프리 11GB+</t>
        </is>
      </c>
      <c r="C1493" s="47" t="inlineStr">
        <is>
          <t>무제한</t>
        </is>
      </c>
      <c r="D1493" s="47" t="inlineStr">
        <is>
          <t>무제한</t>
        </is>
      </c>
      <c r="E1493" s="47" t="inlineStr">
        <is>
          <t>월 11GB + 매일 2GB + 3Mbps</t>
        </is>
      </c>
      <c r="F1493" s="47" t="inlineStr">
        <is>
          <t>LG U+</t>
        </is>
      </c>
      <c r="G1493" s="47" t="inlineStr">
        <is>
          <t>LTE</t>
        </is>
      </c>
      <c r="H1493" s="48" t="n">
        <v>31000</v>
      </c>
      <c r="I1493" s="48" t="n">
        <v>24</v>
      </c>
      <c r="J1493" s="48" t="n">
        <v>46000</v>
      </c>
      <c r="K1493" s="47">
        <f t="array" ref="K1493">_xlfn.XLOOKUP(1,(참조!$B$2:$B$15=E1493)*(참조!$D$2:$D$15=C1493)*(참조!$E$2:$E$15=D1493),참조!$C$2:$C$15,"")</f>
        <v/>
      </c>
    </row>
    <row r="1494" hidden="1" s="27">
      <c r="A1494" s="47" t="inlineStr">
        <is>
          <t>모빙</t>
        </is>
      </c>
      <c r="B1494" s="47" t="inlineStr">
        <is>
          <t>홈결합 100분15GB+</t>
        </is>
      </c>
      <c r="C1494" s="47" t="inlineStr">
        <is>
          <t>100분</t>
        </is>
      </c>
      <c r="D1494" s="47" t="inlineStr">
        <is>
          <t>100건</t>
        </is>
      </c>
      <c r="E1494" s="47" t="inlineStr">
        <is>
          <t>월 15GB + 3Mbps</t>
        </is>
      </c>
      <c r="F1494" s="47" t="inlineStr">
        <is>
          <t>LG U+</t>
        </is>
      </c>
      <c r="G1494" s="47" t="inlineStr">
        <is>
          <t>LTE</t>
        </is>
      </c>
      <c r="H1494" s="48" t="n">
        <v>22000</v>
      </c>
      <c r="I1494" s="48" t="n">
        <v>12</v>
      </c>
      <c r="J1494" s="48" t="n">
        <v>39000</v>
      </c>
      <c r="K1494" s="47">
        <f t="array" ref="K1494">_xlfn.XLOOKUP(1,(참조!$B$2:$B$15=E1494)*(참조!$D$2:$D$15=C1494)*(참조!$E$2:$E$15=D1494),참조!$C$2:$C$15,"")</f>
        <v/>
      </c>
    </row>
    <row r="1495" hidden="1" s="27">
      <c r="A1495" s="47" t="inlineStr">
        <is>
          <t>모빙</t>
        </is>
      </c>
      <c r="B1495" s="47" t="inlineStr">
        <is>
          <t>[L] 데이터7GB+_2y_plus</t>
        </is>
      </c>
      <c r="C1495" s="47" t="inlineStr">
        <is>
          <t>무제한</t>
        </is>
      </c>
      <c r="D1495" s="47" t="inlineStr">
        <is>
          <t>무제한</t>
        </is>
      </c>
      <c r="E1495" s="47" t="inlineStr">
        <is>
          <t>월 7GB + 1Mbps</t>
        </is>
      </c>
      <c r="F1495" s="47" t="inlineStr">
        <is>
          <t>LG U+</t>
        </is>
      </c>
      <c r="G1495" s="47" t="inlineStr">
        <is>
          <t>LTE</t>
        </is>
      </c>
      <c r="H1495" s="48" t="n">
        <v>12000</v>
      </c>
      <c r="I1495" s="48" t="n">
        <v>24</v>
      </c>
      <c r="J1495" s="48" t="n">
        <v>42000</v>
      </c>
      <c r="K1495" s="47">
        <f t="array" ref="K1495">_xlfn.XLOOKUP(1,(참조!$B$2:$B$15=E1495)*(참조!$D$2:$D$15=C1495)*(참조!$E$2:$E$15=D1495),참조!$C$2:$C$15,"")</f>
        <v/>
      </c>
    </row>
    <row r="1496" hidden="1" s="27">
      <c r="A1496" s="47" t="inlineStr">
        <is>
          <t>스마텔</t>
        </is>
      </c>
      <c r="B1496" s="47" t="inlineStr">
        <is>
          <t>스마일 10GB+</t>
        </is>
      </c>
      <c r="C1496" s="47" t="inlineStr">
        <is>
          <t>무제한</t>
        </is>
      </c>
      <c r="D1496" s="47" t="inlineStr">
        <is>
          <t>무제한</t>
        </is>
      </c>
      <c r="E1496" s="47" t="inlineStr">
        <is>
          <t>월 10GB + 1Mbps</t>
        </is>
      </c>
      <c r="F1496" s="47" t="inlineStr">
        <is>
          <t>SKT</t>
        </is>
      </c>
      <c r="G1496" s="47" t="inlineStr">
        <is>
          <t>LTE</t>
        </is>
      </c>
      <c r="H1496" s="48" t="n">
        <v>9500</v>
      </c>
      <c r="I1496" s="48" t="n">
        <v>7</v>
      </c>
      <c r="J1496" s="48" t="n">
        <v>31900</v>
      </c>
      <c r="K1496" s="47">
        <f t="array" ref="K1496">_xlfn.XLOOKUP(1,(참조!$B$2:$B$15=E1496)*(참조!$D$2:$D$15=C1496)*(참조!$E$2:$E$15=D1496),참조!$C$2:$C$15,"")</f>
        <v/>
      </c>
    </row>
    <row r="1497" hidden="1" s="27">
      <c r="A1497" s="47" t="inlineStr">
        <is>
          <t>모빙</t>
        </is>
      </c>
      <c r="B1497" s="47" t="inlineStr">
        <is>
          <t>[S] 5G 300분6GB</t>
        </is>
      </c>
      <c r="C1497" s="47" t="inlineStr">
        <is>
          <t>300분</t>
        </is>
      </c>
      <c r="D1497" s="47" t="inlineStr">
        <is>
          <t>300건</t>
        </is>
      </c>
      <c r="E1497" s="47" t="inlineStr">
        <is>
          <t>월 6GB</t>
        </is>
      </c>
      <c r="F1497" s="47" t="inlineStr">
        <is>
          <t>SKT</t>
        </is>
      </c>
      <c r="G1497" s="47" t="inlineStr">
        <is>
          <t>5G</t>
        </is>
      </c>
      <c r="H1497" s="48" t="n">
        <v>5000</v>
      </c>
      <c r="I1497" s="48" t="n"/>
      <c r="J1497" s="48" t="n"/>
      <c r="K1497" s="47">
        <f t="array" ref="K1497">_xlfn.XLOOKUP(1,(참조!$B$2:$B$15=E1497)*(참조!$D$2:$D$15=C1497)*(참조!$E$2:$E$15=D1497),참조!$C$2:$C$15,"")</f>
        <v/>
      </c>
    </row>
    <row r="1498" hidden="1" s="27">
      <c r="A1498" s="47" t="inlineStr">
        <is>
          <t>KT스카이라이프</t>
        </is>
      </c>
      <c r="B1498" s="47" t="inlineStr">
        <is>
          <t>모두 충분 10GB+(지니뮤직)</t>
        </is>
      </c>
      <c r="C1498" s="47" t="inlineStr">
        <is>
          <t>무제한</t>
        </is>
      </c>
      <c r="D1498" s="47" t="inlineStr">
        <is>
          <t>무제한</t>
        </is>
      </c>
      <c r="E1498" s="47" t="inlineStr">
        <is>
          <t>월 10GB + 1Mbps</t>
        </is>
      </c>
      <c r="F1498" s="47" t="inlineStr">
        <is>
          <t>KT</t>
        </is>
      </c>
      <c r="G1498" s="47" t="inlineStr">
        <is>
          <t>LTE</t>
        </is>
      </c>
      <c r="H1498" s="48" t="n">
        <v>22000</v>
      </c>
      <c r="I1498" s="48" t="n"/>
      <c r="J1498" s="48" t="n"/>
      <c r="K1498" s="47">
        <f t="array" ref="K1498">_xlfn.XLOOKUP(1,(참조!$B$2:$B$15=E1498)*(참조!$D$2:$D$15=C1498)*(참조!$E$2:$E$15=D1498),참조!$C$2:$C$15,"")</f>
        <v/>
      </c>
    </row>
    <row r="1499" hidden="1" s="27">
      <c r="A1499" s="47" t="inlineStr">
        <is>
          <t>이지모바일</t>
        </is>
      </c>
      <c r="B1499" s="47" t="inlineStr">
        <is>
          <t>이지 15G(300)+</t>
        </is>
      </c>
      <c r="C1499" s="47" t="inlineStr">
        <is>
          <t>300분</t>
        </is>
      </c>
      <c r="D1499" s="47" t="inlineStr">
        <is>
          <t>300건</t>
        </is>
      </c>
      <c r="E1499" s="47" t="inlineStr">
        <is>
          <t>월 15GB + 3Mbps</t>
        </is>
      </c>
      <c r="F1499" s="47" t="inlineStr">
        <is>
          <t>LG U+</t>
        </is>
      </c>
      <c r="G1499" s="47" t="inlineStr">
        <is>
          <t>LTE</t>
        </is>
      </c>
      <c r="H1499" s="48" t="n">
        <v>18140</v>
      </c>
      <c r="I1499" s="48" t="n">
        <v>7</v>
      </c>
      <c r="J1499" s="48" t="n">
        <v>31900</v>
      </c>
      <c r="K1499" s="47">
        <f t="array" ref="K1499">_xlfn.XLOOKUP(1,(참조!$B$2:$B$15=E1499)*(참조!$D$2:$D$15=C1499)*(참조!$E$2:$E$15=D1499),참조!$C$2:$C$15,"")</f>
        <v/>
      </c>
    </row>
    <row r="1500" hidden="1" s="27">
      <c r="A1500" s="47" t="inlineStr">
        <is>
          <t>스마텔</t>
        </is>
      </c>
      <c r="B1500" s="47" t="inlineStr">
        <is>
          <t>스마트 15GB+</t>
        </is>
      </c>
      <c r="C1500" s="47" t="inlineStr">
        <is>
          <t>100분</t>
        </is>
      </c>
      <c r="D1500" s="47" t="inlineStr">
        <is>
          <t>100건</t>
        </is>
      </c>
      <c r="E1500" s="47" t="inlineStr">
        <is>
          <t>월 15GB + 3Mbps</t>
        </is>
      </c>
      <c r="F1500" s="47" t="inlineStr">
        <is>
          <t>LG U+</t>
        </is>
      </c>
      <c r="G1500" s="47" t="inlineStr">
        <is>
          <t>LTE</t>
        </is>
      </c>
      <c r="H1500" s="48" t="n">
        <v>18500</v>
      </c>
      <c r="I1500" s="48" t="n">
        <v>7</v>
      </c>
      <c r="J1500" s="48" t="n">
        <v>33000</v>
      </c>
      <c r="K1500" s="47">
        <f t="array" ref="K1500">_xlfn.XLOOKUP(1,(참조!$B$2:$B$15=E1500)*(참조!$D$2:$D$15=C1500)*(참조!$E$2:$E$15=D1500),참조!$C$2:$C$15,"")</f>
        <v/>
      </c>
    </row>
    <row r="1501" hidden="1" s="27">
      <c r="A1501" s="47" t="inlineStr">
        <is>
          <t>스마텔</t>
        </is>
      </c>
      <c r="B1501" s="47" t="inlineStr">
        <is>
          <t>후후 스마트 15GB+</t>
        </is>
      </c>
      <c r="C1501" s="47" t="inlineStr">
        <is>
          <t>100분</t>
        </is>
      </c>
      <c r="D1501" s="47" t="inlineStr">
        <is>
          <t>100건</t>
        </is>
      </c>
      <c r="E1501" s="47" t="inlineStr">
        <is>
          <t>월 15GB + 3Mbps</t>
        </is>
      </c>
      <c r="F1501" s="47" t="inlineStr">
        <is>
          <t>LG U+</t>
        </is>
      </c>
      <c r="G1501" s="47" t="inlineStr">
        <is>
          <t>LTE</t>
        </is>
      </c>
      <c r="H1501" s="48" t="n">
        <v>18830</v>
      </c>
      <c r="I1501" s="48" t="n">
        <v>7</v>
      </c>
      <c r="J1501" s="48" t="n">
        <v>33330</v>
      </c>
      <c r="K1501" s="47">
        <f t="array" ref="K1501">_xlfn.XLOOKUP(1,(참조!$B$2:$B$15=E1501)*(참조!$D$2:$D$15=C1501)*(참조!$E$2:$E$15=D1501),참조!$C$2:$C$15,"")</f>
        <v/>
      </c>
    </row>
    <row r="1502" hidden="1" s="27">
      <c r="A1502" s="47" t="inlineStr">
        <is>
          <t>스마텔</t>
        </is>
      </c>
      <c r="B1502" s="47" t="inlineStr">
        <is>
          <t>스위트 100GB+(올영 5000)</t>
        </is>
      </c>
      <c r="C1502" s="47" t="inlineStr">
        <is>
          <t>무제한</t>
        </is>
      </c>
      <c r="D1502" s="47" t="inlineStr">
        <is>
          <t>무제한</t>
        </is>
      </c>
      <c r="E1502" s="47" t="inlineStr">
        <is>
          <t>월 100GB + 5Mbps</t>
        </is>
      </c>
      <c r="F1502" s="47" t="inlineStr">
        <is>
          <t>KT</t>
        </is>
      </c>
      <c r="G1502" s="47" t="inlineStr">
        <is>
          <t>LTE</t>
        </is>
      </c>
      <c r="H1502" s="48" t="n">
        <v>25380</v>
      </c>
      <c r="I1502" s="48" t="n">
        <v>7</v>
      </c>
      <c r="J1502" s="48" t="n">
        <v>48510</v>
      </c>
      <c r="K1502" s="47">
        <f t="array" ref="K1502">_xlfn.XLOOKUP(1,(참조!$B$2:$B$15=E1502)*(참조!$D$2:$D$15=C1502)*(참조!$E$2:$E$15=D1502),참조!$C$2:$C$15,"")</f>
        <v/>
      </c>
    </row>
    <row r="1503" hidden="1" s="27">
      <c r="A1503" s="47" t="inlineStr">
        <is>
          <t>스마텔</t>
        </is>
      </c>
      <c r="B1503" s="47" t="inlineStr">
        <is>
          <t>스마일플러스(200분+1GB)</t>
        </is>
      </c>
      <c r="C1503" s="47" t="inlineStr">
        <is>
          <t>200분</t>
        </is>
      </c>
      <c r="D1503" s="47" t="inlineStr">
        <is>
          <t>100건</t>
        </is>
      </c>
      <c r="E1503" s="47" t="inlineStr">
        <is>
          <t>월 1GB</t>
        </is>
      </c>
      <c r="F1503" s="47" t="inlineStr">
        <is>
          <t>SKT</t>
        </is>
      </c>
      <c r="G1503" s="47" t="inlineStr">
        <is>
          <t>LTE</t>
        </is>
      </c>
      <c r="H1503" s="48" t="n">
        <v>1820</v>
      </c>
      <c r="I1503" s="48" t="n">
        <v>5</v>
      </c>
      <c r="J1503" s="48" t="n">
        <v>6000</v>
      </c>
      <c r="K1503" s="47">
        <f t="array" ref="K1503">_xlfn.XLOOKUP(1,(참조!$B$2:$B$15=E1503)*(참조!$D$2:$D$15=C1503)*(참조!$E$2:$E$15=D1503),참조!$C$2:$C$15,"")</f>
        <v/>
      </c>
    </row>
    <row r="1504" hidden="1" s="27">
      <c r="A1504" s="47" t="inlineStr">
        <is>
          <t>아이즈모바일</t>
        </is>
      </c>
      <c r="B1504" s="47" t="inlineStr">
        <is>
          <t>[L]5G 데이터안심(기본제공/5GB+)</t>
        </is>
      </c>
      <c r="C1504" s="47" t="inlineStr">
        <is>
          <t>무제한</t>
        </is>
      </c>
      <c r="D1504" s="47" t="inlineStr">
        <is>
          <t>무제한</t>
        </is>
      </c>
      <c r="E1504" s="47" t="inlineStr">
        <is>
          <t>월 5GB + 1Mbps</t>
        </is>
      </c>
      <c r="F1504" s="47" t="inlineStr">
        <is>
          <t>LG U+</t>
        </is>
      </c>
      <c r="G1504" s="47" t="inlineStr">
        <is>
          <t>5G</t>
        </is>
      </c>
      <c r="H1504" s="48" t="n">
        <v>1500</v>
      </c>
      <c r="I1504" s="48" t="n">
        <v>6</v>
      </c>
      <c r="J1504" s="48" t="n">
        <v>18700</v>
      </c>
      <c r="K1504" s="47">
        <f t="array" ref="K1504">_xlfn.XLOOKUP(1,(참조!$B$2:$B$15=E1504)*(참조!$D$2:$D$15=C1504)*(참조!$E$2:$E$15=D1504),참조!$C$2:$C$15,"")</f>
        <v/>
      </c>
    </row>
    <row r="1505" hidden="1" s="27">
      <c r="A1505" s="47" t="inlineStr">
        <is>
          <t>이야기모바일</t>
        </is>
      </c>
      <c r="B1505" s="47" t="inlineStr">
        <is>
          <t>이야기 K 데이터 100GB+(배달의 민족 5000P)</t>
        </is>
      </c>
      <c r="C1505" s="47" t="inlineStr">
        <is>
          <t>무제한</t>
        </is>
      </c>
      <c r="D1505" s="47" t="inlineStr">
        <is>
          <t>무제한</t>
        </is>
      </c>
      <c r="E1505" s="47" t="inlineStr">
        <is>
          <t>월 100GB + 5Mbps</t>
        </is>
      </c>
      <c r="F1505" s="47" t="inlineStr">
        <is>
          <t>KT</t>
        </is>
      </c>
      <c r="G1505" s="47" t="inlineStr">
        <is>
          <t>LTE</t>
        </is>
      </c>
      <c r="H1505" s="48" t="n">
        <v>27200</v>
      </c>
      <c r="I1505" s="48" t="n">
        <v>7</v>
      </c>
      <c r="J1505" s="48" t="n">
        <v>49200</v>
      </c>
      <c r="K1505" s="47">
        <f t="array" ref="K1505">_xlfn.XLOOKUP(1,(참조!$B$2:$B$15=E1505)*(참조!$D$2:$D$15=C1505)*(참조!$E$2:$E$15=D1505),참조!$C$2:$C$15,"")</f>
        <v/>
      </c>
    </row>
    <row r="1506" hidden="1" s="27">
      <c r="A1506" s="47" t="inlineStr">
        <is>
          <t>이야기모바일</t>
        </is>
      </c>
      <c r="B1506" s="47" t="inlineStr">
        <is>
          <t>이야기 K 데이터 100GB+(다이소 5000P)</t>
        </is>
      </c>
      <c r="C1506" s="47" t="inlineStr">
        <is>
          <t>무제한</t>
        </is>
      </c>
      <c r="D1506" s="47" t="inlineStr">
        <is>
          <t>무제한</t>
        </is>
      </c>
      <c r="E1506" s="47" t="inlineStr">
        <is>
          <t>월 100GB + 5Mbps</t>
        </is>
      </c>
      <c r="F1506" s="47" t="inlineStr">
        <is>
          <t>KT</t>
        </is>
      </c>
      <c r="G1506" s="47" t="inlineStr">
        <is>
          <t>LTE</t>
        </is>
      </c>
      <c r="H1506" s="48" t="n">
        <v>27200</v>
      </c>
      <c r="I1506" s="48" t="n">
        <v>7</v>
      </c>
      <c r="J1506" s="48" t="n">
        <v>49200</v>
      </c>
      <c r="K1506" s="47">
        <f t="array" ref="K1506">_xlfn.XLOOKUP(1,(참조!$B$2:$B$15=E1506)*(참조!$D$2:$D$15=C1506)*(참조!$E$2:$E$15=D1506),참조!$C$2:$C$15,"")</f>
        <v/>
      </c>
    </row>
    <row r="1507" hidden="1" s="27">
      <c r="A1507" s="47" t="inlineStr">
        <is>
          <t>U+유모바일</t>
        </is>
      </c>
      <c r="B1507" s="47" t="inlineStr">
        <is>
          <t>[Npay 12만 기본제공] 5G 95GB+/통화기본</t>
        </is>
      </c>
      <c r="C1507" s="47" t="inlineStr">
        <is>
          <t>무제한</t>
        </is>
      </c>
      <c r="D1507" s="47" t="inlineStr">
        <is>
          <t>무제한</t>
        </is>
      </c>
      <c r="E1507" s="47" t="inlineStr">
        <is>
          <t>월 95GB + 3Mbps</t>
        </is>
      </c>
      <c r="F1507" s="47" t="inlineStr">
        <is>
          <t>LG U+</t>
        </is>
      </c>
      <c r="G1507" s="47" t="inlineStr">
        <is>
          <t>5G</t>
        </is>
      </c>
      <c r="H1507" s="48" t="n">
        <v>43300</v>
      </c>
      <c r="I1507" s="48" t="n"/>
      <c r="J1507" s="48" t="n"/>
      <c r="K1507" s="47">
        <f t="array" ref="K1507">_xlfn.XLOOKUP(1,(참조!$B$2:$B$15=E1507)*(참조!$D$2:$D$15=C1507)*(참조!$E$2:$E$15=D1507),참조!$C$2:$C$15,"")</f>
        <v/>
      </c>
    </row>
    <row r="1508" hidden="1" s="27">
      <c r="A1508" s="47" t="inlineStr">
        <is>
          <t>이야기모바일</t>
        </is>
      </c>
      <c r="B1508" s="47" t="inlineStr">
        <is>
          <t>이야기K 데이터 15GB+(멜론)</t>
        </is>
      </c>
      <c r="C1508" s="47" t="inlineStr">
        <is>
          <t>100분</t>
        </is>
      </c>
      <c r="D1508" s="47" t="inlineStr">
        <is>
          <t>100건</t>
        </is>
      </c>
      <c r="E1508" s="47" t="inlineStr">
        <is>
          <t>월 15GB + 3Mbps</t>
        </is>
      </c>
      <c r="F1508" s="47" t="inlineStr">
        <is>
          <t>KT</t>
        </is>
      </c>
      <c r="G1508" s="47" t="inlineStr">
        <is>
          <t>LTE</t>
        </is>
      </c>
      <c r="H1508" s="48" t="n">
        <v>19800</v>
      </c>
      <c r="I1508" s="48" t="n">
        <v>7</v>
      </c>
      <c r="J1508" s="48" t="n">
        <v>33000</v>
      </c>
      <c r="K1508" s="47">
        <f t="array" ref="K1508">_xlfn.XLOOKUP(1,(참조!$B$2:$B$15=E1508)*(참조!$D$2:$D$15=C1508)*(참조!$E$2:$E$15=D1508),참조!$C$2:$C$15,"")</f>
        <v/>
      </c>
    </row>
    <row r="1509" hidden="1" s="27">
      <c r="A1509" s="47" t="inlineStr">
        <is>
          <t>KT엠모바일</t>
        </is>
      </c>
      <c r="B1509" s="47" t="inlineStr">
        <is>
          <t>모두다 맘껏 10GB+(쿠팡캐시 5000원)</t>
        </is>
      </c>
      <c r="C1509" s="47" t="inlineStr">
        <is>
          <t>무제한</t>
        </is>
      </c>
      <c r="D1509" s="47" t="inlineStr">
        <is>
          <t>무제한</t>
        </is>
      </c>
      <c r="E1509" s="47" t="inlineStr">
        <is>
          <t>월 10GB + 1Mbps</t>
        </is>
      </c>
      <c r="F1509" s="47" t="inlineStr">
        <is>
          <t>KT</t>
        </is>
      </c>
      <c r="G1509" s="47" t="inlineStr">
        <is>
          <t>LTE</t>
        </is>
      </c>
      <c r="H1509" s="48" t="n">
        <v>21200</v>
      </c>
      <c r="I1509" s="48" t="n"/>
      <c r="J1509" s="48" t="n"/>
      <c r="K1509" s="47">
        <f t="array" ref="K1509">_xlfn.XLOOKUP(1,(참조!$B$2:$B$15=E1509)*(참조!$D$2:$D$15=C1509)*(참조!$E$2:$E$15=D1509),참조!$C$2:$C$15,"")</f>
        <v/>
      </c>
    </row>
    <row r="1510" hidden="1" s="27">
      <c r="A1510" s="47" t="inlineStr">
        <is>
          <t>KT엠모바일</t>
        </is>
      </c>
      <c r="B1510" s="47" t="inlineStr">
        <is>
          <t>5G 모두다 맘껏 200GB+(밀리의 서재 FREE)</t>
        </is>
      </c>
      <c r="C1510" s="47" t="inlineStr">
        <is>
          <t>무제한</t>
        </is>
      </c>
      <c r="D1510" s="47" t="inlineStr">
        <is>
          <t>무제한</t>
        </is>
      </c>
      <c r="E1510" s="47" t="inlineStr">
        <is>
          <t>월 200GB + 10Mbps</t>
        </is>
      </c>
      <c r="F1510" s="47" t="inlineStr">
        <is>
          <t>KT</t>
        </is>
      </c>
      <c r="G1510" s="47" t="inlineStr">
        <is>
          <t>5G</t>
        </is>
      </c>
      <c r="H1510" s="48" t="n">
        <v>47700</v>
      </c>
      <c r="I1510" s="48" t="n"/>
      <c r="J1510" s="48" t="n"/>
      <c r="K1510" s="47">
        <f t="array" ref="K1510">_xlfn.XLOOKUP(1,(참조!$B$2:$B$15=E1510)*(참조!$D$2:$D$15=C1510)*(참조!$E$2:$E$15=D1510),참조!$C$2:$C$15,"")</f>
        <v/>
      </c>
    </row>
    <row r="1511" hidden="1" s="27">
      <c r="A1511" s="47" t="inlineStr">
        <is>
          <t>스마텔</t>
        </is>
      </c>
      <c r="B1511" s="47" t="inlineStr">
        <is>
          <t>USIM 스마일 5G망 (200분/10GB)</t>
        </is>
      </c>
      <c r="C1511" s="47" t="inlineStr">
        <is>
          <t>200분</t>
        </is>
      </c>
      <c r="D1511" s="47" t="inlineStr">
        <is>
          <t>100건</t>
        </is>
      </c>
      <c r="E1511" s="47" t="inlineStr">
        <is>
          <t>월 10GB</t>
        </is>
      </c>
      <c r="F1511" s="47" t="inlineStr">
        <is>
          <t>SKT</t>
        </is>
      </c>
      <c r="G1511" s="47" t="inlineStr">
        <is>
          <t>5G</t>
        </is>
      </c>
      <c r="H1511" s="48" t="n">
        <v>8800</v>
      </c>
      <c r="I1511" s="48" t="n">
        <v>5</v>
      </c>
      <c r="J1511" s="48" t="n">
        <v>17600</v>
      </c>
      <c r="K1511" s="47">
        <f t="array" ref="K1511">_xlfn.XLOOKUP(1,(참조!$B$2:$B$15=E1511)*(참조!$D$2:$D$15=C1511)*(참조!$E$2:$E$15=D1511),참조!$C$2:$C$15,"")</f>
        <v/>
      </c>
    </row>
    <row r="1512" hidden="1" s="27">
      <c r="A1512" s="47" t="inlineStr">
        <is>
          <t>KG모바일</t>
        </is>
      </c>
      <c r="B1512" s="47" t="inlineStr">
        <is>
          <t>[모빌카드 스페셜] 유심 5G 50GB+</t>
        </is>
      </c>
      <c r="C1512" s="47" t="inlineStr">
        <is>
          <t>무제한</t>
        </is>
      </c>
      <c r="D1512" s="47" t="inlineStr">
        <is>
          <t>무제한</t>
        </is>
      </c>
      <c r="E1512" s="47" t="inlineStr">
        <is>
          <t>월 50GB + 1Mbps</t>
        </is>
      </c>
      <c r="F1512" s="47" t="inlineStr">
        <is>
          <t>LG U+</t>
        </is>
      </c>
      <c r="G1512" s="47" t="inlineStr">
        <is>
          <t>5G</t>
        </is>
      </c>
      <c r="H1512" s="48" t="n">
        <v>25520</v>
      </c>
      <c r="I1512" s="48" t="n">
        <v>7</v>
      </c>
      <c r="J1512" s="48" t="n">
        <v>46750</v>
      </c>
      <c r="K1512" s="47">
        <f t="array" ref="K1512">_xlfn.XLOOKUP(1,(참조!$B$2:$B$15=E1512)*(참조!$D$2:$D$15=C1512)*(참조!$E$2:$E$15=D1512),참조!$C$2:$C$15,"")</f>
        <v/>
      </c>
    </row>
    <row r="1513" hidden="1" s="27">
      <c r="A1513" s="47" t="inlineStr">
        <is>
          <t>티플러스</t>
        </is>
      </c>
      <c r="B1513" s="47" t="inlineStr">
        <is>
          <t>티플 드림(3GB/100분)</t>
        </is>
      </c>
      <c r="C1513" s="47" t="inlineStr">
        <is>
          <t>100분</t>
        </is>
      </c>
      <c r="D1513" s="47" t="inlineStr">
        <is>
          <t>100건</t>
        </is>
      </c>
      <c r="E1513" s="47" t="inlineStr">
        <is>
          <t>월 3GB</t>
        </is>
      </c>
      <c r="F1513" s="47" t="inlineStr">
        <is>
          <t>SKT</t>
        </is>
      </c>
      <c r="G1513" s="47" t="inlineStr">
        <is>
          <t>LTE</t>
        </is>
      </c>
      <c r="H1513" s="48" t="n">
        <v>1900</v>
      </c>
      <c r="I1513" s="48" t="n">
        <v>4</v>
      </c>
      <c r="J1513" s="48" t="n">
        <v>6600</v>
      </c>
      <c r="K1513" s="47">
        <f t="array" ref="K1513">_xlfn.XLOOKUP(1,(참조!$B$2:$B$15=E1513)*(참조!$D$2:$D$15=C1513)*(참조!$E$2:$E$15=D1513),참조!$C$2:$C$15,"")</f>
        <v/>
      </c>
    </row>
    <row r="1514" hidden="1" s="27">
      <c r="A1514" s="47" t="inlineStr">
        <is>
          <t>이야기모바일</t>
        </is>
      </c>
      <c r="B1514" s="47" t="inlineStr">
        <is>
          <t>이야기 라이트 200분6GB+</t>
        </is>
      </c>
      <c r="C1514" s="47" t="inlineStr">
        <is>
          <t>200분</t>
        </is>
      </c>
      <c r="D1514" s="47" t="inlineStr">
        <is>
          <t>100건</t>
        </is>
      </c>
      <c r="E1514" s="47" t="inlineStr">
        <is>
          <t>월 6GB + 1Mbps</t>
        </is>
      </c>
      <c r="F1514" s="47" t="inlineStr">
        <is>
          <t>LG U+</t>
        </is>
      </c>
      <c r="G1514" s="47" t="inlineStr">
        <is>
          <t>LTE</t>
        </is>
      </c>
      <c r="H1514" s="48" t="n">
        <v>9900</v>
      </c>
      <c r="I1514" s="48" t="n">
        <v>24</v>
      </c>
      <c r="J1514" s="48" t="n">
        <v>12100</v>
      </c>
      <c r="K1514" s="47">
        <f t="array" ref="K1514">_xlfn.XLOOKUP(1,(참조!$B$2:$B$15=E1514)*(참조!$D$2:$D$15=C1514)*(참조!$E$2:$E$15=D1514),참조!$C$2:$C$15,"")</f>
        <v/>
      </c>
    </row>
    <row r="1515" hidden="1" s="27">
      <c r="A1515" s="47" t="inlineStr">
        <is>
          <t>아이즈모바일</t>
        </is>
      </c>
      <c r="B1515" s="47" t="inlineStr">
        <is>
          <t>[L]아이즈팩 10GB+1Mbps</t>
        </is>
      </c>
      <c r="C1515" s="47" t="inlineStr">
        <is>
          <t>무제한</t>
        </is>
      </c>
      <c r="D1515" s="47" t="inlineStr">
        <is>
          <t>무제한</t>
        </is>
      </c>
      <c r="E1515" s="47" t="inlineStr">
        <is>
          <t>월 10GB + 1Mbps</t>
        </is>
      </c>
      <c r="F1515" s="47" t="inlineStr">
        <is>
          <t>LG U+</t>
        </is>
      </c>
      <c r="G1515" s="47" t="inlineStr">
        <is>
          <t>LTE</t>
        </is>
      </c>
      <c r="H1515" s="48" t="n">
        <v>11500</v>
      </c>
      <c r="I1515" s="48" t="n">
        <v>24</v>
      </c>
      <c r="J1515" s="48" t="n">
        <v>27500</v>
      </c>
      <c r="K1515" s="47">
        <f t="array" ref="K1515">_xlfn.XLOOKUP(1,(참조!$B$2:$B$15=E1515)*(참조!$D$2:$D$15=C1515)*(참조!$E$2:$E$15=D1515),참조!$C$2:$C$15,"")</f>
        <v/>
      </c>
    </row>
    <row r="1516" hidden="1" s="27">
      <c r="A1516" s="47" t="inlineStr">
        <is>
          <t>스마텔</t>
        </is>
      </c>
      <c r="B1516" s="47" t="inlineStr">
        <is>
          <t>스위트 100GB+(왓챠)</t>
        </is>
      </c>
      <c r="C1516" s="47" t="inlineStr">
        <is>
          <t>무제한</t>
        </is>
      </c>
      <c r="D1516" s="47" t="inlineStr">
        <is>
          <t>무제한</t>
        </is>
      </c>
      <c r="E1516" s="47" t="inlineStr">
        <is>
          <t>월 100GB + 5Mbps</t>
        </is>
      </c>
      <c r="F1516" s="47" t="inlineStr">
        <is>
          <t>KT</t>
        </is>
      </c>
      <c r="G1516" s="47" t="inlineStr">
        <is>
          <t>LTE</t>
        </is>
      </c>
      <c r="H1516" s="48" t="n">
        <v>44000</v>
      </c>
      <c r="I1516" s="48" t="n">
        <v>36</v>
      </c>
      <c r="J1516" s="48" t="n">
        <v>49500</v>
      </c>
      <c r="K1516" s="47">
        <f t="array" ref="K1516">_xlfn.XLOOKUP(1,(참조!$B$2:$B$15=E1516)*(참조!$D$2:$D$15=C1516)*(참조!$E$2:$E$15=D1516),참조!$C$2:$C$15,"")</f>
        <v/>
      </c>
    </row>
    <row r="1517" hidden="1" s="27">
      <c r="A1517" s="47" t="inlineStr">
        <is>
          <t>이야기모바일</t>
        </is>
      </c>
      <c r="B1517" s="47" t="inlineStr">
        <is>
          <t>이야기 라이트 100분1GB+</t>
        </is>
      </c>
      <c r="C1517" s="47" t="inlineStr">
        <is>
          <t>100분</t>
        </is>
      </c>
      <c r="D1517" s="47" t="inlineStr">
        <is>
          <t>100건</t>
        </is>
      </c>
      <c r="E1517" s="47" t="inlineStr">
        <is>
          <t>월 1GB + 1Mbps</t>
        </is>
      </c>
      <c r="F1517" s="47" t="inlineStr">
        <is>
          <t>LG U+</t>
        </is>
      </c>
      <c r="G1517" s="47" t="inlineStr">
        <is>
          <t>LTE</t>
        </is>
      </c>
      <c r="H1517" s="48" t="n">
        <v>7700</v>
      </c>
      <c r="I1517" s="48" t="n"/>
      <c r="J1517" s="48" t="n"/>
      <c r="K1517" s="47">
        <f t="array" ref="K1517">_xlfn.XLOOKUP(1,(참조!$B$2:$B$15=E1517)*(참조!$D$2:$D$15=C1517)*(참조!$E$2:$E$15=D1517),참조!$C$2:$C$15,"")</f>
        <v/>
      </c>
    </row>
    <row r="1518" hidden="1" s="27">
      <c r="A1518" s="47" t="inlineStr">
        <is>
          <t>슈가모바일</t>
        </is>
      </c>
      <c r="B1518" s="47" t="inlineStr">
        <is>
          <t>Sugar 7GB+1M</t>
        </is>
      </c>
      <c r="C1518" s="47" t="inlineStr">
        <is>
          <t>무제한</t>
        </is>
      </c>
      <c r="D1518" s="47" t="inlineStr">
        <is>
          <t>무제한</t>
        </is>
      </c>
      <c r="E1518" s="47" t="inlineStr">
        <is>
          <t>월 7GB + 1Mbps</t>
        </is>
      </c>
      <c r="F1518" s="47" t="inlineStr">
        <is>
          <t>LG U+</t>
        </is>
      </c>
      <c r="G1518" s="47" t="inlineStr">
        <is>
          <t>LTE</t>
        </is>
      </c>
      <c r="H1518" s="48" t="n">
        <v>7900</v>
      </c>
      <c r="I1518" s="48" t="n">
        <v>7</v>
      </c>
      <c r="J1518" s="48" t="n">
        <v>21980</v>
      </c>
      <c r="K1518" s="47">
        <f t="array" ref="K1518">_xlfn.XLOOKUP(1,(참조!$B$2:$B$15=E1518)*(참조!$D$2:$D$15=C1518)*(참조!$E$2:$E$15=D1518),참조!$C$2:$C$15,"")</f>
        <v/>
      </c>
    </row>
    <row r="1519" hidden="1" s="27">
      <c r="A1519" s="47" t="inlineStr">
        <is>
          <t>모빙</t>
        </is>
      </c>
      <c r="B1519" s="47" t="inlineStr">
        <is>
          <t>[K] 300분3GB</t>
        </is>
      </c>
      <c r="C1519" s="47" t="inlineStr">
        <is>
          <t>300분</t>
        </is>
      </c>
      <c r="D1519" s="47" t="inlineStr">
        <is>
          <t>300건</t>
        </is>
      </c>
      <c r="E1519" s="47" t="inlineStr">
        <is>
          <t>월 3GB</t>
        </is>
      </c>
      <c r="F1519" s="47" t="inlineStr">
        <is>
          <t>KT</t>
        </is>
      </c>
      <c r="G1519" s="47" t="inlineStr">
        <is>
          <t>LTE</t>
        </is>
      </c>
      <c r="H1519" s="48" t="n">
        <v>5500</v>
      </c>
      <c r="I1519" s="48" t="n"/>
      <c r="J1519" s="48" t="n"/>
      <c r="K1519" s="47">
        <f t="array" ref="K1519">_xlfn.XLOOKUP(1,(참조!$B$2:$B$15=E1519)*(참조!$D$2:$D$15=C1519)*(참조!$E$2:$E$15=D1519),참조!$C$2:$C$15,"")</f>
        <v/>
      </c>
    </row>
    <row r="1520" hidden="1" s="27">
      <c r="A1520" s="47" t="inlineStr">
        <is>
          <t>이지모바일</t>
        </is>
      </c>
      <c r="B1520" s="47" t="inlineStr">
        <is>
          <t>EG 5G스탠다드 지니 110G+(지니뮤직)</t>
        </is>
      </c>
      <c r="C1520" s="47" t="inlineStr">
        <is>
          <t>무제한</t>
        </is>
      </c>
      <c r="D1520" s="47" t="inlineStr">
        <is>
          <t>무제한</t>
        </is>
      </c>
      <c r="E1520" s="47" t="inlineStr">
        <is>
          <t>월 110GB + 5Mbps</t>
        </is>
      </c>
      <c r="F1520" s="47" t="inlineStr">
        <is>
          <t>KT</t>
        </is>
      </c>
      <c r="G1520" s="47" t="inlineStr">
        <is>
          <t>5G</t>
        </is>
      </c>
      <c r="H1520" s="48" t="n">
        <v>25080</v>
      </c>
      <c r="I1520" s="48" t="n">
        <v>7</v>
      </c>
      <c r="J1520" s="48" t="n">
        <v>55000</v>
      </c>
      <c r="K1520" s="47">
        <f t="array" ref="K1520">_xlfn.XLOOKUP(1,(참조!$B$2:$B$15=E1520)*(참조!$D$2:$D$15=C1520)*(참조!$E$2:$E$15=D1520),참조!$C$2:$C$15,"")</f>
        <v/>
      </c>
    </row>
    <row r="1521" hidden="1" s="27">
      <c r="A1521" s="47" t="inlineStr">
        <is>
          <t>에이모바일</t>
        </is>
      </c>
      <c r="B1521" s="47" t="inlineStr">
        <is>
          <t>A 넥스트 15GB+/300분(네이버페이 1만x7개월)</t>
        </is>
      </c>
      <c r="C1521" s="47" t="inlineStr">
        <is>
          <t>300분</t>
        </is>
      </c>
      <c r="D1521" s="47" t="inlineStr">
        <is>
          <t>300건</t>
        </is>
      </c>
      <c r="E1521" s="47" t="inlineStr">
        <is>
          <t>월 15GB + 3Mbps</t>
        </is>
      </c>
      <c r="F1521" s="47" t="inlineStr">
        <is>
          <t>SKT</t>
        </is>
      </c>
      <c r="G1521" s="47" t="inlineStr">
        <is>
          <t>LTE</t>
        </is>
      </c>
      <c r="H1521" s="48" t="n">
        <v>14000</v>
      </c>
      <c r="I1521" s="48" t="n">
        <v>7</v>
      </c>
      <c r="J1521" s="48" t="n">
        <v>29900</v>
      </c>
      <c r="K1521" s="47">
        <f t="array" ref="K1521">_xlfn.XLOOKUP(1,(참조!$B$2:$B$15=E1521)*(참조!$D$2:$D$15=C1521)*(참조!$E$2:$E$15=D1521),참조!$C$2:$C$15,"")</f>
        <v/>
      </c>
    </row>
    <row r="1522" hidden="1" s="27">
      <c r="A1522" s="47" t="inlineStr">
        <is>
          <t>KG모바일</t>
        </is>
      </c>
      <c r="B1522" s="47" t="inlineStr">
        <is>
          <t>[일반] 유심 5G 180GB+</t>
        </is>
      </c>
      <c r="C1522" s="47" t="inlineStr">
        <is>
          <t>무제한</t>
        </is>
      </c>
      <c r="D1522" s="47" t="inlineStr">
        <is>
          <t>무제한</t>
        </is>
      </c>
      <c r="E1522" s="47" t="inlineStr">
        <is>
          <t>월 180GB + 10Mbps</t>
        </is>
      </c>
      <c r="F1522" s="47" t="inlineStr">
        <is>
          <t>LG U+</t>
        </is>
      </c>
      <c r="G1522" s="47" t="inlineStr">
        <is>
          <t>5G</t>
        </is>
      </c>
      <c r="H1522" s="48" t="n">
        <v>48180</v>
      </c>
      <c r="I1522" s="48" t="n">
        <v>12</v>
      </c>
      <c r="J1522" s="48" t="n">
        <v>59400</v>
      </c>
      <c r="K1522" s="47">
        <f t="array" ref="K1522">_xlfn.XLOOKUP(1,(참조!$B$2:$B$15=E1522)*(참조!$D$2:$D$15=C1522)*(참조!$E$2:$E$15=D1522),참조!$C$2:$C$15,"")</f>
        <v/>
      </c>
    </row>
    <row r="1523" hidden="1" s="27">
      <c r="A1523" s="47" t="inlineStr">
        <is>
          <t>티플러스</t>
        </is>
      </c>
      <c r="B1523" s="47" t="inlineStr">
        <is>
          <t>5G 티플 12GB(12GB/300분)</t>
        </is>
      </c>
      <c r="C1523" s="47" t="inlineStr">
        <is>
          <t>300분</t>
        </is>
      </c>
      <c r="D1523" s="47" t="inlineStr">
        <is>
          <t>100건</t>
        </is>
      </c>
      <c r="E1523" s="47" t="inlineStr">
        <is>
          <t>월 12GB</t>
        </is>
      </c>
      <c r="F1523" s="47" t="inlineStr">
        <is>
          <t>SKT</t>
        </is>
      </c>
      <c r="G1523" s="47" t="inlineStr">
        <is>
          <t>5G</t>
        </is>
      </c>
      <c r="H1523" s="48" t="n">
        <v>7000</v>
      </c>
      <c r="I1523" s="48" t="n">
        <v>4</v>
      </c>
      <c r="J1523" s="48" t="n">
        <v>18700</v>
      </c>
      <c r="K1523" s="47">
        <f t="array" ref="K1523">_xlfn.XLOOKUP(1,(참조!$B$2:$B$15=E1523)*(참조!$D$2:$D$15=C1523)*(참조!$E$2:$E$15=D1523),참조!$C$2:$C$15,"")</f>
        <v/>
      </c>
    </row>
    <row r="1524" hidden="1" s="27">
      <c r="A1524" s="47" t="inlineStr">
        <is>
          <t>에이모바일</t>
        </is>
      </c>
      <c r="B1524" s="47" t="inlineStr">
        <is>
          <t>A 스페셜 7GB+</t>
        </is>
      </c>
      <c r="C1524" s="47" t="inlineStr">
        <is>
          <t>무제한</t>
        </is>
      </c>
      <c r="D1524" s="47" t="inlineStr">
        <is>
          <t>무제한</t>
        </is>
      </c>
      <c r="E1524" s="47" t="inlineStr">
        <is>
          <t>월 7GB + 1Mbps</t>
        </is>
      </c>
      <c r="F1524" s="47" t="inlineStr">
        <is>
          <t>LG U+</t>
        </is>
      </c>
      <c r="G1524" s="47" t="inlineStr">
        <is>
          <t>LTE</t>
        </is>
      </c>
      <c r="H1524" s="48" t="n">
        <v>3500</v>
      </c>
      <c r="I1524" s="48" t="n">
        <v>7</v>
      </c>
      <c r="J1524" s="48" t="n">
        <v>22000</v>
      </c>
      <c r="K1524" s="47">
        <f t="array" ref="K1524">_xlfn.XLOOKUP(1,(참조!$B$2:$B$15=E1524)*(참조!$D$2:$D$15=C1524)*(참조!$E$2:$E$15=D1524),참조!$C$2:$C$15,"")</f>
        <v/>
      </c>
    </row>
    <row r="1525" hidden="1" s="27">
      <c r="A1525" s="47" t="inlineStr">
        <is>
          <t>이지모바일</t>
        </is>
      </c>
      <c r="B1525" s="47" t="inlineStr">
        <is>
          <t>EG CU 데이터 15G+3/300분(CU할인)</t>
        </is>
      </c>
      <c r="C1525" s="47" t="inlineStr">
        <is>
          <t>300분</t>
        </is>
      </c>
      <c r="D1525" s="47" t="inlineStr">
        <is>
          <t>300건</t>
        </is>
      </c>
      <c r="E1525" s="47" t="inlineStr">
        <is>
          <t>월 15GB + 3Mbps</t>
        </is>
      </c>
      <c r="F1525" s="47" t="inlineStr">
        <is>
          <t>KT</t>
        </is>
      </c>
      <c r="G1525" s="47" t="inlineStr">
        <is>
          <t>LTE</t>
        </is>
      </c>
      <c r="H1525" s="48" t="n">
        <v>19000</v>
      </c>
      <c r="I1525" s="48" t="n">
        <v>7</v>
      </c>
      <c r="J1525" s="48" t="n">
        <v>33000</v>
      </c>
      <c r="K1525" s="47">
        <f t="array" ref="K1525">_xlfn.XLOOKUP(1,(참조!$B$2:$B$15=E1525)*(참조!$D$2:$D$15=C1525)*(참조!$E$2:$E$15=D1525),참조!$C$2:$C$15,"")</f>
        <v/>
      </c>
    </row>
    <row r="1526" hidden="1" s="27">
      <c r="A1526" s="47" t="inlineStr">
        <is>
          <t>스마텔</t>
        </is>
      </c>
      <c r="B1526" s="47" t="inlineStr">
        <is>
          <t>스위트 11GB+(다이소 3000)</t>
        </is>
      </c>
      <c r="C1526" s="47" t="inlineStr">
        <is>
          <t>무제한</t>
        </is>
      </c>
      <c r="D1526" s="47" t="inlineStr">
        <is>
          <t>무제한</t>
        </is>
      </c>
      <c r="E1526" s="47" t="inlineStr">
        <is>
          <t>월 11GB + 매일 2GB + 3Mbps</t>
        </is>
      </c>
      <c r="F1526" s="47" t="inlineStr">
        <is>
          <t>KT</t>
        </is>
      </c>
      <c r="G1526" s="47" t="inlineStr">
        <is>
          <t>LTE</t>
        </is>
      </c>
      <c r="H1526" s="48" t="n">
        <v>22500</v>
      </c>
      <c r="I1526" s="48" t="n">
        <v>7</v>
      </c>
      <c r="J1526" s="48" t="n">
        <v>42130</v>
      </c>
      <c r="K1526" s="47">
        <f t="array" ref="K1526">_xlfn.XLOOKUP(1,(참조!$B$2:$B$15=E1526)*(참조!$D$2:$D$15=C1526)*(참조!$E$2:$E$15=D1526),참조!$C$2:$C$15,"")</f>
        <v/>
      </c>
    </row>
    <row r="1527" hidden="1" s="27">
      <c r="A1527" s="47" t="inlineStr">
        <is>
          <t>이야기모바일</t>
        </is>
      </c>
      <c r="B1527" s="47" t="inlineStr">
        <is>
          <t>이야기 라이트S 100분 10GB+</t>
        </is>
      </c>
      <c r="C1527" s="47" t="inlineStr">
        <is>
          <t>100분</t>
        </is>
      </c>
      <c r="D1527" s="47" t="inlineStr">
        <is>
          <t>100건</t>
        </is>
      </c>
      <c r="E1527" s="47" t="inlineStr">
        <is>
          <t>월 10GB + 1Mbps</t>
        </is>
      </c>
      <c r="F1527" s="47" t="inlineStr">
        <is>
          <t>SKT</t>
        </is>
      </c>
      <c r="G1527" s="47" t="inlineStr">
        <is>
          <t>LTE</t>
        </is>
      </c>
      <c r="H1527" s="48" t="n">
        <v>23100</v>
      </c>
      <c r="I1527" s="48" t="n"/>
      <c r="J1527" s="48" t="n"/>
      <c r="K1527" s="47">
        <f t="array" ref="K1527">_xlfn.XLOOKUP(1,(참조!$B$2:$B$15=E1527)*(참조!$D$2:$D$15=C1527)*(참조!$E$2:$E$15=D1527),참조!$C$2:$C$15,"")</f>
        <v/>
      </c>
    </row>
    <row r="1528" hidden="1" s="27">
      <c r="A1528" s="47" t="inlineStr">
        <is>
          <t>이야기모바일</t>
        </is>
      </c>
      <c r="B1528" s="47" t="inlineStr">
        <is>
          <t>5G 이야기 무한 110GB</t>
        </is>
      </c>
      <c r="C1528" s="47" t="inlineStr">
        <is>
          <t>무제한</t>
        </is>
      </c>
      <c r="D1528" s="47" t="inlineStr">
        <is>
          <t>무제한</t>
        </is>
      </c>
      <c r="E1528" s="47" t="inlineStr">
        <is>
          <t>월 110GB + 5Mbps</t>
        </is>
      </c>
      <c r="F1528" s="47" t="inlineStr">
        <is>
          <t>SKT</t>
        </is>
      </c>
      <c r="G1528" s="47" t="inlineStr">
        <is>
          <t>5G</t>
        </is>
      </c>
      <c r="H1528" s="48" t="n">
        <v>44000</v>
      </c>
      <c r="I1528" s="48" t="n">
        <v>7</v>
      </c>
      <c r="J1528" s="48" t="n">
        <v>47300</v>
      </c>
      <c r="K1528" s="47">
        <f t="array" ref="K1528">_xlfn.XLOOKUP(1,(참조!$B$2:$B$15=E1528)*(참조!$D$2:$D$15=C1528)*(참조!$E$2:$E$15=D1528),참조!$C$2:$C$15,"")</f>
        <v/>
      </c>
    </row>
    <row r="1529" hidden="1" s="27">
      <c r="A1529" s="47" t="inlineStr">
        <is>
          <t>모빙</t>
        </is>
      </c>
      <c r="B1529" s="47" t="inlineStr">
        <is>
          <t>[K] 페이포인트 100GB+</t>
        </is>
      </c>
      <c r="C1529" s="47" t="inlineStr">
        <is>
          <t>무제한</t>
        </is>
      </c>
      <c r="D1529" s="47" t="inlineStr">
        <is>
          <t>무제한</t>
        </is>
      </c>
      <c r="E1529" s="47" t="inlineStr">
        <is>
          <t>월 100GB + 5Mbps</t>
        </is>
      </c>
      <c r="F1529" s="47" t="inlineStr">
        <is>
          <t>KT</t>
        </is>
      </c>
      <c r="G1529" s="47" t="inlineStr">
        <is>
          <t>LTE</t>
        </is>
      </c>
      <c r="H1529" s="48" t="n">
        <v>31460</v>
      </c>
      <c r="I1529" s="48" t="n">
        <v>24</v>
      </c>
      <c r="J1529" s="48" t="n">
        <v>57200</v>
      </c>
      <c r="K1529" s="47">
        <f t="array" ref="K1529">_xlfn.XLOOKUP(1,(참조!$B$2:$B$15=E1529)*(참조!$D$2:$D$15=C1529)*(참조!$E$2:$E$15=D1529),참조!$C$2:$C$15,"")</f>
        <v/>
      </c>
    </row>
    <row r="1530" hidden="1" s="27">
      <c r="A1530" s="47" t="inlineStr">
        <is>
          <t>모빙</t>
        </is>
      </c>
      <c r="B1530" s="47" t="inlineStr">
        <is>
          <t>[K] 다이소 100GB+</t>
        </is>
      </c>
      <c r="C1530" s="47" t="inlineStr">
        <is>
          <t>무제한</t>
        </is>
      </c>
      <c r="D1530" s="47" t="inlineStr">
        <is>
          <t>무제한</t>
        </is>
      </c>
      <c r="E1530" s="47" t="inlineStr">
        <is>
          <t>월 100GB + 5Mbps</t>
        </is>
      </c>
      <c r="F1530" s="47" t="inlineStr">
        <is>
          <t>KT</t>
        </is>
      </c>
      <c r="G1530" s="47" t="inlineStr">
        <is>
          <t>LTE</t>
        </is>
      </c>
      <c r="H1530" s="48" t="n">
        <v>31460</v>
      </c>
      <c r="I1530" s="48" t="n">
        <v>24</v>
      </c>
      <c r="J1530" s="48" t="n">
        <v>60500</v>
      </c>
      <c r="K1530" s="47">
        <f t="array" ref="K1530">_xlfn.XLOOKUP(1,(참조!$B$2:$B$15=E1530)*(참조!$D$2:$D$15=C1530)*(참조!$E$2:$E$15=D1530),참조!$C$2:$C$15,"")</f>
        <v/>
      </c>
    </row>
    <row r="1531" hidden="1" s="27">
      <c r="A1531" s="47" t="inlineStr">
        <is>
          <t>쉐이크모바일</t>
        </is>
      </c>
      <c r="B1531" s="47" t="inlineStr">
        <is>
          <t>[모요only] 쉐이크 5G 90GB+_밀리의서재</t>
        </is>
      </c>
      <c r="C1531" s="47" t="inlineStr">
        <is>
          <t>무제한</t>
        </is>
      </c>
      <c r="D1531" s="47" t="inlineStr">
        <is>
          <t>무제한</t>
        </is>
      </c>
      <c r="E1531" s="47" t="inlineStr">
        <is>
          <t>월 90GB + 1Mbps</t>
        </is>
      </c>
      <c r="F1531" s="47" t="inlineStr">
        <is>
          <t>KT</t>
        </is>
      </c>
      <c r="G1531" s="47" t="inlineStr">
        <is>
          <t>5G</t>
        </is>
      </c>
      <c r="H1531" s="48" t="n">
        <v>21000</v>
      </c>
      <c r="I1531" s="48" t="n">
        <v>7</v>
      </c>
      <c r="J1531" s="48" t="n">
        <v>47300</v>
      </c>
      <c r="K1531" s="47">
        <f t="array" ref="K1531">_xlfn.XLOOKUP(1,(참조!$B$2:$B$15=E1531)*(참조!$D$2:$D$15=C1531)*(참조!$E$2:$E$15=D1531),참조!$C$2:$C$15,"")</f>
        <v/>
      </c>
    </row>
    <row r="1532" hidden="1" s="27">
      <c r="A1532" s="47" t="inlineStr">
        <is>
          <t>스마텔</t>
        </is>
      </c>
      <c r="B1532" s="47" t="inlineStr">
        <is>
          <t>후후 스마일 10GB+</t>
        </is>
      </c>
      <c r="C1532" s="47" t="inlineStr">
        <is>
          <t>무제한</t>
        </is>
      </c>
      <c r="D1532" s="47" t="inlineStr">
        <is>
          <t>무제한</t>
        </is>
      </c>
      <c r="E1532" s="47" t="inlineStr">
        <is>
          <t>월 10GB + 1Mbps</t>
        </is>
      </c>
      <c r="F1532" s="47" t="inlineStr">
        <is>
          <t>SKT</t>
        </is>
      </c>
      <c r="G1532" s="47" t="inlineStr">
        <is>
          <t>LTE</t>
        </is>
      </c>
      <c r="H1532" s="48" t="n">
        <v>9830</v>
      </c>
      <c r="I1532" s="48" t="n">
        <v>7</v>
      </c>
      <c r="J1532" s="48" t="n">
        <v>32230</v>
      </c>
      <c r="K1532" s="47">
        <f t="array" ref="K1532">_xlfn.XLOOKUP(1,(참조!$B$2:$B$15=E1532)*(참조!$D$2:$D$15=C1532)*(참조!$E$2:$E$15=D1532),참조!$C$2:$C$15,"")</f>
        <v/>
      </c>
    </row>
    <row r="1533" hidden="1" s="27">
      <c r="A1533" s="47" t="inlineStr">
        <is>
          <t>이야기모바일</t>
        </is>
      </c>
      <c r="B1533" s="47" t="inlineStr">
        <is>
          <t>내맘대로S(300+3GB)</t>
        </is>
      </c>
      <c r="C1533" s="47" t="inlineStr">
        <is>
          <t>300분</t>
        </is>
      </c>
      <c r="D1533" s="47" t="inlineStr">
        <is>
          <t>300건</t>
        </is>
      </c>
      <c r="E1533" s="47" t="inlineStr">
        <is>
          <t>월 3GB</t>
        </is>
      </c>
      <c r="F1533" s="47" t="inlineStr">
        <is>
          <t>SKT</t>
        </is>
      </c>
      <c r="G1533" s="47" t="inlineStr">
        <is>
          <t>LTE</t>
        </is>
      </c>
      <c r="H1533" s="48" t="n">
        <v>4000</v>
      </c>
      <c r="I1533" s="48" t="n">
        <v>4</v>
      </c>
      <c r="J1533" s="48" t="n">
        <v>9900</v>
      </c>
      <c r="K1533" s="47">
        <f t="array" ref="K1533">_xlfn.XLOOKUP(1,(참조!$B$2:$B$15=E1533)*(참조!$D$2:$D$15=C1533)*(참조!$E$2:$E$15=D1533),참조!$C$2:$C$15,"")</f>
        <v/>
      </c>
    </row>
    <row r="1534" hidden="1" s="27">
      <c r="A1534" s="47" t="inlineStr">
        <is>
          <t>KT스카이라이프</t>
        </is>
      </c>
      <c r="B1534" s="47" t="inlineStr">
        <is>
          <t>5G 모두 충분 50GB+</t>
        </is>
      </c>
      <c r="C1534" s="47" t="inlineStr">
        <is>
          <t>무제한</t>
        </is>
      </c>
      <c r="D1534" s="47" t="inlineStr">
        <is>
          <t>무제한</t>
        </is>
      </c>
      <c r="E1534" s="47" t="inlineStr">
        <is>
          <t>월 50GB + 1Mbps</t>
        </is>
      </c>
      <c r="F1534" s="47" t="inlineStr">
        <is>
          <t>KT</t>
        </is>
      </c>
      <c r="G1534" s="47" t="inlineStr">
        <is>
          <t>5G</t>
        </is>
      </c>
      <c r="H1534" s="48" t="n">
        <v>38500</v>
      </c>
      <c r="I1534" s="48" t="n"/>
      <c r="J1534" s="48" t="n"/>
      <c r="K1534" s="47">
        <f t="array" ref="K1534">_xlfn.XLOOKUP(1,(참조!$B$2:$B$15=E1534)*(참조!$D$2:$D$15=C1534)*(참조!$E$2:$E$15=D1534),참조!$C$2:$C$15,"")</f>
        <v/>
      </c>
    </row>
    <row r="1535" hidden="1" s="27">
      <c r="A1535" s="47" t="inlineStr">
        <is>
          <t>티플러스</t>
        </is>
      </c>
      <c r="B1535" s="47" t="inlineStr">
        <is>
          <t>5G 통화안심 10GB</t>
        </is>
      </c>
      <c r="C1535" s="47" t="inlineStr">
        <is>
          <t>무제한</t>
        </is>
      </c>
      <c r="D1535" s="47" t="inlineStr">
        <is>
          <t>100건</t>
        </is>
      </c>
      <c r="E1535" s="47" t="inlineStr">
        <is>
          <t>월 10GB</t>
        </is>
      </c>
      <c r="F1535" s="47" t="inlineStr">
        <is>
          <t>SKT</t>
        </is>
      </c>
      <c r="G1535" s="47" t="inlineStr">
        <is>
          <t>5G</t>
        </is>
      </c>
      <c r="H1535" s="48" t="n">
        <v>7900</v>
      </c>
      <c r="I1535" s="48" t="n">
        <v>4</v>
      </c>
      <c r="J1535" s="48" t="n">
        <v>19800</v>
      </c>
      <c r="K1535" s="47">
        <f t="array" ref="K1535">_xlfn.XLOOKUP(1,(참조!$B$2:$B$15=E1535)*(참조!$D$2:$D$15=C1535)*(참조!$E$2:$E$15=D1535),참조!$C$2:$C$15,"")</f>
        <v/>
      </c>
    </row>
    <row r="1536" hidden="1" s="27">
      <c r="A1536" s="47" t="inlineStr">
        <is>
          <t>KT스카이라이프</t>
        </is>
      </c>
      <c r="B1536" s="47" t="inlineStr">
        <is>
          <t>모두 충분 10GB+(올리브영_5000)</t>
        </is>
      </c>
      <c r="C1536" s="47" t="inlineStr">
        <is>
          <t>무제한</t>
        </is>
      </c>
      <c r="D1536" s="47" t="inlineStr">
        <is>
          <t>무제한</t>
        </is>
      </c>
      <c r="E1536" s="47" t="inlineStr">
        <is>
          <t>월 10GB + 1Mbps</t>
        </is>
      </c>
      <c r="F1536" s="47" t="inlineStr">
        <is>
          <t>KT</t>
        </is>
      </c>
      <c r="G1536" s="47" t="inlineStr">
        <is>
          <t>LTE</t>
        </is>
      </c>
      <c r="H1536" s="48" t="n">
        <v>21500</v>
      </c>
      <c r="I1536" s="48" t="n"/>
      <c r="J1536" s="48" t="n"/>
      <c r="K1536" s="47">
        <f t="array" ref="K1536">_xlfn.XLOOKUP(1,(참조!$B$2:$B$15=E1536)*(참조!$D$2:$D$15=C1536)*(참조!$E$2:$E$15=D1536),참조!$C$2:$C$15,"")</f>
        <v/>
      </c>
    </row>
    <row r="1537" hidden="1" s="27">
      <c r="A1537" s="47" t="inlineStr">
        <is>
          <t>아이즈모바일</t>
        </is>
      </c>
      <c r="B1537" s="47" t="inlineStr">
        <is>
          <t>[K]롯시&amp;밀리 7GB+</t>
        </is>
      </c>
      <c r="C1537" s="47" t="inlineStr">
        <is>
          <t>무제한</t>
        </is>
      </c>
      <c r="D1537" s="47" t="inlineStr">
        <is>
          <t>무제한</t>
        </is>
      </c>
      <c r="E1537" s="47" t="inlineStr">
        <is>
          <t>월 7GB + 1Mbps</t>
        </is>
      </c>
      <c r="F1537" s="47" t="inlineStr">
        <is>
          <t>KT</t>
        </is>
      </c>
      <c r="G1537" s="47" t="inlineStr">
        <is>
          <t>LTE</t>
        </is>
      </c>
      <c r="H1537" s="48" t="n">
        <v>4900</v>
      </c>
      <c r="I1537" s="48" t="n">
        <v>7</v>
      </c>
      <c r="J1537" s="48" t="n">
        <v>28600</v>
      </c>
      <c r="K1537" s="47">
        <f t="array" ref="K1537">_xlfn.XLOOKUP(1,(참조!$B$2:$B$15=E1537)*(참조!$D$2:$D$15=C1537)*(참조!$E$2:$E$15=D1537),참조!$C$2:$C$15,"")</f>
        <v/>
      </c>
    </row>
    <row r="1538" hidden="1" s="27">
      <c r="A1538" s="47" t="inlineStr">
        <is>
          <t>스마텔</t>
        </is>
      </c>
      <c r="B1538" s="47" t="inlineStr">
        <is>
          <t>후후 플러스 (100분+1.5GB)</t>
        </is>
      </c>
      <c r="C1538" s="47" t="inlineStr">
        <is>
          <t>100분</t>
        </is>
      </c>
      <c r="D1538" s="47" t="inlineStr">
        <is>
          <t>100건</t>
        </is>
      </c>
      <c r="E1538" s="47" t="inlineStr">
        <is>
          <t>월 1.5GB</t>
        </is>
      </c>
      <c r="F1538" s="47" t="inlineStr">
        <is>
          <t>SKT</t>
        </is>
      </c>
      <c r="G1538" s="47" t="inlineStr">
        <is>
          <t>LTE</t>
        </is>
      </c>
      <c r="H1538" s="48" t="n">
        <v>1930</v>
      </c>
      <c r="I1538" s="48" t="n">
        <v>5</v>
      </c>
      <c r="J1538" s="48" t="n">
        <v>6330</v>
      </c>
      <c r="K1538" s="47">
        <f t="array" ref="K1538">_xlfn.XLOOKUP(1,(참조!$B$2:$B$15=E1538)*(참조!$D$2:$D$15=C1538)*(참조!$E$2:$E$15=D1538),참조!$C$2:$C$15,"")</f>
        <v/>
      </c>
    </row>
    <row r="1539" hidden="1" s="27">
      <c r="A1539" s="47" t="inlineStr">
        <is>
          <t>모빙</t>
        </is>
      </c>
      <c r="B1539" s="47" t="inlineStr">
        <is>
          <t>[K] 밀리의 서재 100GB+</t>
        </is>
      </c>
      <c r="C1539" s="47" t="inlineStr">
        <is>
          <t>무제한</t>
        </is>
      </c>
      <c r="D1539" s="47" t="inlineStr">
        <is>
          <t>무제한</t>
        </is>
      </c>
      <c r="E1539" s="47" t="inlineStr">
        <is>
          <t>월 100GB + 5Mbps</t>
        </is>
      </c>
      <c r="F1539" s="47" t="inlineStr">
        <is>
          <t>KT</t>
        </is>
      </c>
      <c r="G1539" s="47" t="inlineStr">
        <is>
          <t>LTE</t>
        </is>
      </c>
      <c r="H1539" s="48" t="n">
        <v>17930</v>
      </c>
      <c r="I1539" s="48" t="n">
        <v>7</v>
      </c>
      <c r="J1539" s="48" t="n">
        <v>50600</v>
      </c>
      <c r="K1539" s="47">
        <f t="array" ref="K1539">_xlfn.XLOOKUP(1,(참조!$B$2:$B$15=E1539)*(참조!$D$2:$D$15=C1539)*(참조!$E$2:$E$15=D1539),참조!$C$2:$C$15,"")</f>
        <v/>
      </c>
    </row>
    <row r="1540" hidden="1" s="27">
      <c r="A1540" s="47" t="inlineStr">
        <is>
          <t>에이모바일</t>
        </is>
      </c>
      <c r="B1540" s="47" t="inlineStr">
        <is>
          <t>A 갓성비 5GB/230분 6</t>
        </is>
      </c>
      <c r="C1540" s="47" t="inlineStr">
        <is>
          <t>230분</t>
        </is>
      </c>
      <c r="D1540" s="47" t="inlineStr">
        <is>
          <t>100건</t>
        </is>
      </c>
      <c r="E1540" s="47" t="inlineStr">
        <is>
          <t>월 5GB</t>
        </is>
      </c>
      <c r="F1540" s="47" t="inlineStr">
        <is>
          <t>LG U+</t>
        </is>
      </c>
      <c r="G1540" s="47" t="inlineStr">
        <is>
          <t>LTE</t>
        </is>
      </c>
      <c r="H1540" s="48" t="n">
        <v>110</v>
      </c>
      <c r="I1540" s="48" t="n">
        <v>6</v>
      </c>
      <c r="J1540" s="48" t="n">
        <v>9900</v>
      </c>
      <c r="K1540" s="47">
        <f t="array" ref="K1540">_xlfn.XLOOKUP(1,(참조!$B$2:$B$15=E1540)*(참조!$D$2:$D$15=C1540)*(참조!$E$2:$E$15=D1540),참조!$C$2:$C$15,"")</f>
        <v/>
      </c>
    </row>
    <row r="1541" hidden="1" s="27">
      <c r="A1541" s="47" t="inlineStr">
        <is>
          <t>이야기모바일</t>
        </is>
      </c>
      <c r="B1541" s="47" t="inlineStr">
        <is>
          <t>이야기 300분+5GB (5G)</t>
        </is>
      </c>
      <c r="C1541" s="47" t="inlineStr">
        <is>
          <t>300분</t>
        </is>
      </c>
      <c r="D1541" s="47" t="inlineStr">
        <is>
          <t>50건</t>
        </is>
      </c>
      <c r="E1541" s="47" t="inlineStr">
        <is>
          <t>월 5GB</t>
        </is>
      </c>
      <c r="F1541" s="47" t="inlineStr">
        <is>
          <t>SKT</t>
        </is>
      </c>
      <c r="G1541" s="47" t="inlineStr">
        <is>
          <t>5G</t>
        </is>
      </c>
      <c r="H1541" s="48" t="n">
        <v>7700</v>
      </c>
      <c r="I1541" s="48" t="n"/>
      <c r="J1541" s="48" t="n"/>
      <c r="K1541" s="47">
        <f t="array" ref="K1541">_xlfn.XLOOKUP(1,(참조!$B$2:$B$15=E1541)*(참조!$D$2:$D$15=C1541)*(참조!$E$2:$E$15=D1541),참조!$C$2:$C$15,"")</f>
        <v/>
      </c>
    </row>
    <row r="1542" hidden="1" s="27">
      <c r="A1542" s="47" t="inlineStr">
        <is>
          <t>이야기모바일</t>
        </is>
      </c>
      <c r="B1542" s="47" t="inlineStr">
        <is>
          <t>내맘대로S(500+500MB)</t>
        </is>
      </c>
      <c r="C1542" s="47" t="inlineStr">
        <is>
          <t>500분</t>
        </is>
      </c>
      <c r="D1542" s="47" t="inlineStr">
        <is>
          <t>500건</t>
        </is>
      </c>
      <c r="E1542" s="47" t="inlineStr">
        <is>
          <t>월 500MB</t>
        </is>
      </c>
      <c r="F1542" s="47" t="inlineStr">
        <is>
          <t>SKT</t>
        </is>
      </c>
      <c r="G1542" s="47" t="inlineStr">
        <is>
          <t>LTE</t>
        </is>
      </c>
      <c r="H1542" s="48" t="n">
        <v>7700</v>
      </c>
      <c r="I1542" s="48" t="n">
        <v>12</v>
      </c>
      <c r="J1542" s="48" t="n">
        <v>11000</v>
      </c>
      <c r="K1542" s="47">
        <f t="array" ref="K1542">_xlfn.XLOOKUP(1,(참조!$B$2:$B$15=E1542)*(참조!$D$2:$D$15=C1542)*(참조!$E$2:$E$15=D1542),참조!$C$2:$C$15,"")</f>
        <v/>
      </c>
    </row>
    <row r="1543" hidden="1" s="27">
      <c r="A1543" s="47" t="inlineStr">
        <is>
          <t>모빙</t>
        </is>
      </c>
      <c r="B1543" s="47" t="inlineStr">
        <is>
          <t>[L] 5G 데이터 1GB+</t>
        </is>
      </c>
      <c r="C1543" s="47" t="inlineStr">
        <is>
          <t>무제한</t>
        </is>
      </c>
      <c r="D1543" s="47" t="inlineStr">
        <is>
          <t>100건</t>
        </is>
      </c>
      <c r="E1543" s="47" t="inlineStr">
        <is>
          <t>월 1GB + 1Mbps</t>
        </is>
      </c>
      <c r="F1543" s="47" t="inlineStr">
        <is>
          <t>LG U+</t>
        </is>
      </c>
      <c r="G1543" s="47" t="inlineStr">
        <is>
          <t>5G</t>
        </is>
      </c>
      <c r="H1543" s="48" t="n">
        <v>6600</v>
      </c>
      <c r="I1543" s="48" t="n"/>
      <c r="J1543" s="48" t="n"/>
      <c r="K1543" s="47">
        <f t="array" ref="K1543">_xlfn.XLOOKUP(1,(참조!$B$2:$B$15=E1543)*(참조!$D$2:$D$15=C1543)*(참조!$E$2:$E$15=D1543),참조!$C$2:$C$15,"")</f>
        <v/>
      </c>
    </row>
    <row r="1544" hidden="1" s="27">
      <c r="A1544" s="47" t="inlineStr">
        <is>
          <t>모빙</t>
        </is>
      </c>
      <c r="B1544" s="47" t="inlineStr">
        <is>
          <t>[L] 100분15GB+</t>
        </is>
      </c>
      <c r="C1544" s="47" t="inlineStr">
        <is>
          <t>100분</t>
        </is>
      </c>
      <c r="D1544" s="47" t="inlineStr">
        <is>
          <t>100건</t>
        </is>
      </c>
      <c r="E1544" s="47" t="inlineStr">
        <is>
          <t>월 15GB + 3Mbps</t>
        </is>
      </c>
      <c r="F1544" s="47" t="inlineStr">
        <is>
          <t>LG U+</t>
        </is>
      </c>
      <c r="G1544" s="47" t="inlineStr">
        <is>
          <t>LTE</t>
        </is>
      </c>
      <c r="H1544" s="48" t="n">
        <v>14000</v>
      </c>
      <c r="I1544" s="48" t="n">
        <v>7</v>
      </c>
      <c r="J1544" s="48" t="n">
        <v>36300</v>
      </c>
      <c r="K1544" s="47">
        <f t="array" ref="K1544">_xlfn.XLOOKUP(1,(참조!$B$2:$B$15=E1544)*(참조!$D$2:$D$15=C1544)*(참조!$E$2:$E$15=D1544),참조!$C$2:$C$15,"")</f>
        <v/>
      </c>
    </row>
    <row r="1545" hidden="1" s="27">
      <c r="A1545" s="47" t="inlineStr">
        <is>
          <t>스마텔</t>
        </is>
      </c>
      <c r="B1545" s="47" t="inlineStr">
        <is>
          <t>스위트 11GB+(다이소 5000)</t>
        </is>
      </c>
      <c r="C1545" s="47" t="inlineStr">
        <is>
          <t>무제한</t>
        </is>
      </c>
      <c r="D1545" s="47" t="inlineStr">
        <is>
          <t>무제한</t>
        </is>
      </c>
      <c r="E1545" s="47" t="inlineStr">
        <is>
          <t>월 11GB + 매일 2GB + 3Mbps</t>
        </is>
      </c>
      <c r="F1545" s="47" t="inlineStr">
        <is>
          <t>KT</t>
        </is>
      </c>
      <c r="G1545" s="47" t="inlineStr">
        <is>
          <t>LTE</t>
        </is>
      </c>
      <c r="H1545" s="48" t="n">
        <v>23380</v>
      </c>
      <c r="I1545" s="48" t="n">
        <v>7</v>
      </c>
      <c r="J1545" s="48" t="n">
        <v>43010</v>
      </c>
      <c r="K1545" s="47">
        <f t="array" ref="K1545">_xlfn.XLOOKUP(1,(참조!$B$2:$B$15=E1545)*(참조!$D$2:$D$15=C1545)*(참조!$E$2:$E$15=D1545),참조!$C$2:$C$15,"")</f>
        <v/>
      </c>
    </row>
    <row r="1546" hidden="1" s="27">
      <c r="A1546" s="47" t="inlineStr">
        <is>
          <t>스마텔</t>
        </is>
      </c>
      <c r="B1546" s="47" t="inlineStr">
        <is>
          <t>데이터충분히(10G+300분)</t>
        </is>
      </c>
      <c r="C1546" s="47" t="inlineStr">
        <is>
          <t>300분</t>
        </is>
      </c>
      <c r="D1546" s="47" t="inlineStr">
        <is>
          <t>100건</t>
        </is>
      </c>
      <c r="E1546" s="47" t="inlineStr">
        <is>
          <t>월 10GB</t>
        </is>
      </c>
      <c r="F1546" s="47" t="inlineStr">
        <is>
          <t>LG U+</t>
        </is>
      </c>
      <c r="G1546" s="47" t="inlineStr">
        <is>
          <t>LTE</t>
        </is>
      </c>
      <c r="H1546" s="48" t="n">
        <v>500</v>
      </c>
      <c r="I1546" s="48" t="n">
        <v>8</v>
      </c>
      <c r="J1546" s="48" t="n">
        <v>17600</v>
      </c>
      <c r="K1546" s="47">
        <f t="array" ref="K1546">_xlfn.XLOOKUP(1,(참조!$B$2:$B$15=E1546)*(참조!$D$2:$D$15=C1546)*(참조!$E$2:$E$15=D1546),참조!$C$2:$C$15,"")</f>
        <v/>
      </c>
    </row>
    <row r="1547" hidden="1" s="27">
      <c r="A1547" s="47" t="inlineStr">
        <is>
          <t>모빙</t>
        </is>
      </c>
      <c r="B1547" s="47" t="inlineStr">
        <is>
          <t>[K] 500분5GB</t>
        </is>
      </c>
      <c r="C1547" s="47" t="inlineStr">
        <is>
          <t>500분</t>
        </is>
      </c>
      <c r="D1547" s="47" t="inlineStr">
        <is>
          <t>500건</t>
        </is>
      </c>
      <c r="E1547" s="47" t="inlineStr">
        <is>
          <t>월 5GB</t>
        </is>
      </c>
      <c r="F1547" s="47" t="inlineStr">
        <is>
          <t>KT</t>
        </is>
      </c>
      <c r="G1547" s="47" t="inlineStr">
        <is>
          <t>LTE</t>
        </is>
      </c>
      <c r="H1547" s="48" t="n">
        <v>110</v>
      </c>
      <c r="I1547" s="48" t="n">
        <v>7</v>
      </c>
      <c r="J1547" s="48" t="n">
        <v>29700</v>
      </c>
      <c r="K1547" s="47">
        <f t="array" ref="K1547">_xlfn.XLOOKUP(1,(참조!$B$2:$B$15=E1547)*(참조!$D$2:$D$15=C1547)*(참조!$E$2:$E$15=D1547),참조!$C$2:$C$15,"")</f>
        <v/>
      </c>
    </row>
    <row r="1548" hidden="1" s="27">
      <c r="A1548" s="47" t="inlineStr">
        <is>
          <t>에이모바일</t>
        </is>
      </c>
      <c r="B1548" s="47" t="inlineStr">
        <is>
          <t>A 올라잇 2.5GB/200분</t>
        </is>
      </c>
      <c r="C1548" s="47" t="inlineStr">
        <is>
          <t>200분</t>
        </is>
      </c>
      <c r="D1548" s="47" t="inlineStr">
        <is>
          <t>200건</t>
        </is>
      </c>
      <c r="E1548" s="47" t="inlineStr">
        <is>
          <t>월 2.5GB</t>
        </is>
      </c>
      <c r="F1548" s="47" t="inlineStr">
        <is>
          <t>KT</t>
        </is>
      </c>
      <c r="G1548" s="47" t="inlineStr">
        <is>
          <t>LTE</t>
        </is>
      </c>
      <c r="H1548" s="48" t="n">
        <v>220</v>
      </c>
      <c r="I1548" s="48" t="n">
        <v>7</v>
      </c>
      <c r="J1548" s="48" t="n">
        <v>7700</v>
      </c>
      <c r="K1548" s="47">
        <f t="array" ref="K1548">_xlfn.XLOOKUP(1,(참조!$B$2:$B$15=E1548)*(참조!$D$2:$D$15=C1548)*(참조!$E$2:$E$15=D1548),참조!$C$2:$C$15,"")</f>
        <v/>
      </c>
    </row>
    <row r="1549" hidden="1" s="27">
      <c r="A1549" s="47" t="inlineStr">
        <is>
          <t>모빙</t>
        </is>
      </c>
      <c r="B1549" s="47" t="inlineStr">
        <is>
          <t>[L] 400분4GB</t>
        </is>
      </c>
      <c r="C1549" s="47" t="inlineStr">
        <is>
          <t>400분</t>
        </is>
      </c>
      <c r="D1549" s="47" t="inlineStr">
        <is>
          <t>100건</t>
        </is>
      </c>
      <c r="E1549" s="47" t="inlineStr">
        <is>
          <t>월 4GB</t>
        </is>
      </c>
      <c r="F1549" s="47" t="inlineStr">
        <is>
          <t>LG U+</t>
        </is>
      </c>
      <c r="G1549" s="47" t="inlineStr">
        <is>
          <t>LTE</t>
        </is>
      </c>
      <c r="H1549" s="48" t="n">
        <v>3500</v>
      </c>
      <c r="I1549" s="48" t="n"/>
      <c r="J1549" s="48" t="n"/>
      <c r="K1549" s="47">
        <f t="array" ref="K1549">_xlfn.XLOOKUP(1,(참조!$B$2:$B$15=E1549)*(참조!$D$2:$D$15=C1549)*(참조!$E$2:$E$15=D1549),참조!$C$2:$C$15,"")</f>
        <v/>
      </c>
    </row>
    <row r="1550" hidden="1" s="27">
      <c r="A1550" s="47" t="inlineStr">
        <is>
          <t>모빙</t>
        </is>
      </c>
      <c r="B1550" s="47" t="inlineStr">
        <is>
          <t>[K] 100분3GB</t>
        </is>
      </c>
      <c r="C1550" s="47" t="inlineStr">
        <is>
          <t>100분</t>
        </is>
      </c>
      <c r="D1550" s="47" t="inlineStr">
        <is>
          <t>100건</t>
        </is>
      </c>
      <c r="E1550" s="47" t="inlineStr">
        <is>
          <t>월 3GB</t>
        </is>
      </c>
      <c r="F1550" s="47" t="inlineStr">
        <is>
          <t>KT</t>
        </is>
      </c>
      <c r="G1550" s="47" t="inlineStr">
        <is>
          <t>LTE</t>
        </is>
      </c>
      <c r="H1550" s="48" t="n">
        <v>110</v>
      </c>
      <c r="I1550" s="48" t="n">
        <v>5</v>
      </c>
      <c r="J1550" s="48" t="n">
        <v>16500</v>
      </c>
      <c r="K1550" s="47">
        <f t="array" ref="K1550">_xlfn.XLOOKUP(1,(참조!$B$2:$B$15=E1550)*(참조!$D$2:$D$15=C1550)*(참조!$E$2:$E$15=D1550),참조!$C$2:$C$15,"")</f>
        <v/>
      </c>
    </row>
    <row r="1551" hidden="1" s="27">
      <c r="A1551" s="47" t="inlineStr">
        <is>
          <t>U+유모바일</t>
        </is>
      </c>
      <c r="B1551" s="47" t="inlineStr">
        <is>
          <t>[GS25 12만] 15GB+/100분 (+10GB 추가 제공 프로모션)</t>
        </is>
      </c>
      <c r="C1551" s="47" t="inlineStr">
        <is>
          <t>100분</t>
        </is>
      </c>
      <c r="D1551" s="47" t="inlineStr">
        <is>
          <t>100건</t>
        </is>
      </c>
      <c r="E1551" s="47" t="inlineStr">
        <is>
          <t>월 25GB + 3Mbps</t>
        </is>
      </c>
      <c r="F1551" s="47" t="inlineStr">
        <is>
          <t>LG U+</t>
        </is>
      </c>
      <c r="G1551" s="47" t="inlineStr">
        <is>
          <t>LTE</t>
        </is>
      </c>
      <c r="H1551" s="48" t="n">
        <v>29300</v>
      </c>
      <c r="I1551" s="48" t="n"/>
      <c r="J1551" s="48" t="n"/>
      <c r="K1551" s="47">
        <f t="array" ref="K1551">_xlfn.XLOOKUP(1,(참조!$B$2:$B$15=E1551)*(참조!$D$2:$D$15=C1551)*(참조!$E$2:$E$15=D1551),참조!$C$2:$C$15,"")</f>
        <v/>
      </c>
    </row>
    <row r="1552" hidden="1" s="27">
      <c r="A1552" s="47" t="inlineStr">
        <is>
          <t>KT스카이라이프</t>
        </is>
      </c>
      <c r="B1552" s="47" t="inlineStr">
        <is>
          <t>5G 모두 충분 200GB+(밀리의서재)</t>
        </is>
      </c>
      <c r="C1552" s="47" t="inlineStr">
        <is>
          <t>무제한</t>
        </is>
      </c>
      <c r="D1552" s="47" t="inlineStr">
        <is>
          <t>무제한</t>
        </is>
      </c>
      <c r="E1552" s="47" t="inlineStr">
        <is>
          <t>월 200GB + 10Mbps</t>
        </is>
      </c>
      <c r="F1552" s="47" t="inlineStr">
        <is>
          <t>KT</t>
        </is>
      </c>
      <c r="G1552" s="47" t="inlineStr">
        <is>
          <t>5G</t>
        </is>
      </c>
      <c r="H1552" s="48" t="n">
        <v>49300</v>
      </c>
      <c r="I1552" s="48" t="n"/>
      <c r="J1552" s="48" t="n"/>
      <c r="K1552" s="47">
        <f t="array" ref="K1552">_xlfn.XLOOKUP(1,(참조!$B$2:$B$15=E1552)*(참조!$D$2:$D$15=C1552)*(참조!$E$2:$E$15=D1552),참조!$C$2:$C$15,"")</f>
        <v/>
      </c>
    </row>
    <row r="1553" hidden="1" s="27">
      <c r="A1553" s="47" t="inlineStr">
        <is>
          <t>모빙</t>
        </is>
      </c>
      <c r="B1553" s="47" t="inlineStr">
        <is>
          <t>[S] 200분3GB</t>
        </is>
      </c>
      <c r="C1553" s="47" t="inlineStr">
        <is>
          <t>200분</t>
        </is>
      </c>
      <c r="D1553" s="47" t="inlineStr">
        <is>
          <t>200건</t>
        </is>
      </c>
      <c r="E1553" s="47" t="inlineStr">
        <is>
          <t>월 3GB</t>
        </is>
      </c>
      <c r="F1553" s="47" t="inlineStr">
        <is>
          <t>SKT</t>
        </is>
      </c>
      <c r="G1553" s="47" t="inlineStr">
        <is>
          <t>LTE</t>
        </is>
      </c>
      <c r="H1553" s="48" t="n">
        <v>3500</v>
      </c>
      <c r="I1553" s="48" t="n"/>
      <c r="J1553" s="48" t="n"/>
      <c r="K1553" s="47">
        <f t="array" ref="K1553">_xlfn.XLOOKUP(1,(참조!$B$2:$B$15=E1553)*(참조!$D$2:$D$15=C1553)*(참조!$E$2:$E$15=D1553),참조!$C$2:$C$15,"")</f>
        <v/>
      </c>
    </row>
    <row r="1554" hidden="1" s="27">
      <c r="A1554" s="47" t="inlineStr">
        <is>
          <t>스마텔</t>
        </is>
      </c>
      <c r="B1554" s="47" t="inlineStr">
        <is>
          <t>스마일 1GB+</t>
        </is>
      </c>
      <c r="C1554" s="47" t="inlineStr">
        <is>
          <t>무제한</t>
        </is>
      </c>
      <c r="D1554" s="47" t="inlineStr">
        <is>
          <t>무제한</t>
        </is>
      </c>
      <c r="E1554" s="47" t="inlineStr">
        <is>
          <t>월 1GB + 1Mbps</t>
        </is>
      </c>
      <c r="F1554" s="47" t="inlineStr">
        <is>
          <t>SKT</t>
        </is>
      </c>
      <c r="G1554" s="47" t="inlineStr">
        <is>
          <t>LTE</t>
        </is>
      </c>
      <c r="H1554" s="48" t="n">
        <v>10340</v>
      </c>
      <c r="I1554" s="48" t="n">
        <v>7</v>
      </c>
      <c r="J1554" s="48" t="n">
        <v>16940</v>
      </c>
      <c r="K1554" s="47">
        <f t="array" ref="K1554">_xlfn.XLOOKUP(1,(참조!$B$2:$B$15=E1554)*(참조!$D$2:$D$15=C1554)*(참조!$E$2:$E$15=D1554),참조!$C$2:$C$15,"")</f>
        <v/>
      </c>
    </row>
    <row r="1555" hidden="1" s="27">
      <c r="A1555" s="47" t="inlineStr">
        <is>
          <t>아이즈모바일</t>
        </is>
      </c>
      <c r="B1555" s="47" t="inlineStr">
        <is>
          <t>[S]올리브영10GB+1Mbps</t>
        </is>
      </c>
      <c r="C1555" s="47" t="inlineStr">
        <is>
          <t>무제한</t>
        </is>
      </c>
      <c r="D1555" s="47" t="inlineStr">
        <is>
          <t>무제한</t>
        </is>
      </c>
      <c r="E1555" s="47" t="inlineStr">
        <is>
          <t>월 10GB + 1Mbps</t>
        </is>
      </c>
      <c r="F1555" s="47" t="inlineStr">
        <is>
          <t>SKT</t>
        </is>
      </c>
      <c r="G1555" s="47" t="inlineStr">
        <is>
          <t>LTE</t>
        </is>
      </c>
      <c r="H1555" s="48" t="n">
        <v>4000</v>
      </c>
      <c r="I1555" s="48" t="n">
        <v>7</v>
      </c>
      <c r="J1555" s="48" t="n">
        <v>33000</v>
      </c>
      <c r="K1555" s="47">
        <f t="array" ref="K1555">_xlfn.XLOOKUP(1,(참조!$B$2:$B$15=E1555)*(참조!$D$2:$D$15=C1555)*(참조!$E$2:$E$15=D1555),참조!$C$2:$C$15,"")</f>
        <v/>
      </c>
    </row>
    <row r="1556" hidden="1" s="27">
      <c r="A1556" s="47" t="inlineStr">
        <is>
          <t>모빙</t>
        </is>
      </c>
      <c r="B1556" s="47" t="inlineStr">
        <is>
          <t>[S] 300분15GB+</t>
        </is>
      </c>
      <c r="C1556" s="47" t="inlineStr">
        <is>
          <t>300분</t>
        </is>
      </c>
      <c r="D1556" s="47" t="inlineStr">
        <is>
          <t>300건</t>
        </is>
      </c>
      <c r="E1556" s="47" t="inlineStr">
        <is>
          <t>월 15GB + 3Mbps</t>
        </is>
      </c>
      <c r="F1556" s="47" t="inlineStr">
        <is>
          <t>SKT</t>
        </is>
      </c>
      <c r="G1556" s="47" t="inlineStr">
        <is>
          <t>LTE</t>
        </is>
      </c>
      <c r="H1556" s="48" t="n">
        <v>9000</v>
      </c>
      <c r="I1556" s="48" t="n">
        <v>7</v>
      </c>
      <c r="J1556" s="48" t="n">
        <v>40700</v>
      </c>
      <c r="K1556" s="47">
        <f t="array" ref="K1556">_xlfn.XLOOKUP(1,(참조!$B$2:$B$15=E1556)*(참조!$D$2:$D$15=C1556)*(참조!$E$2:$E$15=D1556),참조!$C$2:$C$15,"")</f>
        <v/>
      </c>
    </row>
    <row r="1557" hidden="1" s="27">
      <c r="A1557" s="47" t="inlineStr">
        <is>
          <t>모빙</t>
        </is>
      </c>
      <c r="B1557" s="47" t="inlineStr">
        <is>
          <t>[K] 모아진 11GB+</t>
        </is>
      </c>
      <c r="C1557" s="47" t="inlineStr">
        <is>
          <t>무제한</t>
        </is>
      </c>
      <c r="D1557" s="47" t="inlineStr">
        <is>
          <t>무제한</t>
        </is>
      </c>
      <c r="E1557" s="47" t="inlineStr">
        <is>
          <t>월 11GB + 매일 2GB + 3Mbps</t>
        </is>
      </c>
      <c r="F1557" s="47" t="inlineStr">
        <is>
          <t>KT</t>
        </is>
      </c>
      <c r="G1557" s="47" t="inlineStr">
        <is>
          <t>LTE</t>
        </is>
      </c>
      <c r="H1557" s="48" t="n">
        <v>15950</v>
      </c>
      <c r="I1557" s="48" t="n">
        <v>7</v>
      </c>
      <c r="J1557" s="48" t="n">
        <v>52800</v>
      </c>
      <c r="K1557" s="47">
        <f t="array" ref="K1557">_xlfn.XLOOKUP(1,(참조!$B$2:$B$15=E1557)*(참조!$D$2:$D$15=C1557)*(참조!$E$2:$E$15=D1557),참조!$C$2:$C$15,"")</f>
        <v/>
      </c>
    </row>
    <row r="1558" hidden="1" s="27">
      <c r="A1558" s="47" t="inlineStr">
        <is>
          <t>티플러스</t>
        </is>
      </c>
      <c r="B1558" s="47" t="inlineStr">
        <is>
          <t>티플 드림(3GB/200분)</t>
        </is>
      </c>
      <c r="C1558" s="47" t="inlineStr">
        <is>
          <t>200분</t>
        </is>
      </c>
      <c r="D1558" s="47" t="inlineStr">
        <is>
          <t>200건</t>
        </is>
      </c>
      <c r="E1558" s="47" t="inlineStr">
        <is>
          <t>월 3GB</t>
        </is>
      </c>
      <c r="F1558" s="47" t="inlineStr">
        <is>
          <t>SKT</t>
        </is>
      </c>
      <c r="G1558" s="47" t="inlineStr">
        <is>
          <t>LTE</t>
        </is>
      </c>
      <c r="H1558" s="48" t="n">
        <v>2000</v>
      </c>
      <c r="I1558" s="48" t="n">
        <v>4</v>
      </c>
      <c r="J1558" s="48" t="n">
        <v>7700</v>
      </c>
      <c r="K1558" s="47">
        <f t="array" ref="K1558">_xlfn.XLOOKUP(1,(참조!$B$2:$B$15=E1558)*(참조!$D$2:$D$15=C1558)*(참조!$E$2:$E$15=D1558),참조!$C$2:$C$15,"")</f>
        <v/>
      </c>
    </row>
    <row r="1559" hidden="1" s="27">
      <c r="A1559" s="47" t="inlineStr">
        <is>
          <t>아이즈모바일</t>
        </is>
      </c>
      <c r="B1559" s="47" t="inlineStr">
        <is>
          <t>[K]롯시&amp;밀리 15GB+</t>
        </is>
      </c>
      <c r="C1559" s="47" t="inlineStr">
        <is>
          <t>무제한</t>
        </is>
      </c>
      <c r="D1559" s="47" t="inlineStr">
        <is>
          <t>무제한</t>
        </is>
      </c>
      <c r="E1559" s="47" t="inlineStr">
        <is>
          <t>월 15GB + 1Mbps</t>
        </is>
      </c>
      <c r="F1559" s="47" t="inlineStr">
        <is>
          <t>KT</t>
        </is>
      </c>
      <c r="G1559" s="47" t="inlineStr">
        <is>
          <t>LTE</t>
        </is>
      </c>
      <c r="H1559" s="48" t="n">
        <v>8900</v>
      </c>
      <c r="I1559" s="48" t="n">
        <v>7</v>
      </c>
      <c r="J1559" s="48" t="n">
        <v>34100</v>
      </c>
      <c r="K1559" s="47">
        <f t="array" ref="K1559">_xlfn.XLOOKUP(1,(참조!$B$2:$B$15=E1559)*(참조!$D$2:$D$15=C1559)*(참조!$E$2:$E$15=D1559),참조!$C$2:$C$15,"")</f>
        <v/>
      </c>
    </row>
    <row r="1560" hidden="1" s="27">
      <c r="A1560" s="47" t="inlineStr">
        <is>
          <t>스마텔</t>
        </is>
      </c>
      <c r="B1560" s="47" t="inlineStr">
        <is>
          <t>스위트 100GB+(다이소 3000)</t>
        </is>
      </c>
      <c r="C1560" s="47" t="inlineStr">
        <is>
          <t>무제한</t>
        </is>
      </c>
      <c r="D1560" s="47" t="inlineStr">
        <is>
          <t>무제한</t>
        </is>
      </c>
      <c r="E1560" s="47" t="inlineStr">
        <is>
          <t>월 100GB + 5Mbps</t>
        </is>
      </c>
      <c r="F1560" s="47" t="inlineStr">
        <is>
          <t>KT</t>
        </is>
      </c>
      <c r="G1560" s="47" t="inlineStr">
        <is>
          <t>LTE</t>
        </is>
      </c>
      <c r="H1560" s="48" t="n">
        <v>24500</v>
      </c>
      <c r="I1560" s="48" t="n">
        <v>7</v>
      </c>
      <c r="J1560" s="48" t="n">
        <v>47630</v>
      </c>
      <c r="K1560" s="47">
        <f t="array" ref="K1560">_xlfn.XLOOKUP(1,(참조!$B$2:$B$15=E1560)*(참조!$D$2:$D$15=C1560)*(참조!$E$2:$E$15=D1560),참조!$C$2:$C$15,"")</f>
        <v/>
      </c>
    </row>
    <row r="1561" hidden="1" s="27">
      <c r="A1561" s="47" t="inlineStr">
        <is>
          <t>더원모바일</t>
        </is>
      </c>
      <c r="B1561" s="47" t="inlineStr">
        <is>
          <t>TOP 5G 200GB 기본 (다이소)</t>
        </is>
      </c>
      <c r="C1561" s="47" t="inlineStr">
        <is>
          <t>무제한</t>
        </is>
      </c>
      <c r="D1561" s="47" t="inlineStr">
        <is>
          <t>무제한</t>
        </is>
      </c>
      <c r="E1561" s="47" t="inlineStr">
        <is>
          <t>월 200GB + 10Mbps</t>
        </is>
      </c>
      <c r="F1561" s="47" t="inlineStr">
        <is>
          <t>KT</t>
        </is>
      </c>
      <c r="G1561" s="47" t="inlineStr">
        <is>
          <t>5G</t>
        </is>
      </c>
      <c r="H1561" s="48" t="n">
        <v>24200</v>
      </c>
      <c r="I1561" s="48" t="n">
        <v>7</v>
      </c>
      <c r="J1561" s="48" t="n">
        <v>55000</v>
      </c>
      <c r="K1561" s="47">
        <f t="array" ref="K1561">_xlfn.XLOOKUP(1,(참조!$B$2:$B$15=E1561)*(참조!$D$2:$D$15=C1561)*(참조!$E$2:$E$15=D1561),참조!$C$2:$C$15,"")</f>
        <v/>
      </c>
    </row>
    <row r="1562" hidden="1" s="27">
      <c r="A1562" s="47" t="inlineStr">
        <is>
          <t>이야기모바일</t>
        </is>
      </c>
      <c r="B1562" s="47" t="inlineStr">
        <is>
          <t>이야기K 데이터 7GB+(지니뮤직)</t>
        </is>
      </c>
      <c r="C1562" s="47" t="inlineStr">
        <is>
          <t>무제한</t>
        </is>
      </c>
      <c r="D1562" s="47" t="inlineStr">
        <is>
          <t>무제한</t>
        </is>
      </c>
      <c r="E1562" s="47" t="inlineStr">
        <is>
          <t>월 7GB + 1Mbps</t>
        </is>
      </c>
      <c r="F1562" s="47" t="inlineStr">
        <is>
          <t>KT</t>
        </is>
      </c>
      <c r="G1562" s="47" t="inlineStr">
        <is>
          <t>LTE</t>
        </is>
      </c>
      <c r="H1562" s="48" t="n">
        <v>12000</v>
      </c>
      <c r="I1562" s="48" t="n">
        <v>7</v>
      </c>
      <c r="J1562" s="48" t="n">
        <v>24200</v>
      </c>
      <c r="K1562" s="47">
        <f t="array" ref="K1562">_xlfn.XLOOKUP(1,(참조!$B$2:$B$15=E1562)*(참조!$D$2:$D$15=C1562)*(참조!$E$2:$E$15=D1562),참조!$C$2:$C$15,"")</f>
        <v/>
      </c>
    </row>
    <row r="1563" hidden="1" s="27">
      <c r="A1563" s="47" t="inlineStr">
        <is>
          <t>아이즈모바일</t>
        </is>
      </c>
      <c r="B1563" s="47" t="inlineStr">
        <is>
          <t>[S]이디야 화이트 10GB+</t>
        </is>
      </c>
      <c r="C1563" s="47" t="inlineStr">
        <is>
          <t>무제한</t>
        </is>
      </c>
      <c r="D1563" s="47" t="inlineStr">
        <is>
          <t>무제한</t>
        </is>
      </c>
      <c r="E1563" s="47" t="inlineStr">
        <is>
          <t>월 10GB + 1Mbps</t>
        </is>
      </c>
      <c r="F1563" s="47" t="inlineStr">
        <is>
          <t>SKT</t>
        </is>
      </c>
      <c r="G1563" s="47" t="inlineStr">
        <is>
          <t>LTE</t>
        </is>
      </c>
      <c r="H1563" s="48" t="n">
        <v>4000</v>
      </c>
      <c r="I1563" s="48" t="n">
        <v>7</v>
      </c>
      <c r="J1563" s="48" t="n">
        <v>31900</v>
      </c>
      <c r="K1563" s="47">
        <f t="array" ref="K1563">_xlfn.XLOOKUP(1,(참조!$B$2:$B$15=E1563)*(참조!$D$2:$D$15=C1563)*(참조!$E$2:$E$15=D1563),참조!$C$2:$C$15,"")</f>
        <v/>
      </c>
    </row>
    <row r="1564" hidden="1" s="27">
      <c r="A1564" s="47" t="inlineStr">
        <is>
          <t>이야기모바일</t>
        </is>
      </c>
      <c r="B1564" s="47" t="inlineStr">
        <is>
          <t>이야기K 데이터 15GB+(지니뮤직)</t>
        </is>
      </c>
      <c r="C1564" s="47" t="inlineStr">
        <is>
          <t>100분</t>
        </is>
      </c>
      <c r="D1564" s="47" t="inlineStr">
        <is>
          <t>100건</t>
        </is>
      </c>
      <c r="E1564" s="47" t="inlineStr">
        <is>
          <t>월 15GB + 3Mbps</t>
        </is>
      </c>
      <c r="F1564" s="47" t="inlineStr">
        <is>
          <t>KT</t>
        </is>
      </c>
      <c r="G1564" s="47" t="inlineStr">
        <is>
          <t>LTE</t>
        </is>
      </c>
      <c r="H1564" s="48" t="n">
        <v>19800</v>
      </c>
      <c r="I1564" s="48" t="n">
        <v>7</v>
      </c>
      <c r="J1564" s="48" t="n">
        <v>33000</v>
      </c>
      <c r="K1564" s="47">
        <f t="array" ref="K1564">_xlfn.XLOOKUP(1,(참조!$B$2:$B$15=E1564)*(참조!$D$2:$D$15=C1564)*(참조!$E$2:$E$15=D1564),참조!$C$2:$C$15,"")</f>
        <v/>
      </c>
    </row>
    <row r="1565" hidden="1" s="27">
      <c r="A1565" s="47" t="inlineStr">
        <is>
          <t>스마텔</t>
        </is>
      </c>
      <c r="B1565" s="47" t="inlineStr">
        <is>
          <t>후후 플러스 (50분+1.8GB)</t>
        </is>
      </c>
      <c r="C1565" s="47" t="inlineStr">
        <is>
          <t>50분</t>
        </is>
      </c>
      <c r="D1565" s="47" t="inlineStr">
        <is>
          <t>50건</t>
        </is>
      </c>
      <c r="E1565" s="47" t="inlineStr">
        <is>
          <t>월 1.8GB</t>
        </is>
      </c>
      <c r="F1565" s="47" t="inlineStr">
        <is>
          <t>SKT</t>
        </is>
      </c>
      <c r="G1565" s="47" t="inlineStr">
        <is>
          <t>LTE</t>
        </is>
      </c>
      <c r="H1565" s="48" t="n">
        <v>2090</v>
      </c>
      <c r="I1565" s="48" t="n">
        <v>5</v>
      </c>
      <c r="J1565" s="48" t="n">
        <v>3630</v>
      </c>
      <c r="K1565" s="47">
        <f t="array" ref="K1565">_xlfn.XLOOKUP(1,(참조!$B$2:$B$15=E1565)*(참조!$D$2:$D$15=C1565)*(참조!$E$2:$E$15=D1565),참조!$C$2:$C$15,"")</f>
        <v/>
      </c>
    </row>
    <row r="1566" hidden="1" s="27">
      <c r="A1566" s="47" t="inlineStr">
        <is>
          <t>에이모바일</t>
        </is>
      </c>
      <c r="B1566" s="47" t="inlineStr">
        <is>
          <t>A 올라잇 5GB/200분</t>
        </is>
      </c>
      <c r="C1566" s="47" t="inlineStr">
        <is>
          <t>200분</t>
        </is>
      </c>
      <c r="D1566" s="47" t="inlineStr">
        <is>
          <t>100건</t>
        </is>
      </c>
      <c r="E1566" s="47" t="inlineStr">
        <is>
          <t>월 5GB</t>
        </is>
      </c>
      <c r="F1566" s="47" t="inlineStr">
        <is>
          <t>KT</t>
        </is>
      </c>
      <c r="G1566" s="47" t="inlineStr">
        <is>
          <t>LTE</t>
        </is>
      </c>
      <c r="H1566" s="48" t="n">
        <v>550</v>
      </c>
      <c r="I1566" s="48" t="n">
        <v>7</v>
      </c>
      <c r="J1566" s="48" t="n">
        <v>11000</v>
      </c>
      <c r="K1566" s="47">
        <f t="array" ref="K1566">_xlfn.XLOOKUP(1,(참조!$B$2:$B$15=E1566)*(참조!$D$2:$D$15=C1566)*(참조!$E$2:$E$15=D1566),참조!$C$2:$C$15,"")</f>
        <v/>
      </c>
    </row>
    <row r="1567" hidden="1" s="27">
      <c r="A1567" s="47" t="inlineStr">
        <is>
          <t>스마텔</t>
        </is>
      </c>
      <c r="B1567" s="47" t="inlineStr">
        <is>
          <t>USIM 스위트 음성 무제한 5GB</t>
        </is>
      </c>
      <c r="C1567" s="47" t="inlineStr">
        <is>
          <t>무제한</t>
        </is>
      </c>
      <c r="D1567" s="47" t="inlineStr">
        <is>
          <t>무제한</t>
        </is>
      </c>
      <c r="E1567" s="47" t="inlineStr">
        <is>
          <t>월 5GB</t>
        </is>
      </c>
      <c r="F1567" s="47" t="inlineStr">
        <is>
          <t>KT</t>
        </is>
      </c>
      <c r="G1567" s="47" t="inlineStr">
        <is>
          <t>LTE</t>
        </is>
      </c>
      <c r="H1567" s="48" t="n">
        <v>7000</v>
      </c>
      <c r="I1567" s="48" t="n">
        <v>36</v>
      </c>
      <c r="J1567" s="48" t="n">
        <v>13200</v>
      </c>
      <c r="K1567" s="47">
        <f t="array" ref="K1567">_xlfn.XLOOKUP(1,(참조!$B$2:$B$15=E1567)*(참조!$D$2:$D$15=C1567)*(참조!$E$2:$E$15=D1567),참조!$C$2:$C$15,"")</f>
        <v/>
      </c>
    </row>
    <row r="1568" hidden="1" s="27">
      <c r="A1568" s="47" t="inlineStr">
        <is>
          <t>시월모바일</t>
        </is>
      </c>
      <c r="B1568" s="47" t="inlineStr">
        <is>
          <t>시월5G 무제한 180GB+10Mbps</t>
        </is>
      </c>
      <c r="C1568" s="47" t="inlineStr">
        <is>
          <t>무제한</t>
        </is>
      </c>
      <c r="D1568" s="47" t="inlineStr">
        <is>
          <t>무제한</t>
        </is>
      </c>
      <c r="E1568" s="47" t="inlineStr">
        <is>
          <t>월 180GB + 10Mbps</t>
        </is>
      </c>
      <c r="F1568" s="47" t="inlineStr">
        <is>
          <t>LG U+</t>
        </is>
      </c>
      <c r="G1568" s="47" t="inlineStr">
        <is>
          <t>5G</t>
        </is>
      </c>
      <c r="H1568" s="48" t="n">
        <v>33790</v>
      </c>
      <c r="I1568" s="48" t="n">
        <v>7</v>
      </c>
      <c r="J1568" s="48" t="n">
        <v>79990</v>
      </c>
      <c r="K1568" s="47">
        <f t="array" ref="K1568">_xlfn.XLOOKUP(1,(참조!$B$2:$B$15=E1568)*(참조!$D$2:$D$15=C1568)*(참조!$E$2:$E$15=D1568),참조!$C$2:$C$15,"")</f>
        <v/>
      </c>
    </row>
    <row r="1569" hidden="1" s="27">
      <c r="A1569" s="47" t="inlineStr">
        <is>
          <t>스마텔</t>
        </is>
      </c>
      <c r="B1569" s="47" t="inlineStr">
        <is>
          <t>스위트 7GB+(지니뮤직) (+10GB 24개월간 추가 제공)</t>
        </is>
      </c>
      <c r="C1569" s="47" t="inlineStr">
        <is>
          <t>무제한</t>
        </is>
      </c>
      <c r="D1569" s="47" t="inlineStr">
        <is>
          <t>무제한</t>
        </is>
      </c>
      <c r="E1569" s="47" t="inlineStr">
        <is>
          <t>월 7GB + 1Mbps</t>
        </is>
      </c>
      <c r="F1569" s="47" t="inlineStr">
        <is>
          <t>KT</t>
        </is>
      </c>
      <c r="G1569" s="47" t="inlineStr">
        <is>
          <t>LTE</t>
        </is>
      </c>
      <c r="H1569" s="48" t="n">
        <v>22000</v>
      </c>
      <c r="I1569" s="48" t="n">
        <v>36</v>
      </c>
      <c r="J1569" s="48" t="n">
        <v>27500</v>
      </c>
      <c r="K1569" s="47">
        <f t="array" ref="K1569">_xlfn.XLOOKUP(1,(참조!$B$2:$B$15=E1569)*(참조!$D$2:$D$15=C1569)*(참조!$E$2:$E$15=D1569),참조!$C$2:$C$15,"")</f>
        <v/>
      </c>
    </row>
    <row r="1570" hidden="1" s="27">
      <c r="A1570" s="47" t="inlineStr">
        <is>
          <t>KG모바일</t>
        </is>
      </c>
      <c r="B1570" s="47" t="inlineStr">
        <is>
          <t>[일반] 유심 5G 50GB+</t>
        </is>
      </c>
      <c r="C1570" s="47" t="inlineStr">
        <is>
          <t>무제한</t>
        </is>
      </c>
      <c r="D1570" s="47" t="inlineStr">
        <is>
          <t>무제한</t>
        </is>
      </c>
      <c r="E1570" s="47" t="inlineStr">
        <is>
          <t>월 50GB + 1Mbps</t>
        </is>
      </c>
      <c r="F1570" s="47" t="inlineStr">
        <is>
          <t>LG U+</t>
        </is>
      </c>
      <c r="G1570" s="47" t="inlineStr">
        <is>
          <t>5G</t>
        </is>
      </c>
      <c r="H1570" s="48" t="n">
        <v>35530</v>
      </c>
      <c r="I1570" s="48" t="n">
        <v>12</v>
      </c>
      <c r="J1570" s="48" t="n">
        <v>46750</v>
      </c>
      <c r="K1570" s="47">
        <f t="array" ref="K1570">_xlfn.XLOOKUP(1,(참조!$B$2:$B$15=E1570)*(참조!$D$2:$D$15=C1570)*(참조!$E$2:$E$15=D1570),참조!$C$2:$C$15,"")</f>
        <v/>
      </c>
    </row>
    <row r="1571" hidden="1" s="27">
      <c r="A1571" s="47" t="inlineStr">
        <is>
          <t>스마텔</t>
        </is>
      </c>
      <c r="B1571" s="47" t="inlineStr">
        <is>
          <t>스위트 100GB+</t>
        </is>
      </c>
      <c r="C1571" s="47" t="inlineStr">
        <is>
          <t>무제한</t>
        </is>
      </c>
      <c r="D1571" s="47" t="inlineStr">
        <is>
          <t>무제한</t>
        </is>
      </c>
      <c r="E1571" s="47" t="inlineStr">
        <is>
          <t>월 100GB + 5Mbps</t>
        </is>
      </c>
      <c r="F1571" s="47" t="inlineStr">
        <is>
          <t>KT</t>
        </is>
      </c>
      <c r="G1571" s="47" t="inlineStr">
        <is>
          <t>LTE</t>
        </is>
      </c>
      <c r="H1571" s="48" t="n">
        <v>41800</v>
      </c>
      <c r="I1571" s="48" t="n">
        <v>36</v>
      </c>
      <c r="J1571" s="48" t="n">
        <v>46200</v>
      </c>
      <c r="K1571" s="47">
        <f t="array" ref="K1571">_xlfn.XLOOKUP(1,(참조!$B$2:$B$15=E1571)*(참조!$D$2:$D$15=C1571)*(참조!$E$2:$E$15=D1571),참조!$C$2:$C$15,"")</f>
        <v/>
      </c>
    </row>
    <row r="1572" hidden="1" s="27">
      <c r="A1572" s="47" t="inlineStr">
        <is>
          <t>KT스카이라이프</t>
        </is>
      </c>
      <c r="B1572" s="47" t="inlineStr">
        <is>
          <t>모두 충분 4.5GB+</t>
        </is>
      </c>
      <c r="C1572" s="47" t="inlineStr">
        <is>
          <t>무제한</t>
        </is>
      </c>
      <c r="D1572" s="47" t="inlineStr">
        <is>
          <t>무제한</t>
        </is>
      </c>
      <c r="E1572" s="47" t="inlineStr">
        <is>
          <t>월 4.5GB + 400Kbps</t>
        </is>
      </c>
      <c r="F1572" s="47" t="inlineStr">
        <is>
          <t>KT</t>
        </is>
      </c>
      <c r="G1572" s="47" t="inlineStr">
        <is>
          <t>LTE</t>
        </is>
      </c>
      <c r="H1572" s="48" t="n">
        <v>13200</v>
      </c>
      <c r="I1572" s="48" t="n"/>
      <c r="J1572" s="48" t="n"/>
      <c r="K1572" s="47">
        <f t="array" ref="K1572">_xlfn.XLOOKUP(1,(참조!$B$2:$B$15=E1572)*(참조!$D$2:$D$15=C1572)*(참조!$E$2:$E$15=D1572),참조!$C$2:$C$15,"")</f>
        <v/>
      </c>
    </row>
    <row r="1573" hidden="1" s="27">
      <c r="A1573" s="47" t="inlineStr">
        <is>
          <t>고고모바일</t>
        </is>
      </c>
      <c r="B1573" s="47" t="inlineStr">
        <is>
          <t>5G100분/3GB-데이터소진후 자동차단</t>
        </is>
      </c>
      <c r="C1573" s="47" t="inlineStr">
        <is>
          <t>100분</t>
        </is>
      </c>
      <c r="D1573" s="47" t="inlineStr">
        <is>
          <t>100건</t>
        </is>
      </c>
      <c r="E1573" s="47" t="inlineStr">
        <is>
          <t>월 3GB</t>
        </is>
      </c>
      <c r="F1573" s="47" t="inlineStr">
        <is>
          <t>KT</t>
        </is>
      </c>
      <c r="G1573" s="47" t="inlineStr">
        <is>
          <t>5G</t>
        </is>
      </c>
      <c r="H1573" s="48" t="n">
        <v>9020</v>
      </c>
      <c r="I1573" s="48" t="n"/>
      <c r="J1573" s="48" t="n"/>
      <c r="K1573" s="47">
        <f t="array" ref="K1573">_xlfn.XLOOKUP(1,(참조!$B$2:$B$15=E1573)*(참조!$D$2:$D$15=C1573)*(참조!$E$2:$E$15=D1573),참조!$C$2:$C$15,"")</f>
        <v/>
      </c>
    </row>
    <row r="1574" hidden="1" s="27">
      <c r="A1574" s="47" t="inlineStr">
        <is>
          <t>리브모바일</t>
        </is>
      </c>
      <c r="B1574" s="47" t="inlineStr">
        <is>
          <t>LTE 150GB+</t>
        </is>
      </c>
      <c r="C1574" s="47" t="inlineStr">
        <is>
          <t>무제한</t>
        </is>
      </c>
      <c r="D1574" s="47" t="inlineStr">
        <is>
          <t>무제한</t>
        </is>
      </c>
      <c r="E1574" s="47" t="inlineStr">
        <is>
          <t>매일 5GB + 5Mbps</t>
        </is>
      </c>
      <c r="F1574" s="47" t="inlineStr">
        <is>
          <t>LG U+</t>
        </is>
      </c>
      <c r="G1574" s="47" t="inlineStr">
        <is>
          <t>LTE</t>
        </is>
      </c>
      <c r="H1574" s="48" t="n">
        <v>37000</v>
      </c>
      <c r="I1574" s="48" t="n">
        <v>12</v>
      </c>
      <c r="J1574" s="48" t="n">
        <v>41400</v>
      </c>
      <c r="K1574" s="47">
        <f t="array" ref="K1574">_xlfn.XLOOKUP(1,(참조!$B$2:$B$15=E1574)*(참조!$D$2:$D$15=C1574)*(참조!$E$2:$E$15=D1574),참조!$C$2:$C$15,"")</f>
        <v/>
      </c>
    </row>
    <row r="1575" hidden="1" s="27">
      <c r="A1575" s="47" t="inlineStr">
        <is>
          <t>스마텔</t>
        </is>
      </c>
      <c r="B1575" s="47" t="inlineStr">
        <is>
          <t>스마트2 15GB+</t>
        </is>
      </c>
      <c r="C1575" s="47" t="inlineStr">
        <is>
          <t>300분</t>
        </is>
      </c>
      <c r="D1575" s="47" t="inlineStr">
        <is>
          <t>300건</t>
        </is>
      </c>
      <c r="E1575" s="47" t="inlineStr">
        <is>
          <t>월 15GB + 3Mbps</t>
        </is>
      </c>
      <c r="F1575" s="47" t="inlineStr">
        <is>
          <t>LG U+</t>
        </is>
      </c>
      <c r="G1575" s="47" t="inlineStr">
        <is>
          <t>LTE</t>
        </is>
      </c>
      <c r="H1575" s="48" t="n">
        <v>20100</v>
      </c>
      <c r="I1575" s="48" t="n">
        <v>7</v>
      </c>
      <c r="J1575" s="48" t="n">
        <v>34100</v>
      </c>
      <c r="K1575" s="47">
        <f t="array" ref="K1575">_xlfn.XLOOKUP(1,(참조!$B$2:$B$15=E1575)*(참조!$D$2:$D$15=C1575)*(참조!$E$2:$E$15=D1575),참조!$C$2:$C$15,"")</f>
        <v/>
      </c>
    </row>
    <row r="1576" hidden="1" s="27">
      <c r="A1576" s="47" t="inlineStr">
        <is>
          <t>위너스텔</t>
        </is>
      </c>
      <c r="B1576" s="47" t="inlineStr">
        <is>
          <t>WELL200분+10GB</t>
        </is>
      </c>
      <c r="C1576" s="47" t="inlineStr">
        <is>
          <t>200분</t>
        </is>
      </c>
      <c r="D1576" s="47" t="inlineStr">
        <is>
          <t>50건</t>
        </is>
      </c>
      <c r="E1576" s="47" t="inlineStr">
        <is>
          <t>월 10GB</t>
        </is>
      </c>
      <c r="F1576" s="47" t="inlineStr">
        <is>
          <t>KT</t>
        </is>
      </c>
      <c r="G1576" s="47" t="inlineStr">
        <is>
          <t>LTE</t>
        </is>
      </c>
      <c r="H1576" s="48" t="n">
        <v>16500</v>
      </c>
      <c r="I1576" s="48" t="n"/>
      <c r="J1576" s="48" t="n"/>
      <c r="K1576" s="47">
        <f t="array" ref="K1576">_xlfn.XLOOKUP(1,(참조!$B$2:$B$15=E1576)*(참조!$D$2:$D$15=C1576)*(참조!$E$2:$E$15=D1576),참조!$C$2:$C$15,"")</f>
        <v/>
      </c>
    </row>
    <row r="1577" hidden="1" s="27">
      <c r="A1577" s="47" t="inlineStr">
        <is>
          <t>스마텔</t>
        </is>
      </c>
      <c r="B1577" s="47" t="inlineStr">
        <is>
          <t>스마트 7GB+</t>
        </is>
      </c>
      <c r="C1577" s="47" t="inlineStr">
        <is>
          <t>무제한</t>
        </is>
      </c>
      <c r="D1577" s="47" t="inlineStr">
        <is>
          <t>무제한</t>
        </is>
      </c>
      <c r="E1577" s="47" t="inlineStr">
        <is>
          <t>월 7GB + 1Mbps</t>
        </is>
      </c>
      <c r="F1577" s="47" t="inlineStr">
        <is>
          <t>LG U+</t>
        </is>
      </c>
      <c r="G1577" s="47" t="inlineStr">
        <is>
          <t>LTE</t>
        </is>
      </c>
      <c r="H1577" s="48" t="n">
        <v>13000</v>
      </c>
      <c r="I1577" s="48" t="n">
        <v>7</v>
      </c>
      <c r="J1577" s="48" t="n">
        <v>24200</v>
      </c>
      <c r="K1577" s="47">
        <f t="array" ref="K1577">_xlfn.XLOOKUP(1,(참조!$B$2:$B$15=E1577)*(참조!$D$2:$D$15=C1577)*(참조!$E$2:$E$15=D1577),참조!$C$2:$C$15,"")</f>
        <v/>
      </c>
    </row>
    <row r="1578" hidden="1" s="27">
      <c r="A1578" s="47" t="inlineStr">
        <is>
          <t>리브모바일</t>
        </is>
      </c>
      <c r="B1578" s="47" t="inlineStr">
        <is>
          <t>LTE 무제한 7GB+</t>
        </is>
      </c>
      <c r="C1578" s="47" t="inlineStr">
        <is>
          <t>무제한</t>
        </is>
      </c>
      <c r="D1578" s="47" t="inlineStr">
        <is>
          <t>무제한</t>
        </is>
      </c>
      <c r="E1578" s="47" t="inlineStr">
        <is>
          <t>월 7GB + 1Mbps</t>
        </is>
      </c>
      <c r="F1578" s="47" t="inlineStr">
        <is>
          <t>KT</t>
        </is>
      </c>
      <c r="G1578" s="47" t="inlineStr">
        <is>
          <t>LTE</t>
        </is>
      </c>
      <c r="H1578" s="48" t="n">
        <v>15100</v>
      </c>
      <c r="I1578" s="48" t="n">
        <v>12</v>
      </c>
      <c r="J1578" s="48" t="n">
        <v>19500</v>
      </c>
      <c r="K1578" s="47">
        <f t="array" ref="K1578">_xlfn.XLOOKUP(1,(참조!$B$2:$B$15=E1578)*(참조!$D$2:$D$15=C1578)*(참조!$E$2:$E$15=D1578),참조!$C$2:$C$15,"")</f>
        <v/>
      </c>
    </row>
    <row r="1579" hidden="1" s="27">
      <c r="A1579" s="47" t="inlineStr">
        <is>
          <t>리브모바일</t>
        </is>
      </c>
      <c r="B1579" s="47" t="inlineStr">
        <is>
          <t>LTE 71GB+(평생)</t>
        </is>
      </c>
      <c r="C1579" s="47" t="inlineStr">
        <is>
          <t>무제한</t>
        </is>
      </c>
      <c r="D1579" s="47" t="inlineStr">
        <is>
          <t>무제한</t>
        </is>
      </c>
      <c r="E1579" s="47" t="inlineStr">
        <is>
          <t>월 11GB + 매일 2GB + 3Mbps</t>
        </is>
      </c>
      <c r="F1579" s="47" t="inlineStr">
        <is>
          <t>LG U+</t>
        </is>
      </c>
      <c r="G1579" s="47" t="inlineStr">
        <is>
          <t>LTE</t>
        </is>
      </c>
      <c r="H1579" s="48" t="n">
        <v>33000</v>
      </c>
      <c r="I1579" s="48" t="n"/>
      <c r="J1579" s="48" t="n"/>
      <c r="K1579" s="47">
        <f t="array" ref="K1579">_xlfn.XLOOKUP(1,(참조!$B$2:$B$15=E1579)*(참조!$D$2:$D$15=C1579)*(참조!$E$2:$E$15=D1579),참조!$C$2:$C$15,"")</f>
        <v/>
      </c>
    </row>
    <row r="1580" hidden="1" s="27">
      <c r="A1580" s="47" t="inlineStr">
        <is>
          <t>스마텔</t>
        </is>
      </c>
      <c r="B1580" s="47" t="inlineStr">
        <is>
          <t>스마일플러스(200분+1.5GB)</t>
        </is>
      </c>
      <c r="C1580" s="47" t="inlineStr">
        <is>
          <t>200분</t>
        </is>
      </c>
      <c r="D1580" s="47" t="inlineStr">
        <is>
          <t>100건</t>
        </is>
      </c>
      <c r="E1580" s="47" t="inlineStr">
        <is>
          <t>월 1.5GB</t>
        </is>
      </c>
      <c r="F1580" s="47" t="inlineStr">
        <is>
          <t>SKT</t>
        </is>
      </c>
      <c r="G1580" s="47" t="inlineStr">
        <is>
          <t>LTE</t>
        </is>
      </c>
      <c r="H1580" s="48" t="n">
        <v>2200</v>
      </c>
      <c r="I1580" s="48" t="n">
        <v>5</v>
      </c>
      <c r="J1580" s="48" t="n">
        <v>4400</v>
      </c>
      <c r="K1580" s="47">
        <f t="array" ref="K1580">_xlfn.XLOOKUP(1,(참조!$B$2:$B$15=E1580)*(참조!$D$2:$D$15=C1580)*(참조!$E$2:$E$15=D1580),참조!$C$2:$C$15,"")</f>
        <v/>
      </c>
    </row>
    <row r="1581" hidden="1" s="27">
      <c r="A1581" s="47" t="inlineStr">
        <is>
          <t>아이즈모바일</t>
        </is>
      </c>
      <c r="B1581" s="47" t="inlineStr">
        <is>
          <t>[L]아이즈15GB+1Mbps</t>
        </is>
      </c>
      <c r="C1581" s="47" t="inlineStr">
        <is>
          <t>무제한</t>
        </is>
      </c>
      <c r="D1581" s="47" t="inlineStr">
        <is>
          <t>무제한</t>
        </is>
      </c>
      <c r="E1581" s="47" t="inlineStr">
        <is>
          <t>월 15GB + 1Mbps</t>
        </is>
      </c>
      <c r="F1581" s="47" t="inlineStr">
        <is>
          <t>LG U+</t>
        </is>
      </c>
      <c r="G1581" s="47" t="inlineStr">
        <is>
          <t>LTE</t>
        </is>
      </c>
      <c r="H1581" s="48" t="n">
        <v>8900</v>
      </c>
      <c r="I1581" s="48" t="n">
        <v>7</v>
      </c>
      <c r="J1581" s="48" t="n">
        <v>29700</v>
      </c>
      <c r="K1581" s="47">
        <f t="array" ref="K1581">_xlfn.XLOOKUP(1,(참조!$B$2:$B$15=E1581)*(참조!$D$2:$D$15=C1581)*(참조!$E$2:$E$15=D1581),참조!$C$2:$C$15,"")</f>
        <v/>
      </c>
    </row>
    <row r="1582" hidden="1" s="27">
      <c r="A1582" s="47" t="inlineStr">
        <is>
          <t>아이즈모바일</t>
        </is>
      </c>
      <c r="B1582" s="47" t="inlineStr">
        <is>
          <t>[S]무한100GB+</t>
        </is>
      </c>
      <c r="C1582" s="47" t="inlineStr">
        <is>
          <t>무제한</t>
        </is>
      </c>
      <c r="D1582" s="47" t="inlineStr">
        <is>
          <t>무제한</t>
        </is>
      </c>
      <c r="E1582" s="47" t="inlineStr">
        <is>
          <t>월 100GB + 5Mbps</t>
        </is>
      </c>
      <c r="F1582" s="47" t="inlineStr">
        <is>
          <t>SKT</t>
        </is>
      </c>
      <c r="G1582" s="47" t="inlineStr">
        <is>
          <t>LTE</t>
        </is>
      </c>
      <c r="H1582" s="48" t="n">
        <v>34000</v>
      </c>
      <c r="I1582" s="48" t="n">
        <v>36</v>
      </c>
      <c r="J1582" s="48" t="n">
        <v>53000</v>
      </c>
      <c r="K1582" s="47">
        <f t="array" ref="K1582">_xlfn.XLOOKUP(1,(참조!$B$2:$B$15=E1582)*(참조!$D$2:$D$15=C1582)*(참조!$E$2:$E$15=D1582),참조!$C$2:$C$15,"")</f>
        <v/>
      </c>
    </row>
    <row r="1583" hidden="1" s="27">
      <c r="A1583" s="47" t="inlineStr">
        <is>
          <t>아이즈모바일</t>
        </is>
      </c>
      <c r="B1583" s="47" t="inlineStr">
        <is>
          <t>[S]톨(300분/2GB)</t>
        </is>
      </c>
      <c r="C1583" s="47" t="inlineStr">
        <is>
          <t>300분</t>
        </is>
      </c>
      <c r="D1583" s="47" t="inlineStr">
        <is>
          <t>100건</t>
        </is>
      </c>
      <c r="E1583" s="47" t="inlineStr">
        <is>
          <t>월 2GB</t>
        </is>
      </c>
      <c r="F1583" s="47" t="inlineStr">
        <is>
          <t>SKT</t>
        </is>
      </c>
      <c r="G1583" s="47" t="inlineStr">
        <is>
          <t>LTE</t>
        </is>
      </c>
      <c r="H1583" s="48" t="n">
        <v>3900</v>
      </c>
      <c r="I1583" s="48" t="n"/>
      <c r="J1583" s="48" t="n"/>
      <c r="K1583" s="47">
        <f t="array" ref="K1583">_xlfn.XLOOKUP(1,(참조!$B$2:$B$15=E1583)*(참조!$D$2:$D$15=C1583)*(참조!$E$2:$E$15=D1583),참조!$C$2:$C$15,"")</f>
        <v/>
      </c>
    </row>
    <row r="1584" hidden="1" s="27">
      <c r="A1584" s="47" t="inlineStr">
        <is>
          <t>티플러스</t>
        </is>
      </c>
      <c r="B1584" s="47" t="inlineStr">
        <is>
          <t>5G 티플 5GB(5GB/300분)</t>
        </is>
      </c>
      <c r="C1584" s="47" t="inlineStr">
        <is>
          <t>300분</t>
        </is>
      </c>
      <c r="D1584" s="47" t="inlineStr">
        <is>
          <t>100건</t>
        </is>
      </c>
      <c r="E1584" s="47" t="inlineStr">
        <is>
          <t>월 5GB</t>
        </is>
      </c>
      <c r="F1584" s="47" t="inlineStr">
        <is>
          <t>SKT</t>
        </is>
      </c>
      <c r="G1584" s="47" t="inlineStr">
        <is>
          <t>5G</t>
        </is>
      </c>
      <c r="H1584" s="48" t="n">
        <v>2900</v>
      </c>
      <c r="I1584" s="48" t="n">
        <v>4</v>
      </c>
      <c r="J1584" s="48" t="n">
        <v>11000</v>
      </c>
      <c r="K1584" s="47">
        <f t="array" ref="K1584">_xlfn.XLOOKUP(1,(참조!$B$2:$B$15=E1584)*(참조!$D$2:$D$15=C1584)*(참조!$E$2:$E$15=D1584),참조!$C$2:$C$15,"")</f>
        <v/>
      </c>
    </row>
    <row r="1585" hidden="1" s="27">
      <c r="A1585" s="47" t="inlineStr">
        <is>
          <t>스마텔</t>
        </is>
      </c>
      <c r="B1585" s="47" t="inlineStr">
        <is>
          <t>후후 심플 (50분 + 1.8GB)</t>
        </is>
      </c>
      <c r="C1585" s="47" t="inlineStr">
        <is>
          <t>50분</t>
        </is>
      </c>
      <c r="D1585" s="47" t="inlineStr">
        <is>
          <t>50건</t>
        </is>
      </c>
      <c r="E1585" s="47" t="inlineStr">
        <is>
          <t>월 1.8GB</t>
        </is>
      </c>
      <c r="F1585" s="47" t="inlineStr">
        <is>
          <t>LG U+</t>
        </is>
      </c>
      <c r="G1585" s="47" t="inlineStr">
        <is>
          <t>LTE</t>
        </is>
      </c>
      <c r="H1585" s="48" t="n">
        <v>2230</v>
      </c>
      <c r="I1585" s="48" t="n">
        <v>6</v>
      </c>
      <c r="J1585" s="48" t="n">
        <v>3630</v>
      </c>
      <c r="K1585" s="47">
        <f t="array" ref="K1585">_xlfn.XLOOKUP(1,(참조!$B$2:$B$15=E1585)*(참조!$D$2:$D$15=C1585)*(참조!$E$2:$E$15=D1585),참조!$C$2:$C$15,"")</f>
        <v/>
      </c>
    </row>
    <row r="1586" hidden="1" s="27">
      <c r="A1586" s="47" t="inlineStr">
        <is>
          <t>리브모바일</t>
        </is>
      </c>
      <c r="B1586" s="47" t="inlineStr">
        <is>
          <t>더블업 LTE 25GB+ (15+10 24개월) / 평생가 22,000원</t>
        </is>
      </c>
      <c r="C1586" s="47" t="inlineStr">
        <is>
          <t>무제한</t>
        </is>
      </c>
      <c r="D1586" s="47" t="inlineStr">
        <is>
          <t>무제한</t>
        </is>
      </c>
      <c r="E1586" s="47" t="inlineStr">
        <is>
          <t>월 25GB + 1Mbps</t>
        </is>
      </c>
      <c r="F1586" s="47" t="inlineStr">
        <is>
          <t>LG U+</t>
        </is>
      </c>
      <c r="G1586" s="47" t="inlineStr">
        <is>
          <t>LTE</t>
        </is>
      </c>
      <c r="H1586" s="48" t="n">
        <v>22000</v>
      </c>
      <c r="I1586" s="48" t="n"/>
      <c r="J1586" s="48" t="n"/>
      <c r="K1586" s="47">
        <f t="array" ref="K1586">_xlfn.XLOOKUP(1,(참조!$B$2:$B$15=E1586)*(참조!$D$2:$D$15=C1586)*(참조!$E$2:$E$15=D1586),참조!$C$2:$C$15,"")</f>
        <v/>
      </c>
    </row>
    <row r="1587" hidden="1" s="27">
      <c r="A1587" s="47" t="inlineStr">
        <is>
          <t>모빙</t>
        </is>
      </c>
      <c r="B1587" s="47" t="inlineStr">
        <is>
          <t>쏙쏙 100분(6GB)</t>
        </is>
      </c>
      <c r="C1587" s="47" t="inlineStr">
        <is>
          <t>100분</t>
        </is>
      </c>
      <c r="D1587" s="47" t="inlineStr">
        <is>
          <t>100건</t>
        </is>
      </c>
      <c r="E1587" s="47" t="inlineStr">
        <is>
          <t>월 6GB</t>
        </is>
      </c>
      <c r="F1587" s="47" t="inlineStr">
        <is>
          <t>KT</t>
        </is>
      </c>
      <c r="G1587" s="47" t="inlineStr">
        <is>
          <t>LTE</t>
        </is>
      </c>
      <c r="H1587" s="48" t="n">
        <v>6400</v>
      </c>
      <c r="I1587" s="48" t="n"/>
      <c r="J1587" s="48" t="n"/>
      <c r="K1587" s="47">
        <f t="array" ref="K1587">_xlfn.XLOOKUP(1,(참조!$B$2:$B$15=E1587)*(참조!$D$2:$D$15=C1587)*(참조!$E$2:$E$15=D1587),참조!$C$2:$C$15,"")</f>
        <v/>
      </c>
    </row>
    <row r="1588" hidden="1" s="27">
      <c r="A1588" s="47" t="inlineStr">
        <is>
          <t>아이즈모바일</t>
        </is>
      </c>
      <c r="B1588" s="47" t="inlineStr">
        <is>
          <t>세이브머니유심(200분/6GB+)</t>
        </is>
      </c>
      <c r="C1588" s="47" t="inlineStr">
        <is>
          <t>200분</t>
        </is>
      </c>
      <c r="D1588" s="47" t="inlineStr">
        <is>
          <t>100건</t>
        </is>
      </c>
      <c r="E1588" s="47" t="inlineStr">
        <is>
          <t>월 6GB + 1Mbps</t>
        </is>
      </c>
      <c r="F1588" s="47" t="inlineStr">
        <is>
          <t>LG U+</t>
        </is>
      </c>
      <c r="G1588" s="47" t="inlineStr">
        <is>
          <t>LTE</t>
        </is>
      </c>
      <c r="H1588" s="48" t="n">
        <v>5900</v>
      </c>
      <c r="I1588" s="48" t="n"/>
      <c r="J1588" s="48" t="n"/>
      <c r="K1588" s="47">
        <f t="array" ref="K1588">_xlfn.XLOOKUP(1,(참조!$B$2:$B$15=E1588)*(참조!$D$2:$D$15=C1588)*(참조!$E$2:$E$15=D1588),참조!$C$2:$C$15,"")</f>
        <v/>
      </c>
    </row>
    <row r="1589" hidden="1" s="27">
      <c r="A1589" s="47" t="inlineStr">
        <is>
          <t>리브모바일</t>
        </is>
      </c>
      <c r="B1589" s="47" t="inlineStr">
        <is>
          <t>데이터같이쓰기 240분 (안심차단)(KT망)</t>
        </is>
      </c>
      <c r="C1589" s="47" t="inlineStr">
        <is>
          <t>240분</t>
        </is>
      </c>
      <c r="D1589" s="47" t="inlineStr">
        <is>
          <t>240건</t>
        </is>
      </c>
      <c r="E1589" s="47" t="inlineStr">
        <is>
          <t>데이터 제공안함</t>
        </is>
      </c>
      <c r="F1589" s="47" t="inlineStr">
        <is>
          <t>KT</t>
        </is>
      </c>
      <c r="G1589" s="47" t="inlineStr">
        <is>
          <t>LTE</t>
        </is>
      </c>
      <c r="H1589" s="48" t="n">
        <v>4400</v>
      </c>
      <c r="I1589" s="48" t="n"/>
      <c r="J1589" s="48" t="n"/>
      <c r="K1589" s="47">
        <f t="array" ref="K1589">_xlfn.XLOOKUP(1,(참조!$B$2:$B$15=E1589)*(참조!$D$2:$D$15=C1589)*(참조!$E$2:$E$15=D1589),참조!$C$2:$C$15,"")</f>
        <v/>
      </c>
    </row>
    <row r="1590" hidden="1" s="27">
      <c r="A1590" s="47" t="inlineStr">
        <is>
          <t>KT엠모바일</t>
        </is>
      </c>
      <c r="B1590" s="47" t="inlineStr">
        <is>
          <t>모두다 맘껏 안심 6GB+</t>
        </is>
      </c>
      <c r="C1590" s="47" t="inlineStr">
        <is>
          <t>무제한</t>
        </is>
      </c>
      <c r="D1590" s="47" t="inlineStr">
        <is>
          <t>무제한</t>
        </is>
      </c>
      <c r="E1590" s="47" t="inlineStr">
        <is>
          <t>월 6GB + 400Kbps</t>
        </is>
      </c>
      <c r="F1590" s="47" t="inlineStr">
        <is>
          <t>KT</t>
        </is>
      </c>
      <c r="G1590" s="47" t="inlineStr">
        <is>
          <t>LTE</t>
        </is>
      </c>
      <c r="H1590" s="48" t="n">
        <v>9400</v>
      </c>
      <c r="I1590" s="48" t="n"/>
      <c r="J1590" s="48" t="n"/>
      <c r="K1590" s="47">
        <f t="array" ref="K1590">_xlfn.XLOOKUP(1,(참조!$B$2:$B$15=E1590)*(참조!$D$2:$D$15=C1590)*(참조!$E$2:$E$15=D1590),참조!$C$2:$C$15,"")</f>
        <v/>
      </c>
    </row>
    <row r="1591" hidden="1" s="27">
      <c r="A1591" s="47" t="inlineStr">
        <is>
          <t>스마텔</t>
        </is>
      </c>
      <c r="B1591" s="47" t="inlineStr">
        <is>
          <t>스위트 7GB+(올영 3000)</t>
        </is>
      </c>
      <c r="C1591" s="47" t="inlineStr">
        <is>
          <t>무제한</t>
        </is>
      </c>
      <c r="D1591" s="47" t="inlineStr">
        <is>
          <t>무제한</t>
        </is>
      </c>
      <c r="E1591" s="47" t="inlineStr">
        <is>
          <t>월 7GB + 1Mbps</t>
        </is>
      </c>
      <c r="F1591" s="47" t="inlineStr">
        <is>
          <t>KT</t>
        </is>
      </c>
      <c r="G1591" s="47" t="inlineStr">
        <is>
          <t>LTE</t>
        </is>
      </c>
      <c r="H1591" s="48" t="n">
        <v>13500</v>
      </c>
      <c r="I1591" s="48" t="n">
        <v>7</v>
      </c>
      <c r="J1591" s="48" t="n">
        <v>25630</v>
      </c>
      <c r="K1591" s="47">
        <f t="array" ref="K1591">_xlfn.XLOOKUP(1,(참조!$B$2:$B$15=E1591)*(참조!$D$2:$D$15=C1591)*(참조!$E$2:$E$15=D1591),참조!$C$2:$C$15,"")</f>
        <v/>
      </c>
    </row>
    <row r="1592" hidden="1" s="27">
      <c r="A1592" s="47" t="inlineStr">
        <is>
          <t>스마텔</t>
        </is>
      </c>
      <c r="B1592" s="47" t="inlineStr">
        <is>
          <t>스위트 7GB+(다이소 3000)</t>
        </is>
      </c>
      <c r="C1592" s="47" t="inlineStr">
        <is>
          <t>무제한</t>
        </is>
      </c>
      <c r="D1592" s="47" t="inlineStr">
        <is>
          <t>무제한</t>
        </is>
      </c>
      <c r="E1592" s="47" t="inlineStr">
        <is>
          <t>월 7GB + 1Mbps</t>
        </is>
      </c>
      <c r="F1592" s="47" t="inlineStr">
        <is>
          <t>KT</t>
        </is>
      </c>
      <c r="G1592" s="47" t="inlineStr">
        <is>
          <t>LTE</t>
        </is>
      </c>
      <c r="H1592" s="48" t="n">
        <v>13500</v>
      </c>
      <c r="I1592" s="48" t="n">
        <v>7</v>
      </c>
      <c r="J1592" s="48" t="n">
        <v>25630</v>
      </c>
      <c r="K1592" s="47">
        <f t="array" ref="K1592">_xlfn.XLOOKUP(1,(참조!$B$2:$B$15=E1592)*(참조!$D$2:$D$15=C1592)*(참조!$E$2:$E$15=D1592),참조!$C$2:$C$15,"")</f>
        <v/>
      </c>
    </row>
    <row r="1593" hidden="1" s="27">
      <c r="A1593" s="47" t="inlineStr">
        <is>
          <t>KG모바일</t>
        </is>
      </c>
      <c r="B1593" s="47" t="inlineStr">
        <is>
          <t>[일반] 유심 5G 31GB+</t>
        </is>
      </c>
      <c r="C1593" s="47" t="inlineStr">
        <is>
          <t>무제한</t>
        </is>
      </c>
      <c r="D1593" s="47" t="inlineStr">
        <is>
          <t>무제한</t>
        </is>
      </c>
      <c r="E1593" s="47" t="inlineStr">
        <is>
          <t>월 31GB + 1Mbps</t>
        </is>
      </c>
      <c r="F1593" s="47" t="inlineStr">
        <is>
          <t>LG U+</t>
        </is>
      </c>
      <c r="G1593" s="47" t="inlineStr">
        <is>
          <t>5G</t>
        </is>
      </c>
      <c r="H1593" s="48" t="n">
        <v>34320</v>
      </c>
      <c r="I1593" s="48" t="n">
        <v>12</v>
      </c>
      <c r="J1593" s="48" t="n">
        <v>45650</v>
      </c>
      <c r="K1593" s="47">
        <f t="array" ref="K1593">_xlfn.XLOOKUP(1,(참조!$B$2:$B$15=E1593)*(참조!$D$2:$D$15=C1593)*(참조!$E$2:$E$15=D1593),참조!$C$2:$C$15,"")</f>
        <v/>
      </c>
    </row>
    <row r="1594" hidden="1" s="27">
      <c r="A1594" s="47" t="inlineStr">
        <is>
          <t>LG헬로모바일</t>
        </is>
      </c>
      <c r="B1594" s="47" t="inlineStr">
        <is>
          <t>5G 유심 중간요금제 95GB</t>
        </is>
      </c>
      <c r="C1594" s="47" t="inlineStr">
        <is>
          <t>무제한</t>
        </is>
      </c>
      <c r="D1594" s="47" t="inlineStr">
        <is>
          <t>무제한</t>
        </is>
      </c>
      <c r="E1594" s="47" t="inlineStr">
        <is>
          <t>월 95GB + 3Mbps</t>
        </is>
      </c>
      <c r="F1594" s="47" t="inlineStr">
        <is>
          <t>LG U+</t>
        </is>
      </c>
      <c r="G1594" s="47" t="inlineStr">
        <is>
          <t>5G</t>
        </is>
      </c>
      <c r="H1594" s="48" t="n">
        <v>44000</v>
      </c>
      <c r="I1594" s="48" t="n"/>
      <c r="J1594" s="48" t="n"/>
      <c r="K1594" s="47">
        <f t="array" ref="K1594">_xlfn.XLOOKUP(1,(참조!$B$2:$B$15=E1594)*(참조!$D$2:$D$15=C1594)*(참조!$E$2:$E$15=D1594),참조!$C$2:$C$15,"")</f>
        <v/>
      </c>
    </row>
    <row r="1595" hidden="1" s="27">
      <c r="A1595" s="47" t="inlineStr">
        <is>
          <t>핀다이렉트</t>
        </is>
      </c>
      <c r="B1595" s="47" t="inlineStr">
        <is>
          <t>[L] 핀다이렉트Z 7GB+</t>
        </is>
      </c>
      <c r="C1595" s="47" t="inlineStr">
        <is>
          <t>무제한</t>
        </is>
      </c>
      <c r="D1595" s="47" t="inlineStr">
        <is>
          <t>무제한</t>
        </is>
      </c>
      <c r="E1595" s="47" t="inlineStr">
        <is>
          <t>월 7GB + 1Mbps</t>
        </is>
      </c>
      <c r="F1595" s="47" t="inlineStr">
        <is>
          <t>LG U+</t>
        </is>
      </c>
      <c r="G1595" s="47" t="inlineStr">
        <is>
          <t>LTE</t>
        </is>
      </c>
      <c r="H1595" s="48" t="n">
        <v>10000</v>
      </c>
      <c r="I1595" s="48" t="n">
        <v>7</v>
      </c>
      <c r="J1595" s="48" t="n">
        <v>22000</v>
      </c>
      <c r="K1595" s="47">
        <f t="array" ref="K1595">_xlfn.XLOOKUP(1,(참조!$B$2:$B$15=E1595)*(참조!$D$2:$D$15=C1595)*(참조!$E$2:$E$15=D1595),참조!$C$2:$C$15,"")</f>
        <v/>
      </c>
    </row>
    <row r="1596" hidden="1" s="27">
      <c r="A1596" s="47" t="inlineStr">
        <is>
          <t>티플러스</t>
        </is>
      </c>
      <c r="B1596" s="47" t="inlineStr">
        <is>
          <t>완전마음껏 10GB＋</t>
        </is>
      </c>
      <c r="C1596" s="47" t="inlineStr">
        <is>
          <t>무제한</t>
        </is>
      </c>
      <c r="D1596" s="47" t="inlineStr">
        <is>
          <t>무제한</t>
        </is>
      </c>
      <c r="E1596" s="47" t="inlineStr">
        <is>
          <t>월 10GB + 1Mbps</t>
        </is>
      </c>
      <c r="F1596" s="47" t="inlineStr">
        <is>
          <t>KT</t>
        </is>
      </c>
      <c r="G1596" s="47" t="inlineStr">
        <is>
          <t>LTE</t>
        </is>
      </c>
      <c r="H1596" s="48" t="n">
        <v>11900</v>
      </c>
      <c r="I1596" s="48" t="n">
        <v>7</v>
      </c>
      <c r="J1596" s="48" t="n">
        <v>26400</v>
      </c>
      <c r="K1596" s="47">
        <f t="array" ref="K1596">_xlfn.XLOOKUP(1,(참조!$B$2:$B$15=E1596)*(참조!$D$2:$D$15=C1596)*(참조!$E$2:$E$15=D1596),참조!$C$2:$C$15,"")</f>
        <v/>
      </c>
    </row>
    <row r="1597" hidden="1" s="27">
      <c r="A1597" s="47" t="inlineStr">
        <is>
          <t>스마텔</t>
        </is>
      </c>
      <c r="B1597" s="47" t="inlineStr">
        <is>
          <t>후후 스마트 7GB+</t>
        </is>
      </c>
      <c r="C1597" s="47" t="inlineStr">
        <is>
          <t>무제한</t>
        </is>
      </c>
      <c r="D1597" s="47" t="inlineStr">
        <is>
          <t>무제한</t>
        </is>
      </c>
      <c r="E1597" s="47" t="inlineStr">
        <is>
          <t>월 7GB + 1Mbps</t>
        </is>
      </c>
      <c r="F1597" s="47" t="inlineStr">
        <is>
          <t>LG U+</t>
        </is>
      </c>
      <c r="G1597" s="47" t="inlineStr">
        <is>
          <t>LTE</t>
        </is>
      </c>
      <c r="H1597" s="48" t="n">
        <v>13330</v>
      </c>
      <c r="I1597" s="48" t="n">
        <v>7</v>
      </c>
      <c r="J1597" s="48" t="n">
        <v>24530</v>
      </c>
      <c r="K1597" s="47">
        <f t="array" ref="K1597">_xlfn.XLOOKUP(1,(참조!$B$2:$B$15=E1597)*(참조!$D$2:$D$15=C1597)*(참조!$E$2:$E$15=D1597),참조!$C$2:$C$15,"")</f>
        <v/>
      </c>
    </row>
    <row r="1598" hidden="1" s="27">
      <c r="A1598" s="47" t="inlineStr">
        <is>
          <t>이지모바일</t>
        </is>
      </c>
      <c r="B1598" s="47" t="inlineStr">
        <is>
          <t>EG 무제한 10G+1(밀리의 서재)</t>
        </is>
      </c>
      <c r="C1598" s="47" t="inlineStr">
        <is>
          <t>무제한</t>
        </is>
      </c>
      <c r="D1598" s="47" t="inlineStr">
        <is>
          <t>무제한</t>
        </is>
      </c>
      <c r="E1598" s="47" t="inlineStr">
        <is>
          <t>월 10GB + 1Mbps</t>
        </is>
      </c>
      <c r="F1598" s="47" t="inlineStr">
        <is>
          <t>KT</t>
        </is>
      </c>
      <c r="G1598" s="47" t="inlineStr">
        <is>
          <t>LTE</t>
        </is>
      </c>
      <c r="H1598" s="48" t="n">
        <v>8140</v>
      </c>
      <c r="I1598" s="48" t="n">
        <v>7</v>
      </c>
      <c r="J1598" s="48" t="n">
        <v>24200</v>
      </c>
      <c r="K1598" s="47">
        <f t="array" ref="K1598">_xlfn.XLOOKUP(1,(참조!$B$2:$B$15=E1598)*(참조!$D$2:$D$15=C1598)*(참조!$E$2:$E$15=D1598),참조!$C$2:$C$15,"")</f>
        <v/>
      </c>
    </row>
    <row r="1599" hidden="1" s="27">
      <c r="A1599" s="47" t="inlineStr">
        <is>
          <t>아이즈모바일</t>
        </is>
      </c>
      <c r="B1599" s="47" t="inlineStr">
        <is>
          <t>[L]5G 데이터안심(기본제공/4.5GB+)</t>
        </is>
      </c>
      <c r="C1599" s="47" t="inlineStr">
        <is>
          <t>무제한</t>
        </is>
      </c>
      <c r="D1599" s="47" t="inlineStr">
        <is>
          <t>무제한</t>
        </is>
      </c>
      <c r="E1599" s="47" t="inlineStr">
        <is>
          <t>월 4.5GB + 1Mbps</t>
        </is>
      </c>
      <c r="F1599" s="47" t="inlineStr">
        <is>
          <t>LG U+</t>
        </is>
      </c>
      <c r="G1599" s="47" t="inlineStr">
        <is>
          <t>5G</t>
        </is>
      </c>
      <c r="H1599" s="48" t="n">
        <v>1100</v>
      </c>
      <c r="I1599" s="48" t="n">
        <v>6</v>
      </c>
      <c r="J1599" s="48" t="n">
        <v>17600</v>
      </c>
      <c r="K1599" s="47">
        <f t="array" ref="K1599">_xlfn.XLOOKUP(1,(참조!$B$2:$B$15=E1599)*(참조!$D$2:$D$15=C1599)*(참조!$E$2:$E$15=D1599),참조!$C$2:$C$15,"")</f>
        <v/>
      </c>
    </row>
    <row r="1600" hidden="1" s="27">
      <c r="A1600" s="47" t="inlineStr">
        <is>
          <t>U+유모바일</t>
        </is>
      </c>
      <c r="B1600" s="47" t="inlineStr">
        <is>
          <t>[평생할인] 5G 180GB+/통화기본</t>
        </is>
      </c>
      <c r="C1600" s="47" t="inlineStr">
        <is>
          <t>무제한</t>
        </is>
      </c>
      <c r="D1600" s="47" t="inlineStr">
        <is>
          <t>무제한</t>
        </is>
      </c>
      <c r="E1600" s="47" t="inlineStr">
        <is>
          <t>월 180GB + 10Mbps</t>
        </is>
      </c>
      <c r="F1600" s="47" t="inlineStr">
        <is>
          <t>LG U+</t>
        </is>
      </c>
      <c r="G1600" s="47" t="inlineStr">
        <is>
          <t>5G</t>
        </is>
      </c>
      <c r="H1600" s="48" t="n">
        <v>50500</v>
      </c>
      <c r="I1600" s="48" t="n"/>
      <c r="J1600" s="48" t="n"/>
      <c r="K1600" s="47">
        <f t="array" ref="K1600">_xlfn.XLOOKUP(1,(참조!$B$2:$B$15=E1600)*(참조!$D$2:$D$15=C1600)*(참조!$E$2:$E$15=D1600),참조!$C$2:$C$15,"")</f>
        <v/>
      </c>
    </row>
    <row r="1601" hidden="1" s="27">
      <c r="A1601" s="47" t="inlineStr">
        <is>
          <t>스마텔</t>
        </is>
      </c>
      <c r="B1601" s="47" t="inlineStr">
        <is>
          <t>스위트 100GB+(왓챠 프리미엄)</t>
        </is>
      </c>
      <c r="C1601" s="47" t="inlineStr">
        <is>
          <t>무제한</t>
        </is>
      </c>
      <c r="D1601" s="47" t="inlineStr">
        <is>
          <t>무제한</t>
        </is>
      </c>
      <c r="E1601" s="47" t="inlineStr">
        <is>
          <t>월 100GB + 5Mbps</t>
        </is>
      </c>
      <c r="F1601" s="47" t="inlineStr">
        <is>
          <t>KT</t>
        </is>
      </c>
      <c r="G1601" s="47" t="inlineStr">
        <is>
          <t>LTE</t>
        </is>
      </c>
      <c r="H1601" s="48" t="n">
        <v>48400</v>
      </c>
      <c r="I1601" s="48" t="n">
        <v>36</v>
      </c>
      <c r="J1601" s="48" t="n">
        <v>53900</v>
      </c>
      <c r="K1601" s="47">
        <f t="array" ref="K1601">_xlfn.XLOOKUP(1,(참조!$B$2:$B$15=E1601)*(참조!$D$2:$D$15=C1601)*(참조!$E$2:$E$15=D1601),참조!$C$2:$C$15,"")</f>
        <v/>
      </c>
    </row>
    <row r="1602" hidden="1" s="27">
      <c r="A1602" s="47" t="inlineStr">
        <is>
          <t>리브모바일</t>
        </is>
      </c>
      <c r="B1602" s="47" t="inlineStr">
        <is>
          <t>LTE 7GB+(평생)</t>
        </is>
      </c>
      <c r="C1602" s="47" t="inlineStr">
        <is>
          <t>무제한</t>
        </is>
      </c>
      <c r="D1602" s="47" t="inlineStr">
        <is>
          <t>무제한</t>
        </is>
      </c>
      <c r="E1602" s="47" t="inlineStr">
        <is>
          <t>월 7GB + 1Mbps</t>
        </is>
      </c>
      <c r="F1602" s="47" t="inlineStr">
        <is>
          <t>LG U+</t>
        </is>
      </c>
      <c r="G1602" s="47" t="inlineStr">
        <is>
          <t>LTE</t>
        </is>
      </c>
      <c r="H1602" s="48" t="n">
        <v>15400</v>
      </c>
      <c r="I1602" s="48" t="n"/>
      <c r="J1602" s="48" t="n"/>
      <c r="K1602" s="47">
        <f t="array" ref="K1602">_xlfn.XLOOKUP(1,(참조!$B$2:$B$15=E1602)*(참조!$D$2:$D$15=C1602)*(참조!$E$2:$E$15=D1602),참조!$C$2:$C$15,"")</f>
        <v/>
      </c>
    </row>
    <row r="1603" hidden="1" s="27">
      <c r="A1603" s="47" t="inlineStr">
        <is>
          <t>아이즈모바일</t>
        </is>
      </c>
      <c r="B1603" s="47" t="inlineStr">
        <is>
          <t>[K]5G 네이버페이 200GB+</t>
        </is>
      </c>
      <c r="C1603" s="47" t="inlineStr">
        <is>
          <t>무제한</t>
        </is>
      </c>
      <c r="D1603" s="47" t="inlineStr">
        <is>
          <t>무제한</t>
        </is>
      </c>
      <c r="E1603" s="47" t="inlineStr">
        <is>
          <t>월 200GB + 10Mbps</t>
        </is>
      </c>
      <c r="F1603" s="47" t="inlineStr">
        <is>
          <t>KT</t>
        </is>
      </c>
      <c r="G1603" s="47" t="inlineStr">
        <is>
          <t>5G</t>
        </is>
      </c>
      <c r="H1603" s="48" t="n">
        <v>18900</v>
      </c>
      <c r="I1603" s="48" t="n">
        <v>7</v>
      </c>
      <c r="J1603" s="48" t="n">
        <v>66000</v>
      </c>
      <c r="K1603" s="47">
        <f t="array" ref="K1603">_xlfn.XLOOKUP(1,(참조!$B$2:$B$15=E1603)*(참조!$D$2:$D$15=C1603)*(참조!$E$2:$E$15=D1603),참조!$C$2:$C$15,"")</f>
        <v/>
      </c>
    </row>
    <row r="1604" hidden="1" s="27">
      <c r="A1604" s="47" t="inlineStr">
        <is>
          <t>모빙</t>
        </is>
      </c>
      <c r="B1604" s="47" t="inlineStr">
        <is>
          <t>[K] 5G 데이터 110GB+</t>
        </is>
      </c>
      <c r="C1604" s="47" t="inlineStr">
        <is>
          <t>무제한</t>
        </is>
      </c>
      <c r="D1604" s="47" t="inlineStr">
        <is>
          <t>무제한</t>
        </is>
      </c>
      <c r="E1604" s="47" t="inlineStr">
        <is>
          <t>월 110GB + 5Mbps</t>
        </is>
      </c>
      <c r="F1604" s="47" t="inlineStr">
        <is>
          <t>KT</t>
        </is>
      </c>
      <c r="G1604" s="47" t="inlineStr">
        <is>
          <t>5G</t>
        </is>
      </c>
      <c r="H1604" s="48" t="n">
        <v>34100</v>
      </c>
      <c r="I1604" s="48" t="n">
        <v>12</v>
      </c>
      <c r="J1604" s="48" t="n">
        <v>66000</v>
      </c>
      <c r="K1604" s="47">
        <f t="array" ref="K1604">_xlfn.XLOOKUP(1,(참조!$B$2:$B$15=E1604)*(참조!$D$2:$D$15=C1604)*(참조!$E$2:$E$15=D1604),참조!$C$2:$C$15,"")</f>
        <v/>
      </c>
    </row>
    <row r="1605" hidden="1" s="27">
      <c r="A1605" s="47" t="inlineStr">
        <is>
          <t>아이즈모바일</t>
        </is>
      </c>
      <c r="B1605" s="47" t="inlineStr">
        <is>
          <t>[K]다이소 100GB+</t>
        </is>
      </c>
      <c r="C1605" s="47" t="inlineStr">
        <is>
          <t>무제한</t>
        </is>
      </c>
      <c r="D1605" s="47" t="inlineStr">
        <is>
          <t>무제한</t>
        </is>
      </c>
      <c r="E1605" s="47" t="inlineStr">
        <is>
          <t>월 100GB + 5Mbps</t>
        </is>
      </c>
      <c r="F1605" s="47" t="inlineStr">
        <is>
          <t>KT</t>
        </is>
      </c>
      <c r="G1605" s="47" t="inlineStr">
        <is>
          <t>LTE</t>
        </is>
      </c>
      <c r="H1605" s="48" t="n">
        <v>20000</v>
      </c>
      <c r="I1605" s="48" t="n">
        <v>7</v>
      </c>
      <c r="J1605" s="48" t="n">
        <v>53900</v>
      </c>
      <c r="K1605" s="47">
        <f t="array" ref="K1605">_xlfn.XLOOKUP(1,(참조!$B$2:$B$15=E1605)*(참조!$D$2:$D$15=C1605)*(참조!$E$2:$E$15=D1605),참조!$C$2:$C$15,"")</f>
        <v/>
      </c>
    </row>
    <row r="1606" hidden="1" s="27">
      <c r="A1606" s="47" t="inlineStr">
        <is>
          <t>아이즈모바일</t>
        </is>
      </c>
      <c r="B1606" s="47" t="inlineStr">
        <is>
          <t>[S]톨(200분/3GB)</t>
        </is>
      </c>
      <c r="C1606" s="47" t="inlineStr">
        <is>
          <t>200분</t>
        </is>
      </c>
      <c r="D1606" s="47" t="inlineStr">
        <is>
          <t>100건</t>
        </is>
      </c>
      <c r="E1606" s="47" t="inlineStr">
        <is>
          <t>월 3GB</t>
        </is>
      </c>
      <c r="F1606" s="47" t="inlineStr">
        <is>
          <t>SKT</t>
        </is>
      </c>
      <c r="G1606" s="47" t="inlineStr">
        <is>
          <t>LTE</t>
        </is>
      </c>
      <c r="H1606" s="48" t="n">
        <v>4350</v>
      </c>
      <c r="I1606" s="48" t="n"/>
      <c r="J1606" s="48" t="n"/>
      <c r="K1606" s="47">
        <f t="array" ref="K1606">_xlfn.XLOOKUP(1,(참조!$B$2:$B$15=E1606)*(참조!$D$2:$D$15=C1606)*(참조!$E$2:$E$15=D1606),참조!$C$2:$C$15,"")</f>
        <v/>
      </c>
    </row>
    <row r="1607" hidden="1" s="27">
      <c r="A1607" s="47" t="inlineStr">
        <is>
          <t>아이즈모바일</t>
        </is>
      </c>
      <c r="B1607" s="47" t="inlineStr">
        <is>
          <t>[K]CU&amp;롯시 100분/15GB+</t>
        </is>
      </c>
      <c r="C1607" s="47" t="inlineStr">
        <is>
          <t>100분</t>
        </is>
      </c>
      <c r="D1607" s="47" t="inlineStr">
        <is>
          <t>100건</t>
        </is>
      </c>
      <c r="E1607" s="47" t="inlineStr">
        <is>
          <t>월 15GB + 3Mbps</t>
        </is>
      </c>
      <c r="F1607" s="47" t="inlineStr">
        <is>
          <t>KT</t>
        </is>
      </c>
      <c r="G1607" s="47" t="inlineStr">
        <is>
          <t>LTE</t>
        </is>
      </c>
      <c r="H1607" s="48" t="n">
        <v>9900</v>
      </c>
      <c r="I1607" s="48" t="n">
        <v>7</v>
      </c>
      <c r="J1607" s="48" t="n">
        <v>39600</v>
      </c>
      <c r="K1607" s="47">
        <f t="array" ref="K1607">_xlfn.XLOOKUP(1,(참조!$B$2:$B$15=E1607)*(참조!$D$2:$D$15=C1607)*(참조!$E$2:$E$15=D1607),참조!$C$2:$C$15,"")</f>
        <v/>
      </c>
    </row>
    <row r="1608" hidden="1" s="27">
      <c r="A1608" s="47" t="inlineStr">
        <is>
          <t>아이즈모바일</t>
        </is>
      </c>
      <c r="B1608" s="47" t="inlineStr">
        <is>
          <t>[K]롯시&amp;밀리 100분/15GB+</t>
        </is>
      </c>
      <c r="C1608" s="47" t="inlineStr">
        <is>
          <t>100분</t>
        </is>
      </c>
      <c r="D1608" s="47" t="inlineStr">
        <is>
          <t>100건</t>
        </is>
      </c>
      <c r="E1608" s="47" t="inlineStr">
        <is>
          <t>월 15GB + 3Mbps</t>
        </is>
      </c>
      <c r="F1608" s="47" t="inlineStr">
        <is>
          <t>KT</t>
        </is>
      </c>
      <c r="G1608" s="47" t="inlineStr">
        <is>
          <t>LTE</t>
        </is>
      </c>
      <c r="H1608" s="48" t="n">
        <v>9900</v>
      </c>
      <c r="I1608" s="48" t="n">
        <v>7</v>
      </c>
      <c r="J1608" s="48" t="n">
        <v>38500</v>
      </c>
      <c r="K1608" s="47">
        <f t="array" ref="K1608">_xlfn.XLOOKUP(1,(참조!$B$2:$B$15=E1608)*(참조!$D$2:$D$15=C1608)*(참조!$E$2:$E$15=D1608),참조!$C$2:$C$15,"")</f>
        <v/>
      </c>
    </row>
    <row r="1609" hidden="1" s="27">
      <c r="A1609" s="47" t="inlineStr">
        <is>
          <t>모빙</t>
        </is>
      </c>
      <c r="B1609" s="47" t="inlineStr">
        <is>
          <t>5G 쏙쏙 500분15GB</t>
        </is>
      </c>
      <c r="C1609" s="47" t="inlineStr">
        <is>
          <t>500분</t>
        </is>
      </c>
      <c r="D1609" s="47" t="inlineStr">
        <is>
          <t>500건</t>
        </is>
      </c>
      <c r="E1609" s="47" t="inlineStr">
        <is>
          <t>월 15GB</t>
        </is>
      </c>
      <c r="F1609" s="47" t="inlineStr">
        <is>
          <t>KT</t>
        </is>
      </c>
      <c r="G1609" s="47" t="inlineStr">
        <is>
          <t>5G</t>
        </is>
      </c>
      <c r="H1609" s="48" t="n">
        <v>6600</v>
      </c>
      <c r="I1609" s="48" t="n">
        <v>7</v>
      </c>
      <c r="J1609" s="48" t="n">
        <v>34100</v>
      </c>
      <c r="K1609" s="47">
        <f t="array" ref="K1609">_xlfn.XLOOKUP(1,(참조!$B$2:$B$15=E1609)*(참조!$D$2:$D$15=C1609)*(참조!$E$2:$E$15=D1609),참조!$C$2:$C$15,"")</f>
        <v/>
      </c>
    </row>
    <row r="1610" hidden="1" s="27">
      <c r="A1610" s="47" t="inlineStr">
        <is>
          <t>더원모바일</t>
        </is>
      </c>
      <c r="B1610" s="47" t="inlineStr">
        <is>
          <t>TOP 5G 200GB 기본 (웨이브 광고형)</t>
        </is>
      </c>
      <c r="C1610" s="47" t="inlineStr">
        <is>
          <t>무제한</t>
        </is>
      </c>
      <c r="D1610" s="47" t="inlineStr">
        <is>
          <t>무제한</t>
        </is>
      </c>
      <c r="E1610" s="47" t="inlineStr">
        <is>
          <t>월 200GB + 10Mbps</t>
        </is>
      </c>
      <c r="F1610" s="47" t="inlineStr">
        <is>
          <t>KT</t>
        </is>
      </c>
      <c r="G1610" s="47" t="inlineStr">
        <is>
          <t>5G</t>
        </is>
      </c>
      <c r="H1610" s="48" t="n">
        <v>24200</v>
      </c>
      <c r="I1610" s="48" t="n">
        <v>7</v>
      </c>
      <c r="J1610" s="48" t="n">
        <v>55000</v>
      </c>
      <c r="K1610" s="47">
        <f t="array" ref="K1610">_xlfn.XLOOKUP(1,(참조!$B$2:$B$15=E1610)*(참조!$D$2:$D$15=C1610)*(참조!$E$2:$E$15=D1610),참조!$C$2:$C$15,"")</f>
        <v/>
      </c>
    </row>
    <row r="1611" hidden="1" s="27">
      <c r="A1611" s="47" t="inlineStr">
        <is>
          <t>아이즈모바일</t>
        </is>
      </c>
      <c r="B1611" s="47" t="inlineStr">
        <is>
          <t>[S]무한100분/15GB+</t>
        </is>
      </c>
      <c r="C1611" s="47" t="inlineStr">
        <is>
          <t>100분</t>
        </is>
      </c>
      <c r="D1611" s="47" t="inlineStr">
        <is>
          <t>100건</t>
        </is>
      </c>
      <c r="E1611" s="47" t="inlineStr">
        <is>
          <t>월 15GB + 3Mbps</t>
        </is>
      </c>
      <c r="F1611" s="47" t="inlineStr">
        <is>
          <t>SKT</t>
        </is>
      </c>
      <c r="G1611" s="47" t="inlineStr">
        <is>
          <t>LTE</t>
        </is>
      </c>
      <c r="H1611" s="48" t="n">
        <v>23000</v>
      </c>
      <c r="I1611" s="48" t="n">
        <v>36</v>
      </c>
      <c r="J1611" s="48" t="n">
        <v>33900</v>
      </c>
      <c r="K1611" s="47">
        <f t="array" ref="K1611">_xlfn.XLOOKUP(1,(참조!$B$2:$B$15=E1611)*(참조!$D$2:$D$15=C1611)*(참조!$E$2:$E$15=D1611),참조!$C$2:$C$15,"")</f>
        <v/>
      </c>
    </row>
    <row r="1612" hidden="1" s="27">
      <c r="A1612" s="47" t="inlineStr">
        <is>
          <t>모빙</t>
        </is>
      </c>
      <c r="B1612" s="47" t="inlineStr">
        <is>
          <t>[K] 5G 200분3GB</t>
        </is>
      </c>
      <c r="C1612" s="47" t="inlineStr">
        <is>
          <t>200분</t>
        </is>
      </c>
      <c r="D1612" s="47" t="inlineStr">
        <is>
          <t>200건</t>
        </is>
      </c>
      <c r="E1612" s="47" t="inlineStr">
        <is>
          <t>월 3GB</t>
        </is>
      </c>
      <c r="F1612" s="47" t="inlineStr">
        <is>
          <t>KT</t>
        </is>
      </c>
      <c r="G1612" s="47" t="inlineStr">
        <is>
          <t>5G</t>
        </is>
      </c>
      <c r="H1612" s="48" t="n">
        <v>4400</v>
      </c>
      <c r="I1612" s="48" t="n"/>
      <c r="J1612" s="48" t="n"/>
      <c r="K1612" s="47">
        <f t="array" ref="K1612">_xlfn.XLOOKUP(1,(참조!$B$2:$B$15=E1612)*(참조!$D$2:$D$15=C1612)*(참조!$E$2:$E$15=D1612),참조!$C$2:$C$15,"")</f>
        <v/>
      </c>
    </row>
    <row r="1613" hidden="1" s="27">
      <c r="A1613" s="47" t="inlineStr">
        <is>
          <t>리브모바일</t>
        </is>
      </c>
      <c r="B1613" s="47" t="inlineStr">
        <is>
          <t>보이스피싱예방LTE15GB+(300분/300건)</t>
        </is>
      </c>
      <c r="C1613" s="47" t="inlineStr">
        <is>
          <t>300분</t>
        </is>
      </c>
      <c r="D1613" s="47" t="inlineStr">
        <is>
          <t>300건</t>
        </is>
      </c>
      <c r="E1613" s="47" t="inlineStr">
        <is>
          <t>월 15GB + 3Mbps</t>
        </is>
      </c>
      <c r="F1613" s="47" t="inlineStr">
        <is>
          <t>LG U+</t>
        </is>
      </c>
      <c r="G1613" s="47" t="inlineStr">
        <is>
          <t>LTE</t>
        </is>
      </c>
      <c r="H1613" s="48" t="n">
        <v>22200</v>
      </c>
      <c r="I1613" s="48" t="n">
        <v>12</v>
      </c>
      <c r="J1613" s="48" t="n">
        <v>28900</v>
      </c>
      <c r="K1613" s="47">
        <f t="array" ref="K1613">_xlfn.XLOOKUP(1,(참조!$B$2:$B$15=E1613)*(참조!$D$2:$D$15=C1613)*(참조!$E$2:$E$15=D1613),참조!$C$2:$C$15,"")</f>
        <v/>
      </c>
    </row>
    <row r="1614" hidden="1" s="27">
      <c r="A1614" s="47" t="inlineStr">
        <is>
          <t>인스모바일</t>
        </is>
      </c>
      <c r="B1614" s="47" t="inlineStr">
        <is>
          <t>실속 300분+4GB(USIM)</t>
        </is>
      </c>
      <c r="C1614" s="47" t="inlineStr">
        <is>
          <t>300분</t>
        </is>
      </c>
      <c r="D1614" s="47" t="inlineStr">
        <is>
          <t>100건</t>
        </is>
      </c>
      <c r="E1614" s="47" t="inlineStr">
        <is>
          <t>월 4GB</t>
        </is>
      </c>
      <c r="F1614" s="47" t="inlineStr">
        <is>
          <t>LG U+</t>
        </is>
      </c>
      <c r="G1614" s="47" t="inlineStr">
        <is>
          <t>LTE</t>
        </is>
      </c>
      <c r="H1614" s="48" t="n">
        <v>2200</v>
      </c>
      <c r="I1614" s="48" t="n">
        <v>6</v>
      </c>
      <c r="J1614" s="48" t="n">
        <v>19800</v>
      </c>
      <c r="K1614" s="47">
        <f t="array" ref="K1614">_xlfn.XLOOKUP(1,(참조!$B$2:$B$15=E1614)*(참조!$D$2:$D$15=C1614)*(참조!$E$2:$E$15=D1614),참조!$C$2:$C$15,"")</f>
        <v/>
      </c>
    </row>
    <row r="1615" hidden="1" s="27">
      <c r="A1615" s="47" t="inlineStr">
        <is>
          <t>에이모바일</t>
        </is>
      </c>
      <c r="B1615" s="47" t="inlineStr">
        <is>
          <t>A 올라잇 100GB+ 밀리의서재(+추가 네이버페이 1만x7개월)</t>
        </is>
      </c>
      <c r="C1615" s="47" t="inlineStr">
        <is>
          <t>무제한</t>
        </is>
      </c>
      <c r="D1615" s="47" t="inlineStr">
        <is>
          <t>무제한</t>
        </is>
      </c>
      <c r="E1615" s="47" t="inlineStr">
        <is>
          <t>월 11GB + 매일 2GB + 3Mbps</t>
        </is>
      </c>
      <c r="F1615" s="47" t="inlineStr">
        <is>
          <t>KT</t>
        </is>
      </c>
      <c r="G1615" s="47" t="inlineStr">
        <is>
          <t>LTE</t>
        </is>
      </c>
      <c r="H1615" s="48" t="n">
        <v>16900</v>
      </c>
      <c r="I1615" s="48" t="n">
        <v>7</v>
      </c>
      <c r="J1615" s="48" t="n">
        <v>46200</v>
      </c>
      <c r="K1615" s="47">
        <f t="array" ref="K1615">_xlfn.XLOOKUP(1,(참조!$B$2:$B$15=E1615)*(참조!$D$2:$D$15=C1615)*(참조!$E$2:$E$15=D1615),참조!$C$2:$C$15,"")</f>
        <v/>
      </c>
    </row>
    <row r="1616" hidden="1" s="27">
      <c r="A1616" s="47" t="inlineStr">
        <is>
          <t>위너스텔</t>
        </is>
      </c>
      <c r="B1616" s="47" t="inlineStr">
        <is>
          <t>7GB+1Mbps(네이버페이 5,000P)</t>
        </is>
      </c>
      <c r="C1616" s="47" t="inlineStr">
        <is>
          <t>무제한</t>
        </is>
      </c>
      <c r="D1616" s="47" t="inlineStr">
        <is>
          <t>무제한</t>
        </is>
      </c>
      <c r="E1616" s="47" t="inlineStr">
        <is>
          <t>월 7GB + 1Mbps</t>
        </is>
      </c>
      <c r="F1616" s="47" t="inlineStr">
        <is>
          <t>KT</t>
        </is>
      </c>
      <c r="G1616" s="47" t="inlineStr">
        <is>
          <t>LTE</t>
        </is>
      </c>
      <c r="H1616" s="48" t="n">
        <v>19800</v>
      </c>
      <c r="I1616" s="48" t="n"/>
      <c r="J1616" s="48" t="n"/>
      <c r="K1616" s="47">
        <f t="array" ref="K1616">_xlfn.XLOOKUP(1,(참조!$B$2:$B$15=E1616)*(참조!$D$2:$D$15=C1616)*(참조!$E$2:$E$15=D1616),참조!$C$2:$C$15,"")</f>
        <v/>
      </c>
    </row>
    <row r="1617" hidden="1" s="27">
      <c r="A1617" s="47" t="inlineStr">
        <is>
          <t>리브모바일</t>
        </is>
      </c>
      <c r="B1617" s="47" t="inlineStr">
        <is>
          <t>5G 든든 2GB</t>
        </is>
      </c>
      <c r="C1617" s="47" t="inlineStr">
        <is>
          <t>무제한</t>
        </is>
      </c>
      <c r="D1617" s="47" t="inlineStr">
        <is>
          <t>무제한</t>
        </is>
      </c>
      <c r="E1617" s="47" t="inlineStr">
        <is>
          <t>월 2GB</t>
        </is>
      </c>
      <c r="F1617" s="47" t="inlineStr">
        <is>
          <t>LG U+</t>
        </is>
      </c>
      <c r="G1617" s="47" t="inlineStr">
        <is>
          <t>5G</t>
        </is>
      </c>
      <c r="H1617" s="48" t="n">
        <v>7500</v>
      </c>
      <c r="I1617" s="48" t="n">
        <v>12</v>
      </c>
      <c r="J1617" s="48" t="n">
        <v>11900</v>
      </c>
      <c r="K1617" s="47">
        <f t="array" ref="K1617">_xlfn.XLOOKUP(1,(참조!$B$2:$B$15=E1617)*(참조!$D$2:$D$15=C1617)*(참조!$E$2:$E$15=D1617),참조!$C$2:$C$15,"")</f>
        <v/>
      </c>
    </row>
    <row r="1618" hidden="1" s="27">
      <c r="A1618" s="47" t="inlineStr">
        <is>
          <t>스마텔</t>
        </is>
      </c>
      <c r="B1618" s="47" t="inlineStr">
        <is>
          <t>스위트 10GB+ (+10GB 24개월간 추가 제공)</t>
        </is>
      </c>
      <c r="C1618" s="47" t="inlineStr">
        <is>
          <t>무제한</t>
        </is>
      </c>
      <c r="D1618" s="47" t="inlineStr">
        <is>
          <t>무제한</t>
        </is>
      </c>
      <c r="E1618" s="47" t="inlineStr">
        <is>
          <t>월 10GB + 1Mbps</t>
        </is>
      </c>
      <c r="F1618" s="47" t="inlineStr">
        <is>
          <t>KT</t>
        </is>
      </c>
      <c r="G1618" s="47" t="inlineStr">
        <is>
          <t>LTE</t>
        </is>
      </c>
      <c r="H1618" s="48" t="n">
        <v>22000</v>
      </c>
      <c r="I1618" s="48" t="n">
        <v>36</v>
      </c>
      <c r="J1618" s="48" t="n">
        <v>28600</v>
      </c>
      <c r="K1618" s="47">
        <f t="array" ref="K1618">_xlfn.XLOOKUP(1,(참조!$B$2:$B$15=E1618)*(참조!$D$2:$D$15=C1618)*(참조!$E$2:$E$15=D1618),참조!$C$2:$C$15,"")</f>
        <v/>
      </c>
    </row>
    <row r="1619" hidden="1" s="27">
      <c r="A1619" s="47" t="inlineStr">
        <is>
          <t>아이즈모바일</t>
        </is>
      </c>
      <c r="B1619" s="47" t="inlineStr">
        <is>
          <t>[K]CU&amp;롯시 10GB+</t>
        </is>
      </c>
      <c r="C1619" s="47" t="inlineStr">
        <is>
          <t>무제한</t>
        </is>
      </c>
      <c r="D1619" s="47" t="inlineStr">
        <is>
          <t>무제한</t>
        </is>
      </c>
      <c r="E1619" s="47" t="inlineStr">
        <is>
          <t>월 10GB + 1Mbps</t>
        </is>
      </c>
      <c r="F1619" s="47" t="inlineStr">
        <is>
          <t>KT</t>
        </is>
      </c>
      <c r="G1619" s="47" t="inlineStr">
        <is>
          <t>LTE</t>
        </is>
      </c>
      <c r="H1619" s="48" t="n">
        <v>6900</v>
      </c>
      <c r="I1619" s="48" t="n">
        <v>7</v>
      </c>
      <c r="J1619" s="48" t="n">
        <v>33000</v>
      </c>
      <c r="K1619" s="47">
        <f t="array" ref="K1619">_xlfn.XLOOKUP(1,(참조!$B$2:$B$15=E1619)*(참조!$D$2:$D$15=C1619)*(참조!$E$2:$E$15=D1619),참조!$C$2:$C$15,"")</f>
        <v/>
      </c>
    </row>
    <row r="1620" hidden="1" s="27">
      <c r="A1620" s="47" t="inlineStr">
        <is>
          <t>모빙</t>
        </is>
      </c>
      <c r="B1620" s="47" t="inlineStr">
        <is>
          <t>[L] 라운지프리 100분15GB+</t>
        </is>
      </c>
      <c r="C1620" s="47" t="inlineStr">
        <is>
          <t>100분</t>
        </is>
      </c>
      <c r="D1620" s="47" t="inlineStr">
        <is>
          <t>100건</t>
        </is>
      </c>
      <c r="E1620" s="47" t="inlineStr">
        <is>
          <t>월 15GB + 3Mbps</t>
        </is>
      </c>
      <c r="F1620" s="47" t="inlineStr">
        <is>
          <t>LG U+</t>
        </is>
      </c>
      <c r="G1620" s="47" t="inlineStr">
        <is>
          <t>LTE</t>
        </is>
      </c>
      <c r="H1620" s="48" t="n">
        <v>24000</v>
      </c>
      <c r="I1620" s="48" t="n">
        <v>24</v>
      </c>
      <c r="J1620" s="48" t="n">
        <v>39000</v>
      </c>
      <c r="K1620" s="47">
        <f t="array" ref="K1620">_xlfn.XLOOKUP(1,(참조!$B$2:$B$15=E1620)*(참조!$D$2:$D$15=C1620)*(참조!$E$2:$E$15=D1620),참조!$C$2:$C$15,"")</f>
        <v/>
      </c>
    </row>
    <row r="1621" hidden="1" s="27">
      <c r="A1621" s="47" t="inlineStr">
        <is>
          <t>모빙</t>
        </is>
      </c>
      <c r="B1621" s="47" t="inlineStr">
        <is>
          <t>[K] 후후 안심 11GB+</t>
        </is>
      </c>
      <c r="C1621" s="47" t="inlineStr">
        <is>
          <t>무제한</t>
        </is>
      </c>
      <c r="D1621" s="47" t="inlineStr">
        <is>
          <t>무제한</t>
        </is>
      </c>
      <c r="E1621" s="47" t="inlineStr">
        <is>
          <t>월 11GB + 매일 2GB + 3Mbps</t>
        </is>
      </c>
      <c r="F1621" s="47" t="inlineStr">
        <is>
          <t>KT</t>
        </is>
      </c>
      <c r="G1621" s="47" t="inlineStr">
        <is>
          <t>LTE</t>
        </is>
      </c>
      <c r="H1621" s="48" t="n">
        <v>17270</v>
      </c>
      <c r="I1621" s="48" t="n">
        <v>7</v>
      </c>
      <c r="J1621" s="48" t="n">
        <v>48400</v>
      </c>
      <c r="K1621" s="47">
        <f t="array" ref="K1621">_xlfn.XLOOKUP(1,(참조!$B$2:$B$15=E1621)*(참조!$D$2:$D$15=C1621)*(참조!$E$2:$E$15=D1621),참조!$C$2:$C$15,"")</f>
        <v/>
      </c>
    </row>
    <row r="1622" hidden="1" s="27">
      <c r="A1622" s="47" t="inlineStr">
        <is>
          <t>에이모바일</t>
        </is>
      </c>
      <c r="B1622" s="47" t="inlineStr">
        <is>
          <t>A 스페셜 7GB+ (24개월)</t>
        </is>
      </c>
      <c r="C1622" s="47" t="inlineStr">
        <is>
          <t>무제한</t>
        </is>
      </c>
      <c r="D1622" s="47" t="inlineStr">
        <is>
          <t>무제한</t>
        </is>
      </c>
      <c r="E1622" s="47" t="inlineStr">
        <is>
          <t>월 7GB + 1Mbps</t>
        </is>
      </c>
      <c r="F1622" s="47" t="inlineStr">
        <is>
          <t>LG U+</t>
        </is>
      </c>
      <c r="G1622" s="47" t="inlineStr">
        <is>
          <t>LTE</t>
        </is>
      </c>
      <c r="H1622" s="48" t="n">
        <v>16060</v>
      </c>
      <c r="I1622" s="48" t="n">
        <v>24</v>
      </c>
      <c r="J1622" s="48" t="n">
        <v>22000</v>
      </c>
      <c r="K1622" s="47">
        <f t="array" ref="K1622">_xlfn.XLOOKUP(1,(참조!$B$2:$B$15=E1622)*(참조!$D$2:$D$15=C1622)*(참조!$E$2:$E$15=D1622),참조!$C$2:$C$15,"")</f>
        <v/>
      </c>
    </row>
    <row r="1623" hidden="1" s="27">
      <c r="A1623" s="47" t="inlineStr">
        <is>
          <t>스마텔</t>
        </is>
      </c>
      <c r="B1623" s="47" t="inlineStr">
        <is>
          <t>5G 스마일 플러스 (300분+5GB)</t>
        </is>
      </c>
      <c r="C1623" s="47" t="inlineStr">
        <is>
          <t>300분</t>
        </is>
      </c>
      <c r="D1623" s="47" t="inlineStr">
        <is>
          <t>100건</t>
        </is>
      </c>
      <c r="E1623" s="47" t="inlineStr">
        <is>
          <t>월 5GB</t>
        </is>
      </c>
      <c r="F1623" s="47" t="inlineStr">
        <is>
          <t>SKT</t>
        </is>
      </c>
      <c r="G1623" s="47" t="inlineStr">
        <is>
          <t>5G</t>
        </is>
      </c>
      <c r="H1623" s="48" t="n">
        <v>5100</v>
      </c>
      <c r="I1623" s="48" t="n">
        <v>5</v>
      </c>
      <c r="J1623" s="48" t="n">
        <v>15000</v>
      </c>
      <c r="K1623" s="47">
        <f t="array" ref="K1623">_xlfn.XLOOKUP(1,(참조!$B$2:$B$15=E1623)*(참조!$D$2:$D$15=C1623)*(참조!$E$2:$E$15=D1623),참조!$C$2:$C$15,"")</f>
        <v/>
      </c>
    </row>
    <row r="1624" hidden="1" s="27">
      <c r="A1624" s="47" t="inlineStr">
        <is>
          <t>스마텔</t>
        </is>
      </c>
      <c r="B1624" s="47" t="inlineStr">
        <is>
          <t>5G 스마트 150GB</t>
        </is>
      </c>
      <c r="C1624" s="47" t="inlineStr">
        <is>
          <t>무제한</t>
        </is>
      </c>
      <c r="D1624" s="47" t="inlineStr">
        <is>
          <t>무제한</t>
        </is>
      </c>
      <c r="E1624" s="47" t="inlineStr">
        <is>
          <t>월 150GB + 5Mbps</t>
        </is>
      </c>
      <c r="F1624" s="47" t="inlineStr">
        <is>
          <t>LG U+</t>
        </is>
      </c>
      <c r="G1624" s="47" t="inlineStr">
        <is>
          <t>5G</t>
        </is>
      </c>
      <c r="H1624" s="48" t="n">
        <v>49000</v>
      </c>
      <c r="I1624" s="48" t="n"/>
      <c r="J1624" s="48" t="n"/>
      <c r="K1624" s="47">
        <f t="array" ref="K1624">_xlfn.XLOOKUP(1,(참조!$B$2:$B$15=E1624)*(참조!$D$2:$D$15=C1624)*(참조!$E$2:$E$15=D1624),참조!$C$2:$C$15,"")</f>
        <v/>
      </c>
    </row>
    <row r="1625" hidden="1" s="27">
      <c r="A1625" s="47" t="inlineStr">
        <is>
          <t>시월모바일</t>
        </is>
      </c>
      <c r="B1625" s="47" t="inlineStr">
        <is>
          <t>쿠폰팩 통화기본10GB+</t>
        </is>
      </c>
      <c r="C1625" s="47" t="inlineStr">
        <is>
          <t>무제한</t>
        </is>
      </c>
      <c r="D1625" s="47" t="inlineStr">
        <is>
          <t>무제한</t>
        </is>
      </c>
      <c r="E1625" s="47" t="inlineStr">
        <is>
          <t>월 10GB + 1Mbps</t>
        </is>
      </c>
      <c r="F1625" s="47" t="inlineStr">
        <is>
          <t>LG U+</t>
        </is>
      </c>
      <c r="G1625" s="47" t="inlineStr">
        <is>
          <t>LTE</t>
        </is>
      </c>
      <c r="H1625" s="48" t="n">
        <v>13250</v>
      </c>
      <c r="I1625" s="48" t="n">
        <v>7</v>
      </c>
      <c r="J1625" s="48" t="n">
        <v>24250</v>
      </c>
      <c r="K1625" s="47">
        <f t="array" ref="K1625">_xlfn.XLOOKUP(1,(참조!$B$2:$B$15=E1625)*(참조!$D$2:$D$15=C1625)*(참조!$E$2:$E$15=D1625),참조!$C$2:$C$15,"")</f>
        <v/>
      </c>
    </row>
    <row r="1626" hidden="1" s="27">
      <c r="A1626" s="47" t="inlineStr">
        <is>
          <t>U+유모바일</t>
        </is>
      </c>
      <c r="B1626" s="47" t="inlineStr">
        <is>
          <t>[평생할인] 2.5GB+/200분</t>
        </is>
      </c>
      <c r="C1626" s="47" t="inlineStr">
        <is>
          <t>200분</t>
        </is>
      </c>
      <c r="D1626" s="47" t="inlineStr">
        <is>
          <t>100건</t>
        </is>
      </c>
      <c r="E1626" s="47" t="inlineStr">
        <is>
          <t>월 2.5GB + 1Mbps</t>
        </is>
      </c>
      <c r="F1626" s="47" t="inlineStr">
        <is>
          <t>LG U+</t>
        </is>
      </c>
      <c r="G1626" s="47" t="inlineStr">
        <is>
          <t>LTE</t>
        </is>
      </c>
      <c r="H1626" s="48" t="n">
        <v>9500</v>
      </c>
      <c r="I1626" s="48" t="n"/>
      <c r="J1626" s="48" t="n"/>
      <c r="K1626" s="47">
        <f t="array" ref="K1626">_xlfn.XLOOKUP(1,(참조!$B$2:$B$15=E1626)*(참조!$D$2:$D$15=C1626)*(참조!$E$2:$E$15=D1626),참조!$C$2:$C$15,"")</f>
        <v/>
      </c>
    </row>
    <row r="1627" hidden="1" s="27">
      <c r="A1627" s="47" t="inlineStr">
        <is>
          <t>이지모바일</t>
        </is>
      </c>
      <c r="B1627" s="47" t="inlineStr">
        <is>
          <t>EG 5G 심플 50GB+</t>
        </is>
      </c>
      <c r="C1627" s="47" t="inlineStr">
        <is>
          <t>무제한</t>
        </is>
      </c>
      <c r="D1627" s="47" t="inlineStr">
        <is>
          <t>무제한</t>
        </is>
      </c>
      <c r="E1627" s="47" t="inlineStr">
        <is>
          <t>월 50GB + 1Mbps</t>
        </is>
      </c>
      <c r="F1627" s="47" t="inlineStr">
        <is>
          <t>KT</t>
        </is>
      </c>
      <c r="G1627" s="47" t="inlineStr">
        <is>
          <t>5G</t>
        </is>
      </c>
      <c r="H1627" s="48" t="n">
        <v>23100</v>
      </c>
      <c r="I1627" s="48" t="n">
        <v>7</v>
      </c>
      <c r="J1627" s="48" t="n">
        <v>45100</v>
      </c>
      <c r="K1627" s="47">
        <f t="array" ref="K1627">_xlfn.XLOOKUP(1,(참조!$B$2:$B$15=E1627)*(참조!$D$2:$D$15=C1627)*(참조!$E$2:$E$15=D1627),참조!$C$2:$C$15,"")</f>
        <v/>
      </c>
    </row>
    <row r="1628" hidden="1" s="27">
      <c r="A1628" s="47" t="inlineStr">
        <is>
          <t>이야기모바일</t>
        </is>
      </c>
      <c r="B1628" s="47" t="inlineStr">
        <is>
          <t>이야기 라이트S 100분 15GB+</t>
        </is>
      </c>
      <c r="C1628" s="47" t="inlineStr">
        <is>
          <t>100분</t>
        </is>
      </c>
      <c r="D1628" s="47" t="inlineStr">
        <is>
          <t>100건</t>
        </is>
      </c>
      <c r="E1628" s="47" t="inlineStr">
        <is>
          <t>월 15GB + 1Mbps</t>
        </is>
      </c>
      <c r="F1628" s="47" t="inlineStr">
        <is>
          <t>SKT</t>
        </is>
      </c>
      <c r="G1628" s="47" t="inlineStr">
        <is>
          <t>LTE</t>
        </is>
      </c>
      <c r="H1628" s="48" t="n">
        <v>26400</v>
      </c>
      <c r="I1628" s="48" t="n"/>
      <c r="J1628" s="48" t="n"/>
      <c r="K1628" s="47">
        <f t="array" ref="K1628">_xlfn.XLOOKUP(1,(참조!$B$2:$B$15=E1628)*(참조!$D$2:$D$15=C1628)*(참조!$E$2:$E$15=D1628),참조!$C$2:$C$15,"")</f>
        <v/>
      </c>
    </row>
    <row r="1629" hidden="1" s="27">
      <c r="A1629" s="47" t="inlineStr">
        <is>
          <t>모빙</t>
        </is>
      </c>
      <c r="B1629" s="47" t="inlineStr">
        <is>
          <t>[S] 컬쳐랜드 100분15GB+</t>
        </is>
      </c>
      <c r="C1629" s="47" t="inlineStr">
        <is>
          <t>100분</t>
        </is>
      </c>
      <c r="D1629" s="47" t="inlineStr">
        <is>
          <t>100건</t>
        </is>
      </c>
      <c r="E1629" s="47" t="inlineStr">
        <is>
          <t>월 15GB + 3Mbps</t>
        </is>
      </c>
      <c r="F1629" s="47" t="inlineStr">
        <is>
          <t>SKT</t>
        </is>
      </c>
      <c r="G1629" s="47" t="inlineStr">
        <is>
          <t>LTE</t>
        </is>
      </c>
      <c r="H1629" s="48" t="n">
        <v>13500</v>
      </c>
      <c r="I1629" s="48" t="n">
        <v>7</v>
      </c>
      <c r="J1629" s="48" t="n">
        <v>41800</v>
      </c>
      <c r="K1629" s="47">
        <f t="array" ref="K1629">_xlfn.XLOOKUP(1,(참조!$B$2:$B$15=E1629)*(참조!$D$2:$D$15=C1629)*(참조!$E$2:$E$15=D1629),참조!$C$2:$C$15,"")</f>
        <v/>
      </c>
    </row>
    <row r="1630" hidden="1" s="27">
      <c r="A1630" s="47" t="inlineStr">
        <is>
          <t>모빙</t>
        </is>
      </c>
      <c r="B1630" s="47" t="inlineStr">
        <is>
          <t>[S] CU편의점 100분15GB+</t>
        </is>
      </c>
      <c r="C1630" s="47" t="inlineStr">
        <is>
          <t>100분</t>
        </is>
      </c>
      <c r="D1630" s="47" t="inlineStr">
        <is>
          <t>100건</t>
        </is>
      </c>
      <c r="E1630" s="47" t="inlineStr">
        <is>
          <t>월 15GB + 3Mbps</t>
        </is>
      </c>
      <c r="F1630" s="47" t="inlineStr">
        <is>
          <t>SKT</t>
        </is>
      </c>
      <c r="G1630" s="47" t="inlineStr">
        <is>
          <t>LTE</t>
        </is>
      </c>
      <c r="H1630" s="48" t="n">
        <v>13500</v>
      </c>
      <c r="I1630" s="48" t="n">
        <v>7</v>
      </c>
      <c r="J1630" s="48" t="n">
        <v>41800</v>
      </c>
      <c r="K1630" s="47">
        <f t="array" ref="K1630">_xlfn.XLOOKUP(1,(참조!$B$2:$B$15=E1630)*(참조!$D$2:$D$15=C1630)*(참조!$E$2:$E$15=D1630),참조!$C$2:$C$15,"")</f>
        <v/>
      </c>
    </row>
    <row r="1631" hidden="1" s="27">
      <c r="A1631" s="47" t="inlineStr">
        <is>
          <t>아이즈모바일</t>
        </is>
      </c>
      <c r="B1631" s="47" t="inlineStr">
        <is>
          <t>[K]벤티(300분/7GB)</t>
        </is>
      </c>
      <c r="C1631" s="47" t="inlineStr">
        <is>
          <t>300분</t>
        </is>
      </c>
      <c r="D1631" s="47" t="inlineStr">
        <is>
          <t>100건</t>
        </is>
      </c>
      <c r="E1631" s="47" t="inlineStr">
        <is>
          <t>월 7GB</t>
        </is>
      </c>
      <c r="F1631" s="47" t="inlineStr">
        <is>
          <t>KT</t>
        </is>
      </c>
      <c r="G1631" s="47" t="inlineStr">
        <is>
          <t>LTE</t>
        </is>
      </c>
      <c r="H1631" s="48" t="n">
        <v>18500</v>
      </c>
      <c r="I1631" s="48" t="n"/>
      <c r="J1631" s="48" t="n"/>
      <c r="K1631" s="47">
        <f t="array" ref="K1631">_xlfn.XLOOKUP(1,(참조!$B$2:$B$15=E1631)*(참조!$D$2:$D$15=C1631)*(참조!$E$2:$E$15=D1631),참조!$C$2:$C$15,"")</f>
        <v/>
      </c>
    </row>
    <row r="1632" hidden="1" s="27">
      <c r="A1632" s="47" t="inlineStr">
        <is>
          <t>스마텔</t>
        </is>
      </c>
      <c r="B1632" s="47" t="inlineStr">
        <is>
          <t>스위트 100GB+(올영 3000)</t>
        </is>
      </c>
      <c r="C1632" s="47" t="inlineStr">
        <is>
          <t>무제한</t>
        </is>
      </c>
      <c r="D1632" s="47" t="inlineStr">
        <is>
          <t>무제한</t>
        </is>
      </c>
      <c r="E1632" s="47" t="inlineStr">
        <is>
          <t>월 100GB + 5Mbps</t>
        </is>
      </c>
      <c r="F1632" s="47" t="inlineStr">
        <is>
          <t>KT</t>
        </is>
      </c>
      <c r="G1632" s="47" t="inlineStr">
        <is>
          <t>LTE</t>
        </is>
      </c>
      <c r="H1632" s="48" t="n">
        <v>24500</v>
      </c>
      <c r="I1632" s="48" t="n">
        <v>7</v>
      </c>
      <c r="J1632" s="48" t="n">
        <v>47630</v>
      </c>
      <c r="K1632" s="47">
        <f t="array" ref="K1632">_xlfn.XLOOKUP(1,(참조!$B$2:$B$15=E1632)*(참조!$D$2:$D$15=C1632)*(참조!$E$2:$E$15=D1632),참조!$C$2:$C$15,"")</f>
        <v/>
      </c>
    </row>
    <row r="1633" hidden="1" s="27">
      <c r="A1633" s="47" t="inlineStr">
        <is>
          <t>KT엠모바일</t>
        </is>
      </c>
      <c r="B1633" s="47" t="inlineStr">
        <is>
          <t>5G 모두다 맘껏 70GB+(Pay쿠폰 5000P)</t>
        </is>
      </c>
      <c r="C1633" s="47" t="inlineStr">
        <is>
          <t>무제한</t>
        </is>
      </c>
      <c r="D1633" s="47" t="inlineStr">
        <is>
          <t>무제한</t>
        </is>
      </c>
      <c r="E1633" s="47" t="inlineStr">
        <is>
          <t>월 70GB + 1Mbps</t>
        </is>
      </c>
      <c r="F1633" s="47" t="inlineStr">
        <is>
          <t>KT</t>
        </is>
      </c>
      <c r="G1633" s="47" t="inlineStr">
        <is>
          <t>5G</t>
        </is>
      </c>
      <c r="H1633" s="48" t="n">
        <v>40900</v>
      </c>
      <c r="I1633" s="48" t="n"/>
      <c r="J1633" s="48" t="n"/>
      <c r="K1633" s="47">
        <f t="array" ref="K1633">_xlfn.XLOOKUP(1,(참조!$B$2:$B$15=E1633)*(참조!$D$2:$D$15=C1633)*(참조!$E$2:$E$15=D1633),참조!$C$2:$C$15,"")</f>
        <v/>
      </c>
    </row>
    <row r="1634" hidden="1" s="27">
      <c r="A1634" s="47" t="inlineStr">
        <is>
          <t>KG모바일</t>
        </is>
      </c>
      <c r="B1634" s="47" t="inlineStr">
        <is>
          <t>[KG모바일 스페셜] 통화, 데이터 마음대로 10GB+</t>
        </is>
      </c>
      <c r="C1634" s="47" t="inlineStr">
        <is>
          <t>무제한</t>
        </is>
      </c>
      <c r="D1634" s="47" t="inlineStr">
        <is>
          <t>무제한</t>
        </is>
      </c>
      <c r="E1634" s="47" t="inlineStr">
        <is>
          <t>월 10GB + 1Mbps</t>
        </is>
      </c>
      <c r="F1634" s="47" t="inlineStr">
        <is>
          <t>LG U+</t>
        </is>
      </c>
      <c r="G1634" s="47" t="inlineStr">
        <is>
          <t>LTE</t>
        </is>
      </c>
      <c r="H1634" s="48" t="n">
        <v>9500</v>
      </c>
      <c r="I1634" s="48" t="n">
        <v>7</v>
      </c>
      <c r="J1634" s="48" t="n">
        <v>26400</v>
      </c>
      <c r="K1634" s="47">
        <f t="array" ref="K1634">_xlfn.XLOOKUP(1,(참조!$B$2:$B$15=E1634)*(참조!$D$2:$D$15=C1634)*(참조!$E$2:$E$15=D1634),참조!$C$2:$C$15,"")</f>
        <v/>
      </c>
    </row>
    <row r="1635" hidden="1" s="27">
      <c r="A1635" s="47" t="inlineStr">
        <is>
          <t>모빙</t>
        </is>
      </c>
      <c r="B1635" s="47" t="inlineStr">
        <is>
          <t>[S] 데이터 10GB+</t>
        </is>
      </c>
      <c r="C1635" s="47" t="inlineStr">
        <is>
          <t>무제한</t>
        </is>
      </c>
      <c r="D1635" s="47" t="inlineStr">
        <is>
          <t>무제한</t>
        </is>
      </c>
      <c r="E1635" s="47" t="inlineStr">
        <is>
          <t>월 10GB + 1Mbps</t>
        </is>
      </c>
      <c r="F1635" s="47" t="inlineStr">
        <is>
          <t>SKT</t>
        </is>
      </c>
      <c r="G1635" s="47" t="inlineStr">
        <is>
          <t>LTE</t>
        </is>
      </c>
      <c r="H1635" s="48" t="n">
        <v>5000</v>
      </c>
      <c r="I1635" s="48" t="n">
        <v>7</v>
      </c>
      <c r="J1635" s="48" t="n">
        <v>33000</v>
      </c>
      <c r="K1635" s="47">
        <f t="array" ref="K1635">_xlfn.XLOOKUP(1,(참조!$B$2:$B$15=E1635)*(참조!$D$2:$D$15=C1635)*(참조!$E$2:$E$15=D1635),참조!$C$2:$C$15,"")</f>
        <v/>
      </c>
    </row>
    <row r="1636" hidden="1" s="27">
      <c r="A1636" s="47" t="inlineStr">
        <is>
          <t>에이모바일</t>
        </is>
      </c>
      <c r="B1636" s="47" t="inlineStr">
        <is>
          <t>A 올라잇 11GB+ 밀리의서재(+추가 네이버페이 1만x7개월)</t>
        </is>
      </c>
      <c r="C1636" s="47" t="inlineStr">
        <is>
          <t>무제한</t>
        </is>
      </c>
      <c r="D1636" s="47" t="inlineStr">
        <is>
          <t>무제한</t>
        </is>
      </c>
      <c r="E1636" s="47" t="inlineStr">
        <is>
          <t>월 11GB + 매일 2GB + 3Mbps</t>
        </is>
      </c>
      <c r="F1636" s="47" t="inlineStr">
        <is>
          <t>KT</t>
        </is>
      </c>
      <c r="G1636" s="47" t="inlineStr">
        <is>
          <t>LTE</t>
        </is>
      </c>
      <c r="H1636" s="48" t="n">
        <v>17900</v>
      </c>
      <c r="I1636" s="48" t="n">
        <v>7</v>
      </c>
      <c r="J1636" s="48" t="n">
        <v>39600</v>
      </c>
      <c r="K1636" s="47">
        <f t="array" ref="K1636">_xlfn.XLOOKUP(1,(참조!$B$2:$B$15=E1636)*(참조!$D$2:$D$15=C1636)*(참조!$E$2:$E$15=D1636),참조!$C$2:$C$15,"")</f>
        <v/>
      </c>
    </row>
    <row r="1637" hidden="1" s="27">
      <c r="A1637" s="47" t="inlineStr">
        <is>
          <t>아이즈모바일</t>
        </is>
      </c>
      <c r="B1637" s="47" t="inlineStr">
        <is>
          <t>세이브머니유심(기본제공/5GB+)</t>
        </is>
      </c>
      <c r="C1637" s="47" t="inlineStr">
        <is>
          <t>무제한</t>
        </is>
      </c>
      <c r="D1637" s="47" t="inlineStr">
        <is>
          <t>무제한</t>
        </is>
      </c>
      <c r="E1637" s="47" t="inlineStr">
        <is>
          <t>월 5GB + 1Mbps</t>
        </is>
      </c>
      <c r="F1637" s="47" t="inlineStr">
        <is>
          <t>LG U+</t>
        </is>
      </c>
      <c r="G1637" s="47" t="inlineStr">
        <is>
          <t>LTE</t>
        </is>
      </c>
      <c r="H1637" s="48" t="n">
        <v>7900</v>
      </c>
      <c r="I1637" s="48" t="n"/>
      <c r="J1637" s="48" t="n"/>
      <c r="K1637" s="47">
        <f t="array" ref="K1637">_xlfn.XLOOKUP(1,(참조!$B$2:$B$15=E1637)*(참조!$D$2:$D$15=C1637)*(참조!$E$2:$E$15=D1637),참조!$C$2:$C$15,"")</f>
        <v/>
      </c>
    </row>
    <row r="1638" hidden="1" s="27">
      <c r="A1638" s="47" t="inlineStr">
        <is>
          <t>U+유모바일</t>
        </is>
      </c>
      <c r="B1638" s="47" t="inlineStr">
        <is>
          <t>빽다방 100잔 5G 5GB</t>
        </is>
      </c>
      <c r="C1638" s="47" t="inlineStr">
        <is>
          <t>무제한</t>
        </is>
      </c>
      <c r="D1638" s="47" t="inlineStr">
        <is>
          <t>무제한</t>
        </is>
      </c>
      <c r="E1638" s="47" t="inlineStr">
        <is>
          <t>월 5GB</t>
        </is>
      </c>
      <c r="F1638" s="47" t="inlineStr">
        <is>
          <t>LG U+</t>
        </is>
      </c>
      <c r="G1638" s="47" t="inlineStr">
        <is>
          <t>5G</t>
        </is>
      </c>
      <c r="H1638" s="48" t="n">
        <v>12400</v>
      </c>
      <c r="I1638" s="48" t="n"/>
      <c r="J1638" s="48" t="n"/>
      <c r="K1638" s="47">
        <f t="array" ref="K1638">_xlfn.XLOOKUP(1,(참조!$B$2:$B$15=E1638)*(참조!$D$2:$D$15=C1638)*(참조!$E$2:$E$15=D1638),참조!$C$2:$C$15,"")</f>
        <v/>
      </c>
    </row>
    <row r="1639" hidden="1" s="27">
      <c r="A1639" s="47" t="inlineStr">
        <is>
          <t>리브모바일</t>
        </is>
      </c>
      <c r="B1639" s="47" t="inlineStr">
        <is>
          <t>LTE 실속 15GB+(100분) / 11월에 개통하면 최대 11.9만원 혜택</t>
        </is>
      </c>
      <c r="C1639" s="47" t="inlineStr">
        <is>
          <t>100분</t>
        </is>
      </c>
      <c r="D1639" s="47" t="inlineStr">
        <is>
          <t>100건</t>
        </is>
      </c>
      <c r="E1639" s="47" t="inlineStr">
        <is>
          <t>월 15GB + 3Mbps</t>
        </is>
      </c>
      <c r="F1639" s="47" t="inlineStr">
        <is>
          <t>KT</t>
        </is>
      </c>
      <c r="G1639" s="47" t="inlineStr">
        <is>
          <t>LTE</t>
        </is>
      </c>
      <c r="H1639" s="48" t="n">
        <v>24100</v>
      </c>
      <c r="I1639" s="48" t="n">
        <v>12</v>
      </c>
      <c r="J1639" s="48" t="n">
        <v>28500</v>
      </c>
      <c r="K1639" s="47">
        <f t="array" ref="K1639">_xlfn.XLOOKUP(1,(참조!$B$2:$B$15=E1639)*(참조!$D$2:$D$15=C1639)*(참조!$E$2:$E$15=D1639),참조!$C$2:$C$15,"")</f>
        <v/>
      </c>
    </row>
    <row r="1640" hidden="1" s="27">
      <c r="A1640" s="47" t="inlineStr">
        <is>
          <t>티플러스</t>
        </is>
      </c>
      <c r="B1640" s="47" t="inlineStr">
        <is>
          <t>KT 10GB+ (밀리의서재+올리브영 매월 5천원 상품권!)</t>
        </is>
      </c>
      <c r="C1640" s="47" t="inlineStr">
        <is>
          <t>무제한</t>
        </is>
      </c>
      <c r="D1640" s="47" t="inlineStr">
        <is>
          <t>무제한</t>
        </is>
      </c>
      <c r="E1640" s="47" t="inlineStr">
        <is>
          <t>월 10GB + 1Mbps</t>
        </is>
      </c>
      <c r="F1640" s="47" t="inlineStr">
        <is>
          <t>KT</t>
        </is>
      </c>
      <c r="G1640" s="47" t="inlineStr">
        <is>
          <t>LTE</t>
        </is>
      </c>
      <c r="H1640" s="48" t="n">
        <v>10900</v>
      </c>
      <c r="I1640" s="48" t="n">
        <v>7</v>
      </c>
      <c r="J1640" s="48" t="n">
        <v>27500</v>
      </c>
      <c r="K1640" s="47">
        <f t="array" ref="K1640">_xlfn.XLOOKUP(1,(참조!$B$2:$B$15=E1640)*(참조!$D$2:$D$15=C1640)*(참조!$E$2:$E$15=D1640),참조!$C$2:$C$15,"")</f>
        <v/>
      </c>
    </row>
    <row r="1641" hidden="1" s="27">
      <c r="A1641" s="47" t="inlineStr">
        <is>
          <t>아이즈모바일</t>
        </is>
      </c>
      <c r="B1641" s="47" t="inlineStr">
        <is>
          <t>[K]올리브영 100GB+</t>
        </is>
      </c>
      <c r="C1641" s="47" t="inlineStr">
        <is>
          <t>무제한</t>
        </is>
      </c>
      <c r="D1641" s="47" t="inlineStr">
        <is>
          <t>무제한</t>
        </is>
      </c>
      <c r="E1641" s="47" t="inlineStr">
        <is>
          <t>월 100GB + 5Mbps</t>
        </is>
      </c>
      <c r="F1641" s="47" t="inlineStr">
        <is>
          <t>KT</t>
        </is>
      </c>
      <c r="G1641" s="47" t="inlineStr">
        <is>
          <t>LTE</t>
        </is>
      </c>
      <c r="H1641" s="48" t="n">
        <v>20000</v>
      </c>
      <c r="I1641" s="48" t="n">
        <v>7</v>
      </c>
      <c r="J1641" s="48" t="n">
        <v>53900</v>
      </c>
      <c r="K1641" s="47">
        <f t="array" ref="K1641">_xlfn.XLOOKUP(1,(참조!$B$2:$B$15=E1641)*(참조!$D$2:$D$15=C1641)*(참조!$E$2:$E$15=D1641),참조!$C$2:$C$15,"")</f>
        <v/>
      </c>
    </row>
    <row r="1642" hidden="1" s="27">
      <c r="A1642" s="47" t="inlineStr">
        <is>
          <t>이야기모바일</t>
        </is>
      </c>
      <c r="B1642" s="47" t="inlineStr">
        <is>
          <t>이야기 스탠다드S 300분15GB+</t>
        </is>
      </c>
      <c r="C1642" s="47" t="inlineStr">
        <is>
          <t>300분</t>
        </is>
      </c>
      <c r="D1642" s="47" t="inlineStr">
        <is>
          <t>300건</t>
        </is>
      </c>
      <c r="E1642" s="47" t="inlineStr">
        <is>
          <t>월 15GB + 3Mbps</t>
        </is>
      </c>
      <c r="F1642" s="47" t="inlineStr">
        <is>
          <t>SKT</t>
        </is>
      </c>
      <c r="G1642" s="47" t="inlineStr">
        <is>
          <t>LTE</t>
        </is>
      </c>
      <c r="H1642" s="48" t="n">
        <v>19000</v>
      </c>
      <c r="I1642" s="48" t="n">
        <v>7</v>
      </c>
      <c r="J1642" s="48" t="n">
        <v>36300</v>
      </c>
      <c r="K1642" s="47">
        <f t="array" ref="K1642">_xlfn.XLOOKUP(1,(참조!$B$2:$B$15=E1642)*(참조!$D$2:$D$15=C1642)*(참조!$E$2:$E$15=D1642),참조!$C$2:$C$15,"")</f>
        <v/>
      </c>
    </row>
    <row r="1643" hidden="1" s="27">
      <c r="A1643" s="47" t="inlineStr">
        <is>
          <t>스마텔</t>
        </is>
      </c>
      <c r="B1643" s="47" t="inlineStr">
        <is>
          <t>후후 심플 (100분 + 3GB)</t>
        </is>
      </c>
      <c r="C1643" s="47" t="inlineStr">
        <is>
          <t>100분</t>
        </is>
      </c>
      <c r="D1643" s="47" t="inlineStr">
        <is>
          <t>100건</t>
        </is>
      </c>
      <c r="E1643" s="47" t="inlineStr">
        <is>
          <t>월 3GB</t>
        </is>
      </c>
      <c r="F1643" s="47" t="inlineStr">
        <is>
          <t>LG U+</t>
        </is>
      </c>
      <c r="G1643" s="47" t="inlineStr">
        <is>
          <t>LTE</t>
        </is>
      </c>
      <c r="H1643" s="48" t="n">
        <v>2230</v>
      </c>
      <c r="I1643" s="48" t="n">
        <v>6</v>
      </c>
      <c r="J1643" s="48" t="n">
        <v>5830</v>
      </c>
      <c r="K1643" s="47">
        <f t="array" ref="K1643">_xlfn.XLOOKUP(1,(참조!$B$2:$B$15=E1643)*(참조!$D$2:$D$15=C1643)*(참조!$E$2:$E$15=D1643),참조!$C$2:$C$15,"")</f>
        <v/>
      </c>
    </row>
    <row r="1644" hidden="1" s="27">
      <c r="A1644" s="47" t="inlineStr">
        <is>
          <t>스마텔</t>
        </is>
      </c>
      <c r="B1644" s="47" t="inlineStr">
        <is>
          <t>후후 심플 (100분 + 2.2GB)</t>
        </is>
      </c>
      <c r="C1644" s="47" t="inlineStr">
        <is>
          <t>100분</t>
        </is>
      </c>
      <c r="D1644" s="47" t="inlineStr">
        <is>
          <t>100건</t>
        </is>
      </c>
      <c r="E1644" s="47" t="inlineStr">
        <is>
          <t>월 2.2GB</t>
        </is>
      </c>
      <c r="F1644" s="47" t="inlineStr">
        <is>
          <t>LG U+</t>
        </is>
      </c>
      <c r="G1644" s="47" t="inlineStr">
        <is>
          <t>LTE</t>
        </is>
      </c>
      <c r="H1644" s="48" t="n">
        <v>2230</v>
      </c>
      <c r="I1644" s="48" t="n">
        <v>6</v>
      </c>
      <c r="J1644" s="48" t="n">
        <v>4730</v>
      </c>
      <c r="K1644" s="47">
        <f t="array" ref="K1644">_xlfn.XLOOKUP(1,(참조!$B$2:$B$15=E1644)*(참조!$D$2:$D$15=C1644)*(참조!$E$2:$E$15=D1644),참조!$C$2:$C$15,"")</f>
        <v/>
      </c>
    </row>
    <row r="1645" hidden="1" s="27">
      <c r="A1645" s="47" t="inlineStr">
        <is>
          <t>스마텔</t>
        </is>
      </c>
      <c r="B1645" s="47" t="inlineStr">
        <is>
          <t>후후 심플 (200분 + 1.5GB)</t>
        </is>
      </c>
      <c r="C1645" s="47" t="inlineStr">
        <is>
          <t>200분</t>
        </is>
      </c>
      <c r="D1645" s="47" t="inlineStr">
        <is>
          <t>100건</t>
        </is>
      </c>
      <c r="E1645" s="47" t="inlineStr">
        <is>
          <t>월 1.5GB</t>
        </is>
      </c>
      <c r="F1645" s="47" t="inlineStr">
        <is>
          <t>LG U+</t>
        </is>
      </c>
      <c r="G1645" s="47" t="inlineStr">
        <is>
          <t>LTE</t>
        </is>
      </c>
      <c r="H1645" s="48" t="n">
        <v>2230</v>
      </c>
      <c r="I1645" s="48" t="n">
        <v>6</v>
      </c>
      <c r="J1645" s="48" t="n">
        <v>4730</v>
      </c>
      <c r="K1645" s="47">
        <f t="array" ref="K1645">_xlfn.XLOOKUP(1,(참조!$B$2:$B$15=E1645)*(참조!$D$2:$D$15=C1645)*(참조!$E$2:$E$15=D1645),참조!$C$2:$C$15,"")</f>
        <v/>
      </c>
    </row>
    <row r="1646" hidden="1" s="27">
      <c r="A1646" s="47" t="inlineStr">
        <is>
          <t>스마텔</t>
        </is>
      </c>
      <c r="B1646" s="47" t="inlineStr">
        <is>
          <t>후후 심플 (500분 + 1GB)</t>
        </is>
      </c>
      <c r="C1646" s="47" t="inlineStr">
        <is>
          <t>500분</t>
        </is>
      </c>
      <c r="D1646" s="47" t="inlineStr">
        <is>
          <t>100건</t>
        </is>
      </c>
      <c r="E1646" s="47" t="inlineStr">
        <is>
          <t>월 1GB</t>
        </is>
      </c>
      <c r="F1646" s="47" t="inlineStr">
        <is>
          <t>LG U+</t>
        </is>
      </c>
      <c r="G1646" s="47" t="inlineStr">
        <is>
          <t>LTE</t>
        </is>
      </c>
      <c r="H1646" s="48" t="n">
        <v>2230</v>
      </c>
      <c r="I1646" s="48" t="n">
        <v>6</v>
      </c>
      <c r="J1646" s="48" t="n">
        <v>6930</v>
      </c>
      <c r="K1646" s="47">
        <f t="array" ref="K1646">_xlfn.XLOOKUP(1,(참조!$B$2:$B$15=E1646)*(참조!$D$2:$D$15=C1646)*(참조!$E$2:$E$15=D1646),참조!$C$2:$C$15,"")</f>
        <v/>
      </c>
    </row>
    <row r="1647" hidden="1" s="27">
      <c r="A1647" s="47" t="inlineStr">
        <is>
          <t>핀다이렉트</t>
        </is>
      </c>
      <c r="B1647" s="47" t="inlineStr">
        <is>
          <t>[모요only] [K] 핀다이렉트Z 7GB+(네이버페이) _PIN</t>
        </is>
      </c>
      <c r="C1647" s="47" t="inlineStr">
        <is>
          <t>무제한</t>
        </is>
      </c>
      <c r="D1647" s="47" t="inlineStr">
        <is>
          <t>무제한</t>
        </is>
      </c>
      <c r="E1647" s="47" t="inlineStr">
        <is>
          <t>월 7GB + 1Mbps</t>
        </is>
      </c>
      <c r="F1647" s="47" t="inlineStr">
        <is>
          <t>KT</t>
        </is>
      </c>
      <c r="G1647" s="47" t="inlineStr">
        <is>
          <t>LTE</t>
        </is>
      </c>
      <c r="H1647" s="48" t="n">
        <v>12000</v>
      </c>
      <c r="I1647" s="48" t="n">
        <v>7</v>
      </c>
      <c r="J1647" s="48" t="n">
        <v>26400</v>
      </c>
      <c r="K1647" s="47">
        <f t="array" ref="K1647">_xlfn.XLOOKUP(1,(참조!$B$2:$B$15=E1647)*(참조!$D$2:$D$15=C1647)*(참조!$E$2:$E$15=D1647),참조!$C$2:$C$15,"")</f>
        <v/>
      </c>
    </row>
    <row r="1648" hidden="1" s="27">
      <c r="A1648" s="47" t="inlineStr">
        <is>
          <t>고고모바일</t>
        </is>
      </c>
      <c r="B1648" s="47" t="inlineStr">
        <is>
          <t>무제한 10GB+1M(다이소 매월 5000원)</t>
        </is>
      </c>
      <c r="C1648" s="47" t="inlineStr">
        <is>
          <t>무제한</t>
        </is>
      </c>
      <c r="D1648" s="47" t="inlineStr">
        <is>
          <t>무제한</t>
        </is>
      </c>
      <c r="E1648" s="47" t="inlineStr">
        <is>
          <t>월 10GB + 1Mbps</t>
        </is>
      </c>
      <c r="F1648" s="47" t="inlineStr">
        <is>
          <t>KT</t>
        </is>
      </c>
      <c r="G1648" s="47" t="inlineStr">
        <is>
          <t>LTE</t>
        </is>
      </c>
      <c r="H1648" s="48" t="n">
        <v>24090</v>
      </c>
      <c r="I1648" s="48" t="n"/>
      <c r="J1648" s="48" t="n"/>
      <c r="K1648" s="47">
        <f t="array" ref="K1648">_xlfn.XLOOKUP(1,(참조!$B$2:$B$15=E1648)*(참조!$D$2:$D$15=C1648)*(참조!$E$2:$E$15=D1648),참조!$C$2:$C$15,"")</f>
        <v/>
      </c>
    </row>
    <row r="1649" hidden="1" s="27">
      <c r="A1649" s="47" t="inlineStr">
        <is>
          <t>스마텔</t>
        </is>
      </c>
      <c r="B1649" s="47" t="inlineStr">
        <is>
          <t>스위트2 15GB+(지니뮤직)</t>
        </is>
      </c>
      <c r="C1649" s="47" t="inlineStr">
        <is>
          <t>300분</t>
        </is>
      </c>
      <c r="D1649" s="47" t="inlineStr">
        <is>
          <t>300건</t>
        </is>
      </c>
      <c r="E1649" s="47" t="inlineStr">
        <is>
          <t>월 15GB + 3Mbps</t>
        </is>
      </c>
      <c r="F1649" s="47" t="inlineStr">
        <is>
          <t>KT</t>
        </is>
      </c>
      <c r="G1649" s="47" t="inlineStr">
        <is>
          <t>LTE</t>
        </is>
      </c>
      <c r="H1649" s="48" t="n">
        <v>33000</v>
      </c>
      <c r="I1649" s="48" t="n">
        <v>36</v>
      </c>
      <c r="J1649" s="48" t="n">
        <v>38500</v>
      </c>
      <c r="K1649" s="47">
        <f t="array" ref="K1649">_xlfn.XLOOKUP(1,(참조!$B$2:$B$15=E1649)*(참조!$D$2:$D$15=C1649)*(참조!$E$2:$E$15=D1649),참조!$C$2:$C$15,"")</f>
        <v/>
      </c>
    </row>
    <row r="1650" hidden="1" s="27">
      <c r="A1650" s="47" t="inlineStr">
        <is>
          <t>고고모바일</t>
        </is>
      </c>
      <c r="B1650" s="47" t="inlineStr">
        <is>
          <t>무제한 10GB+1M(올리브영 매월 5000원)</t>
        </is>
      </c>
      <c r="C1650" s="47" t="inlineStr">
        <is>
          <t>무제한</t>
        </is>
      </c>
      <c r="D1650" s="47" t="inlineStr">
        <is>
          <t>무제한</t>
        </is>
      </c>
      <c r="E1650" s="47" t="inlineStr">
        <is>
          <t>월 10GB + 1Mbps</t>
        </is>
      </c>
      <c r="F1650" s="47" t="inlineStr">
        <is>
          <t>KT</t>
        </is>
      </c>
      <c r="G1650" s="47" t="inlineStr">
        <is>
          <t>LTE</t>
        </is>
      </c>
      <c r="H1650" s="48" t="n">
        <v>24090</v>
      </c>
      <c r="I1650" s="48" t="n"/>
      <c r="J1650" s="48" t="n"/>
      <c r="K1650" s="47">
        <f t="array" ref="K1650">_xlfn.XLOOKUP(1,(참조!$B$2:$B$15=E1650)*(참조!$D$2:$D$15=C1650)*(참조!$E$2:$E$15=D1650),참조!$C$2:$C$15,"")</f>
        <v/>
      </c>
    </row>
    <row r="1651" hidden="1" s="27">
      <c r="A1651" s="47" t="inlineStr">
        <is>
          <t>아이즈모바일</t>
        </is>
      </c>
      <c r="B1651" s="47" t="inlineStr">
        <is>
          <t>[K]톨(100분/3GB)</t>
        </is>
      </c>
      <c r="C1651" s="47" t="inlineStr">
        <is>
          <t>100분</t>
        </is>
      </c>
      <c r="D1651" s="47" t="inlineStr">
        <is>
          <t>100건</t>
        </is>
      </c>
      <c r="E1651" s="47" t="inlineStr">
        <is>
          <t>월 3GB</t>
        </is>
      </c>
      <c r="F1651" s="47" t="inlineStr">
        <is>
          <t>KT</t>
        </is>
      </c>
      <c r="G1651" s="47" t="inlineStr">
        <is>
          <t>LTE</t>
        </is>
      </c>
      <c r="H1651" s="48" t="n">
        <v>4430</v>
      </c>
      <c r="I1651" s="48" t="n"/>
      <c r="J1651" s="48" t="n"/>
      <c r="K1651" s="47">
        <f t="array" ref="K1651">_xlfn.XLOOKUP(1,(참조!$B$2:$B$15=E1651)*(참조!$D$2:$D$15=C1651)*(참조!$E$2:$E$15=D1651),참조!$C$2:$C$15,"")</f>
        <v/>
      </c>
    </row>
    <row r="1652" hidden="1" s="27">
      <c r="A1652" s="47" t="inlineStr">
        <is>
          <t>아이즈모바일</t>
        </is>
      </c>
      <c r="B1652" s="47" t="inlineStr">
        <is>
          <t>세이브머니유심(200분/5GB+)</t>
        </is>
      </c>
      <c r="C1652" s="47" t="inlineStr">
        <is>
          <t>200분</t>
        </is>
      </c>
      <c r="D1652" s="47" t="inlineStr">
        <is>
          <t>100건</t>
        </is>
      </c>
      <c r="E1652" s="47" t="inlineStr">
        <is>
          <t>월 5GB + 1Mbps</t>
        </is>
      </c>
      <c r="F1652" s="47" t="inlineStr">
        <is>
          <t>LG U+</t>
        </is>
      </c>
      <c r="G1652" s="47" t="inlineStr">
        <is>
          <t>LTE</t>
        </is>
      </c>
      <c r="H1652" s="48" t="n">
        <v>5500</v>
      </c>
      <c r="I1652" s="48" t="n"/>
      <c r="J1652" s="48" t="n"/>
      <c r="K1652" s="47">
        <f t="array" ref="K1652">_xlfn.XLOOKUP(1,(참조!$B$2:$B$15=E1652)*(참조!$D$2:$D$15=C1652)*(참조!$E$2:$E$15=D1652),참조!$C$2:$C$15,"")</f>
        <v/>
      </c>
    </row>
    <row r="1653" hidden="1" s="27">
      <c r="A1653" s="47" t="inlineStr">
        <is>
          <t>리브모바일</t>
        </is>
      </c>
      <c r="B1653" s="47" t="inlineStr">
        <is>
          <t>LTE 15GB+(300분/300건)</t>
        </is>
      </c>
      <c r="C1653" s="47" t="inlineStr">
        <is>
          <t>300분</t>
        </is>
      </c>
      <c r="D1653" s="47" t="inlineStr">
        <is>
          <t>300건</t>
        </is>
      </c>
      <c r="E1653" s="47" t="inlineStr">
        <is>
          <t>월 15GB + 3Mbps</t>
        </is>
      </c>
      <c r="F1653" s="47" t="inlineStr">
        <is>
          <t>LG U+</t>
        </is>
      </c>
      <c r="G1653" s="47" t="inlineStr">
        <is>
          <t>LTE</t>
        </is>
      </c>
      <c r="H1653" s="48" t="n">
        <v>24500</v>
      </c>
      <c r="I1653" s="48" t="n">
        <v>12</v>
      </c>
      <c r="J1653" s="48" t="n">
        <v>28900</v>
      </c>
      <c r="K1653" s="47">
        <f t="array" ref="K1653">_xlfn.XLOOKUP(1,(참조!$B$2:$B$15=E1653)*(참조!$D$2:$D$15=C1653)*(참조!$E$2:$E$15=D1653),참조!$C$2:$C$15,"")</f>
        <v/>
      </c>
    </row>
    <row r="1654" hidden="1" s="27">
      <c r="A1654" s="47" t="inlineStr">
        <is>
          <t>모빙</t>
        </is>
      </c>
      <c r="B1654" s="47" t="inlineStr">
        <is>
          <t>[S] 데이터 3GB</t>
        </is>
      </c>
      <c r="C1654" s="47" t="inlineStr">
        <is>
          <t>무제한</t>
        </is>
      </c>
      <c r="D1654" s="47" t="inlineStr">
        <is>
          <t>100건</t>
        </is>
      </c>
      <c r="E1654" s="47" t="inlineStr">
        <is>
          <t>월 3GB</t>
        </is>
      </c>
      <c r="F1654" s="47" t="inlineStr">
        <is>
          <t>SKT</t>
        </is>
      </c>
      <c r="G1654" s="47" t="inlineStr">
        <is>
          <t>LTE</t>
        </is>
      </c>
      <c r="H1654" s="48" t="n">
        <v>3800</v>
      </c>
      <c r="I1654" s="48" t="n"/>
      <c r="J1654" s="48" t="n"/>
      <c r="K1654" s="47">
        <f t="array" ref="K1654">_xlfn.XLOOKUP(1,(참조!$B$2:$B$15=E1654)*(참조!$D$2:$D$15=C1654)*(참조!$E$2:$E$15=D1654),참조!$C$2:$C$15,"")</f>
        <v/>
      </c>
    </row>
    <row r="1655" hidden="1" s="27">
      <c r="A1655" s="47" t="inlineStr">
        <is>
          <t>고고모바일</t>
        </is>
      </c>
      <c r="B1655" s="47" t="inlineStr">
        <is>
          <t>5G무제한 50GB+1Mbps</t>
        </is>
      </c>
      <c r="C1655" s="47" t="inlineStr">
        <is>
          <t>무제한</t>
        </is>
      </c>
      <c r="D1655" s="47" t="inlineStr">
        <is>
          <t>무제한</t>
        </is>
      </c>
      <c r="E1655" s="47" t="inlineStr">
        <is>
          <t>월 50GB + 1Mbps</t>
        </is>
      </c>
      <c r="F1655" s="47" t="inlineStr">
        <is>
          <t>KT</t>
        </is>
      </c>
      <c r="G1655" s="47" t="inlineStr">
        <is>
          <t>5G</t>
        </is>
      </c>
      <c r="H1655" s="48" t="n">
        <v>41580</v>
      </c>
      <c r="I1655" s="48" t="n"/>
      <c r="J1655" s="48" t="n"/>
      <c r="K1655" s="47">
        <f t="array" ref="K1655">_xlfn.XLOOKUP(1,(참조!$B$2:$B$15=E1655)*(참조!$D$2:$D$15=C1655)*(참조!$E$2:$E$15=D1655),참조!$C$2:$C$15,"")</f>
        <v/>
      </c>
    </row>
    <row r="1656" hidden="1" s="27">
      <c r="A1656" s="47" t="inlineStr">
        <is>
          <t>이야기모바일</t>
        </is>
      </c>
      <c r="B1656" s="47" t="inlineStr">
        <is>
          <t>내맘대로 차단형 (200분+500MB)</t>
        </is>
      </c>
      <c r="C1656" s="47" t="inlineStr">
        <is>
          <t>200분</t>
        </is>
      </c>
      <c r="D1656" s="47" t="inlineStr">
        <is>
          <t>50건</t>
        </is>
      </c>
      <c r="E1656" s="47" t="inlineStr">
        <is>
          <t>월 500MB</t>
        </is>
      </c>
      <c r="F1656" s="47" t="inlineStr">
        <is>
          <t>LG U+</t>
        </is>
      </c>
      <c r="G1656" s="47" t="inlineStr">
        <is>
          <t>LTE</t>
        </is>
      </c>
      <c r="H1656" s="48" t="n">
        <v>8580</v>
      </c>
      <c r="I1656" s="48" t="n"/>
      <c r="J1656" s="48" t="n"/>
      <c r="K1656" s="47">
        <f t="array" ref="K1656">_xlfn.XLOOKUP(1,(참조!$B$2:$B$15=E1656)*(참조!$D$2:$D$15=C1656)*(참조!$E$2:$E$15=D1656),참조!$C$2:$C$15,"")</f>
        <v/>
      </c>
    </row>
    <row r="1657" hidden="1" s="27">
      <c r="A1657" s="47" t="inlineStr">
        <is>
          <t>에이모바일</t>
        </is>
      </c>
      <c r="B1657" s="47" t="inlineStr">
        <is>
          <t>A 넥스트 15GB+/100분(네이버페이 1만x7개월)</t>
        </is>
      </c>
      <c r="C1657" s="47" t="inlineStr">
        <is>
          <t>100분</t>
        </is>
      </c>
      <c r="D1657" s="47" t="inlineStr">
        <is>
          <t>100건</t>
        </is>
      </c>
      <c r="E1657" s="47" t="inlineStr">
        <is>
          <t>월 15GB + 3Mbps</t>
        </is>
      </c>
      <c r="F1657" s="47" t="inlineStr">
        <is>
          <t>SKT</t>
        </is>
      </c>
      <c r="G1657" s="47" t="inlineStr">
        <is>
          <t>LTE</t>
        </is>
      </c>
      <c r="H1657" s="48" t="n">
        <v>14000</v>
      </c>
      <c r="I1657" s="48" t="n">
        <v>7</v>
      </c>
      <c r="J1657" s="48" t="n">
        <v>26400</v>
      </c>
      <c r="K1657" s="47">
        <f t="array" ref="K1657">_xlfn.XLOOKUP(1,(참조!$B$2:$B$15=E1657)*(참조!$D$2:$D$15=C1657)*(참조!$E$2:$E$15=D1657),참조!$C$2:$C$15,"")</f>
        <v/>
      </c>
    </row>
    <row r="1658" hidden="1" s="27">
      <c r="A1658" s="47" t="inlineStr">
        <is>
          <t>모빙</t>
        </is>
      </c>
      <c r="B1658" s="47" t="inlineStr">
        <is>
          <t>[S] 컬쳐랜드 11GB+</t>
        </is>
      </c>
      <c r="C1658" s="47" t="inlineStr">
        <is>
          <t>무제한</t>
        </is>
      </c>
      <c r="D1658" s="47" t="inlineStr">
        <is>
          <t>무제한</t>
        </is>
      </c>
      <c r="E1658" s="47" t="inlineStr">
        <is>
          <t>월 11GB + 매일 2GB + 3Mbps</t>
        </is>
      </c>
      <c r="F1658" s="47" t="inlineStr">
        <is>
          <t>SKT</t>
        </is>
      </c>
      <c r="G1658" s="47" t="inlineStr">
        <is>
          <t>LTE</t>
        </is>
      </c>
      <c r="H1658" s="48" t="n">
        <v>18000</v>
      </c>
      <c r="I1658" s="48" t="n">
        <v>7</v>
      </c>
      <c r="J1658" s="48" t="n">
        <v>55000</v>
      </c>
      <c r="K1658" s="47">
        <f t="array" ref="K1658">_xlfn.XLOOKUP(1,(참조!$B$2:$B$15=E1658)*(참조!$D$2:$D$15=C1658)*(참조!$E$2:$E$15=D1658),참조!$C$2:$C$15,"")</f>
        <v/>
      </c>
    </row>
    <row r="1659" hidden="1" s="27">
      <c r="A1659" s="47" t="inlineStr">
        <is>
          <t>이야기모바일</t>
        </is>
      </c>
      <c r="B1659" s="47" t="inlineStr">
        <is>
          <t>내맘대로 차단형 (300분+0MB)</t>
        </is>
      </c>
      <c r="C1659" s="47" t="inlineStr">
        <is>
          <t>300분</t>
        </is>
      </c>
      <c r="D1659" s="47" t="inlineStr">
        <is>
          <t>50건</t>
        </is>
      </c>
      <c r="E1659" s="47" t="inlineStr">
        <is>
          <t>데이터 제공안함</t>
        </is>
      </c>
      <c r="F1659" s="47" t="inlineStr">
        <is>
          <t>LG U+</t>
        </is>
      </c>
      <c r="G1659" s="47" t="inlineStr">
        <is>
          <t>LTE</t>
        </is>
      </c>
      <c r="H1659" s="48" t="n">
        <v>8800</v>
      </c>
      <c r="I1659" s="48" t="n"/>
      <c r="J1659" s="48" t="n"/>
      <c r="K1659" s="47">
        <f t="array" ref="K1659">_xlfn.XLOOKUP(1,(참조!$B$2:$B$15=E1659)*(참조!$D$2:$D$15=C1659)*(참조!$E$2:$E$15=D1659),참조!$C$2:$C$15,"")</f>
        <v/>
      </c>
    </row>
    <row r="1660" hidden="1" s="27">
      <c r="A1660" s="47" t="inlineStr">
        <is>
          <t>이야기모바일</t>
        </is>
      </c>
      <c r="B1660" s="47" t="inlineStr">
        <is>
          <t>이야기 무한 10GB+</t>
        </is>
      </c>
      <c r="C1660" s="47" t="inlineStr">
        <is>
          <t>무제한</t>
        </is>
      </c>
      <c r="D1660" s="47" t="inlineStr">
        <is>
          <t>무제한</t>
        </is>
      </c>
      <c r="E1660" s="47" t="inlineStr">
        <is>
          <t>월 10GB + 1Mbps</t>
        </is>
      </c>
      <c r="F1660" s="47" t="inlineStr">
        <is>
          <t>SKT</t>
        </is>
      </c>
      <c r="G1660" s="47" t="inlineStr">
        <is>
          <t>LTE</t>
        </is>
      </c>
      <c r="H1660" s="48" t="n">
        <v>14000</v>
      </c>
      <c r="I1660" s="48" t="n">
        <v>7</v>
      </c>
      <c r="J1660" s="48" t="n">
        <v>37400</v>
      </c>
      <c r="K1660" s="47">
        <f t="array" ref="K1660">_xlfn.XLOOKUP(1,(참조!$B$2:$B$15=E1660)*(참조!$D$2:$D$15=C1660)*(참조!$E$2:$E$15=D1660),참조!$C$2:$C$15,"")</f>
        <v/>
      </c>
    </row>
    <row r="1661" hidden="1" s="27">
      <c r="A1661" s="47" t="inlineStr">
        <is>
          <t>이지모바일</t>
        </is>
      </c>
      <c r="B1661" s="47" t="inlineStr">
        <is>
          <t>이지 무한 10G+1</t>
        </is>
      </c>
      <c r="C1661" s="47" t="inlineStr">
        <is>
          <t>무제한</t>
        </is>
      </c>
      <c r="D1661" s="47" t="inlineStr">
        <is>
          <t>무제한</t>
        </is>
      </c>
      <c r="E1661" s="47" t="inlineStr">
        <is>
          <t>월 10GB + 1Mbps</t>
        </is>
      </c>
      <c r="F1661" s="47" t="inlineStr">
        <is>
          <t>LG U+</t>
        </is>
      </c>
      <c r="G1661" s="47" t="inlineStr">
        <is>
          <t>LTE</t>
        </is>
      </c>
      <c r="H1661" s="48" t="n">
        <v>12700</v>
      </c>
      <c r="I1661" s="48" t="n">
        <v>7</v>
      </c>
      <c r="J1661" s="48" t="n">
        <v>24200</v>
      </c>
      <c r="K1661" s="47">
        <f t="array" ref="K1661">_xlfn.XLOOKUP(1,(참조!$B$2:$B$15=E1661)*(참조!$D$2:$D$15=C1661)*(참조!$E$2:$E$15=D1661),참조!$C$2:$C$15,"")</f>
        <v/>
      </c>
    </row>
    <row r="1662" hidden="1" s="27">
      <c r="A1662" s="47" t="inlineStr">
        <is>
          <t>모빙</t>
        </is>
      </c>
      <c r="B1662" s="47" t="inlineStr">
        <is>
          <t>[K] 데이터 100GB+</t>
        </is>
      </c>
      <c r="C1662" s="47" t="inlineStr">
        <is>
          <t>무제한</t>
        </is>
      </c>
      <c r="D1662" s="47" t="inlineStr">
        <is>
          <t>무제한</t>
        </is>
      </c>
      <c r="E1662" s="47" t="inlineStr">
        <is>
          <t>월 100GB + 5Mbps</t>
        </is>
      </c>
      <c r="F1662" s="47" t="inlineStr">
        <is>
          <t>KT</t>
        </is>
      </c>
      <c r="G1662" s="47" t="inlineStr">
        <is>
          <t>LTE</t>
        </is>
      </c>
      <c r="H1662" s="48" t="n">
        <v>19800</v>
      </c>
      <c r="I1662" s="48" t="n">
        <v>7</v>
      </c>
      <c r="J1662" s="48" t="n">
        <v>50600</v>
      </c>
      <c r="K1662" s="47">
        <f t="array" ref="K1662">_xlfn.XLOOKUP(1,(참조!$B$2:$B$15=E1662)*(참조!$D$2:$D$15=C1662)*(참조!$E$2:$E$15=D1662),참조!$C$2:$C$15,"")</f>
        <v/>
      </c>
    </row>
    <row r="1663" hidden="1" s="27">
      <c r="A1663" s="47" t="inlineStr">
        <is>
          <t>모빙</t>
        </is>
      </c>
      <c r="B1663" s="47" t="inlineStr">
        <is>
          <t>[K] 5G 지니뮤직 110GB+</t>
        </is>
      </c>
      <c r="C1663" s="47" t="inlineStr">
        <is>
          <t>무제한</t>
        </is>
      </c>
      <c r="D1663" s="47" t="inlineStr">
        <is>
          <t>무제한</t>
        </is>
      </c>
      <c r="E1663" s="47" t="inlineStr">
        <is>
          <t>월 110GB + 5Mbps</t>
        </is>
      </c>
      <c r="F1663" s="47" t="inlineStr">
        <is>
          <t>KT</t>
        </is>
      </c>
      <c r="G1663" s="47" t="inlineStr">
        <is>
          <t>5G</t>
        </is>
      </c>
      <c r="H1663" s="48" t="n">
        <v>37400</v>
      </c>
      <c r="I1663" s="48" t="n">
        <v>12</v>
      </c>
      <c r="J1663" s="48" t="n">
        <v>66000</v>
      </c>
      <c r="K1663" s="47">
        <f t="array" ref="K1663">_xlfn.XLOOKUP(1,(참조!$B$2:$B$15=E1663)*(참조!$D$2:$D$15=C1663)*(참조!$E$2:$E$15=D1663),참조!$C$2:$C$15,"")</f>
        <v/>
      </c>
    </row>
    <row r="1664" hidden="1" s="27">
      <c r="A1664" s="47" t="inlineStr">
        <is>
          <t>스마텔</t>
        </is>
      </c>
      <c r="B1664" s="47" t="inlineStr">
        <is>
          <t>후후 스마일 (200분/5GB+)</t>
        </is>
      </c>
      <c r="C1664" s="47" t="inlineStr">
        <is>
          <t>200분</t>
        </is>
      </c>
      <c r="D1664" s="47" t="inlineStr">
        <is>
          <t>100건</t>
        </is>
      </c>
      <c r="E1664" s="47" t="inlineStr">
        <is>
          <t>월 5GB + 1Mbps</t>
        </is>
      </c>
      <c r="F1664" s="47" t="inlineStr">
        <is>
          <t>SKT</t>
        </is>
      </c>
      <c r="G1664" s="47" t="inlineStr">
        <is>
          <t>LTE</t>
        </is>
      </c>
      <c r="H1664" s="48" t="n">
        <v>15400</v>
      </c>
      <c r="I1664" s="48" t="n"/>
      <c r="J1664" s="48" t="n"/>
      <c r="K1664" s="47">
        <f t="array" ref="K1664">_xlfn.XLOOKUP(1,(참조!$B$2:$B$15=E1664)*(참조!$D$2:$D$15=C1664)*(참조!$E$2:$E$15=D1664),참조!$C$2:$C$15,"")</f>
        <v/>
      </c>
    </row>
    <row r="1665" hidden="1" s="27">
      <c r="A1665" s="47" t="inlineStr">
        <is>
          <t>모빙</t>
        </is>
      </c>
      <c r="B1665" s="47" t="inlineStr">
        <is>
          <t>[K] 데이터 일5GB+</t>
        </is>
      </c>
      <c r="C1665" s="47" t="inlineStr">
        <is>
          <t>무제한</t>
        </is>
      </c>
      <c r="D1665" s="47" t="inlineStr">
        <is>
          <t>무제한</t>
        </is>
      </c>
      <c r="E1665" s="47" t="inlineStr">
        <is>
          <t>매일 5GB + 5Mbps</t>
        </is>
      </c>
      <c r="F1665" s="47" t="inlineStr">
        <is>
          <t>KT</t>
        </is>
      </c>
      <c r="G1665" s="47" t="inlineStr">
        <is>
          <t>LTE</t>
        </is>
      </c>
      <c r="H1665" s="48" t="n">
        <v>19800</v>
      </c>
      <c r="I1665" s="48" t="n">
        <v>7</v>
      </c>
      <c r="J1665" s="48" t="n">
        <v>51700</v>
      </c>
      <c r="K1665" s="47">
        <f t="array" ref="K1665">_xlfn.XLOOKUP(1,(참조!$B$2:$B$15=E1665)*(참조!$D$2:$D$15=C1665)*(참조!$E$2:$E$15=D1665),참조!$C$2:$C$15,"")</f>
        <v/>
      </c>
    </row>
    <row r="1666" hidden="1" s="27">
      <c r="A1666" s="47" t="inlineStr">
        <is>
          <t>모빙</t>
        </is>
      </c>
      <c r="B1666" s="47" t="inlineStr">
        <is>
          <t>[K] 모아진 100GB+</t>
        </is>
      </c>
      <c r="C1666" s="47" t="inlineStr">
        <is>
          <t>무제한</t>
        </is>
      </c>
      <c r="D1666" s="47" t="inlineStr">
        <is>
          <t>무제한</t>
        </is>
      </c>
      <c r="E1666" s="47" t="inlineStr">
        <is>
          <t>월 100GB + 5Mbps</t>
        </is>
      </c>
      <c r="F1666" s="47" t="inlineStr">
        <is>
          <t>KT</t>
        </is>
      </c>
      <c r="G1666" s="47" t="inlineStr">
        <is>
          <t>LTE</t>
        </is>
      </c>
      <c r="H1666" s="48" t="n">
        <v>19800</v>
      </c>
      <c r="I1666" s="48" t="n">
        <v>7</v>
      </c>
      <c r="J1666" s="48" t="n">
        <v>57200</v>
      </c>
      <c r="K1666" s="47">
        <f t="array" ref="K1666">_xlfn.XLOOKUP(1,(참조!$B$2:$B$15=E1666)*(참조!$D$2:$D$15=C1666)*(참조!$E$2:$E$15=D1666),참조!$C$2:$C$15,"")</f>
        <v/>
      </c>
    </row>
    <row r="1667" hidden="1" s="27">
      <c r="A1667" s="47" t="inlineStr">
        <is>
          <t>에이모바일</t>
        </is>
      </c>
      <c r="B1667" s="47" t="inlineStr">
        <is>
          <t>A 올라잇 4.5GB/100분</t>
        </is>
      </c>
      <c r="C1667" s="47" t="inlineStr">
        <is>
          <t>100분</t>
        </is>
      </c>
      <c r="D1667" s="47" t="inlineStr">
        <is>
          <t>100건</t>
        </is>
      </c>
      <c r="E1667" s="47" t="inlineStr">
        <is>
          <t>월 4.5GB</t>
        </is>
      </c>
      <c r="F1667" s="47" t="inlineStr">
        <is>
          <t>KT</t>
        </is>
      </c>
      <c r="G1667" s="47" t="inlineStr">
        <is>
          <t>LTE</t>
        </is>
      </c>
      <c r="H1667" s="48" t="n">
        <v>330</v>
      </c>
      <c r="I1667" s="48" t="n">
        <v>7</v>
      </c>
      <c r="J1667" s="48" t="n">
        <v>9350</v>
      </c>
      <c r="K1667" s="47">
        <f t="array" ref="K1667">_xlfn.XLOOKUP(1,(참조!$B$2:$B$15=E1667)*(참조!$D$2:$D$15=C1667)*(참조!$E$2:$E$15=D1667),참조!$C$2:$C$15,"")</f>
        <v/>
      </c>
    </row>
    <row r="1668" hidden="1" s="27">
      <c r="A1668" s="47" t="inlineStr">
        <is>
          <t>모빙</t>
        </is>
      </c>
      <c r="B1668" s="47" t="inlineStr">
        <is>
          <t>[K] 다이소 15GB+</t>
        </is>
      </c>
      <c r="C1668" s="47" t="inlineStr">
        <is>
          <t>무제한</t>
        </is>
      </c>
      <c r="D1668" s="47" t="inlineStr">
        <is>
          <t>무제한</t>
        </is>
      </c>
      <c r="E1668" s="47" t="inlineStr">
        <is>
          <t>월 15GB + 1Mbps</t>
        </is>
      </c>
      <c r="F1668" s="47" t="inlineStr">
        <is>
          <t>KT</t>
        </is>
      </c>
      <c r="G1668" s="47" t="inlineStr">
        <is>
          <t>LTE</t>
        </is>
      </c>
      <c r="H1668" s="48" t="n">
        <v>13200</v>
      </c>
      <c r="I1668" s="48" t="n">
        <v>7</v>
      </c>
      <c r="J1668" s="48" t="n">
        <v>34100</v>
      </c>
      <c r="K1668" s="47">
        <f t="array" ref="K1668">_xlfn.XLOOKUP(1,(참조!$B$2:$B$15=E1668)*(참조!$D$2:$D$15=C1668)*(참조!$E$2:$E$15=D1668),참조!$C$2:$C$15,"")</f>
        <v/>
      </c>
    </row>
    <row r="1669" hidden="1" s="27">
      <c r="A1669" s="47" t="inlineStr">
        <is>
          <t>모빙</t>
        </is>
      </c>
      <c r="B1669" s="47" t="inlineStr">
        <is>
          <t>[K] CU편의점 15GB+</t>
        </is>
      </c>
      <c r="C1669" s="47" t="inlineStr">
        <is>
          <t>무제한</t>
        </is>
      </c>
      <c r="D1669" s="47" t="inlineStr">
        <is>
          <t>무제한</t>
        </is>
      </c>
      <c r="E1669" s="47" t="inlineStr">
        <is>
          <t>월 15GB + 1Mbps</t>
        </is>
      </c>
      <c r="F1669" s="47" t="inlineStr">
        <is>
          <t>KT</t>
        </is>
      </c>
      <c r="G1669" s="47" t="inlineStr">
        <is>
          <t>LTE</t>
        </is>
      </c>
      <c r="H1669" s="48" t="n">
        <v>13200</v>
      </c>
      <c r="I1669" s="48" t="n">
        <v>7</v>
      </c>
      <c r="J1669" s="48" t="n">
        <v>36300</v>
      </c>
      <c r="K1669" s="47">
        <f t="array" ref="K1669">_xlfn.XLOOKUP(1,(참조!$B$2:$B$15=E1669)*(참조!$D$2:$D$15=C1669)*(참조!$E$2:$E$15=D1669),참조!$C$2:$C$15,"")</f>
        <v/>
      </c>
    </row>
    <row r="1670" hidden="1" s="27">
      <c r="A1670" s="47" t="inlineStr">
        <is>
          <t>모빙</t>
        </is>
      </c>
      <c r="B1670" s="47" t="inlineStr">
        <is>
          <t>[K] 밀리의서재 15GB+</t>
        </is>
      </c>
      <c r="C1670" s="47" t="inlineStr">
        <is>
          <t>무제한</t>
        </is>
      </c>
      <c r="D1670" s="47" t="inlineStr">
        <is>
          <t>무제한</t>
        </is>
      </c>
      <c r="E1670" s="47" t="inlineStr">
        <is>
          <t>월 15GB + 1Mbps</t>
        </is>
      </c>
      <c r="F1670" s="47" t="inlineStr">
        <is>
          <t>KT</t>
        </is>
      </c>
      <c r="G1670" s="47" t="inlineStr">
        <is>
          <t>LTE</t>
        </is>
      </c>
      <c r="H1670" s="48" t="n">
        <v>13200</v>
      </c>
      <c r="I1670" s="48" t="n">
        <v>7</v>
      </c>
      <c r="J1670" s="48" t="n">
        <v>31900</v>
      </c>
      <c r="K1670" s="47">
        <f t="array" ref="K1670">_xlfn.XLOOKUP(1,(참조!$B$2:$B$15=E1670)*(참조!$D$2:$D$15=C1670)*(참조!$E$2:$E$15=D1670),참조!$C$2:$C$15,"")</f>
        <v/>
      </c>
    </row>
    <row r="1671" hidden="1" s="27">
      <c r="A1671" s="47" t="inlineStr">
        <is>
          <t>아이즈모바일</t>
        </is>
      </c>
      <c r="B1671" s="47" t="inlineStr">
        <is>
          <t>[S]아이즈팩 7GB+</t>
        </is>
      </c>
      <c r="C1671" s="47" t="inlineStr">
        <is>
          <t>무제한</t>
        </is>
      </c>
      <c r="D1671" s="47" t="inlineStr">
        <is>
          <t>무제한</t>
        </is>
      </c>
      <c r="E1671" s="47" t="inlineStr">
        <is>
          <t>월 7GB + 1Mbps</t>
        </is>
      </c>
      <c r="F1671" s="47" t="inlineStr">
        <is>
          <t>SKT</t>
        </is>
      </c>
      <c r="G1671" s="47" t="inlineStr">
        <is>
          <t>LTE</t>
        </is>
      </c>
      <c r="H1671" s="48" t="n">
        <v>5900</v>
      </c>
      <c r="I1671" s="48" t="n">
        <v>7</v>
      </c>
      <c r="J1671" s="48" t="n">
        <v>27500</v>
      </c>
      <c r="K1671" s="47">
        <f t="array" ref="K1671">_xlfn.XLOOKUP(1,(참조!$B$2:$B$15=E1671)*(참조!$D$2:$D$15=C1671)*(참조!$E$2:$E$15=D1671),참조!$C$2:$C$15,"")</f>
        <v/>
      </c>
    </row>
    <row r="1672" hidden="1" s="27">
      <c r="A1672" s="47" t="inlineStr">
        <is>
          <t>고고모바일</t>
        </is>
      </c>
      <c r="B1672" s="47" t="inlineStr">
        <is>
          <t>5G무제한 30GB+1Mbps</t>
        </is>
      </c>
      <c r="C1672" s="47" t="inlineStr">
        <is>
          <t>무제한</t>
        </is>
      </c>
      <c r="D1672" s="47" t="inlineStr">
        <is>
          <t>무제한</t>
        </is>
      </c>
      <c r="E1672" s="47" t="inlineStr">
        <is>
          <t>월 30GB + 1Mbps</t>
        </is>
      </c>
      <c r="F1672" s="47" t="inlineStr">
        <is>
          <t>KT</t>
        </is>
      </c>
      <c r="G1672" s="47" t="inlineStr">
        <is>
          <t>5G</t>
        </is>
      </c>
      <c r="H1672" s="48" t="n">
        <v>40040</v>
      </c>
      <c r="I1672" s="48" t="n"/>
      <c r="J1672" s="48" t="n"/>
      <c r="K1672" s="47">
        <f t="array" ref="K1672">_xlfn.XLOOKUP(1,(참조!$B$2:$B$15=E1672)*(참조!$D$2:$D$15=C1672)*(참조!$E$2:$E$15=D1672),참조!$C$2:$C$15,"")</f>
        <v/>
      </c>
    </row>
    <row r="1673" hidden="1" s="27">
      <c r="A1673" s="47" t="inlineStr">
        <is>
          <t>아이즈모바일</t>
        </is>
      </c>
      <c r="B1673" s="47" t="inlineStr">
        <is>
          <t>[L]아이즈7GB+</t>
        </is>
      </c>
      <c r="C1673" s="47" t="inlineStr">
        <is>
          <t>무제한</t>
        </is>
      </c>
      <c r="D1673" s="47" t="inlineStr">
        <is>
          <t>무제한</t>
        </is>
      </c>
      <c r="E1673" s="47" t="inlineStr">
        <is>
          <t>월 7GB + 1Mbps</t>
        </is>
      </c>
      <c r="F1673" s="47" t="inlineStr">
        <is>
          <t>LG U+</t>
        </is>
      </c>
      <c r="G1673" s="47" t="inlineStr">
        <is>
          <t>LTE</t>
        </is>
      </c>
      <c r="H1673" s="48" t="n">
        <v>4900</v>
      </c>
      <c r="I1673" s="48" t="n">
        <v>7</v>
      </c>
      <c r="J1673" s="48" t="n">
        <v>27500</v>
      </c>
      <c r="K1673" s="47">
        <f t="array" ref="K1673">_xlfn.XLOOKUP(1,(참조!$B$2:$B$15=E1673)*(참조!$D$2:$D$15=C1673)*(참조!$E$2:$E$15=D1673),참조!$C$2:$C$15,"")</f>
        <v/>
      </c>
    </row>
    <row r="1674" hidden="1" s="27">
      <c r="A1674" s="47" t="inlineStr">
        <is>
          <t>이지모바일</t>
        </is>
      </c>
      <c r="B1674" s="47" t="inlineStr">
        <is>
          <t>EG 무제한 71G+3(멜론)</t>
        </is>
      </c>
      <c r="C1674" s="47" t="inlineStr">
        <is>
          <t>무제한</t>
        </is>
      </c>
      <c r="D1674" s="47" t="inlineStr">
        <is>
          <t>무제한</t>
        </is>
      </c>
      <c r="E1674" s="47" t="inlineStr">
        <is>
          <t>월 11GB + 매일 2GB + 3Mbps</t>
        </is>
      </c>
      <c r="F1674" s="47" t="inlineStr">
        <is>
          <t>KT</t>
        </is>
      </c>
      <c r="G1674" s="47" t="inlineStr">
        <is>
          <t>LTE</t>
        </is>
      </c>
      <c r="H1674" s="48" t="n">
        <v>22100</v>
      </c>
      <c r="I1674" s="48" t="n">
        <v>7</v>
      </c>
      <c r="J1674" s="48" t="n">
        <v>39600</v>
      </c>
      <c r="K1674" s="47">
        <f t="array" ref="K1674">_xlfn.XLOOKUP(1,(참조!$B$2:$B$15=E1674)*(참조!$D$2:$D$15=C1674)*(참조!$E$2:$E$15=D1674),참조!$C$2:$C$15,"")</f>
        <v/>
      </c>
    </row>
    <row r="1675" hidden="1" s="27">
      <c r="A1675" s="47" t="inlineStr">
        <is>
          <t>모빙</t>
        </is>
      </c>
      <c r="B1675" s="47" t="inlineStr">
        <is>
          <t>[S] 데이터 5GB</t>
        </is>
      </c>
      <c r="C1675" s="47" t="inlineStr">
        <is>
          <t>무제한</t>
        </is>
      </c>
      <c r="D1675" s="47" t="inlineStr">
        <is>
          <t>200건</t>
        </is>
      </c>
      <c r="E1675" s="47" t="inlineStr">
        <is>
          <t>월 5GB</t>
        </is>
      </c>
      <c r="F1675" s="47" t="inlineStr">
        <is>
          <t>SKT</t>
        </is>
      </c>
      <c r="G1675" s="47" t="inlineStr">
        <is>
          <t>LTE</t>
        </is>
      </c>
      <c r="H1675" s="48" t="n">
        <v>3900</v>
      </c>
      <c r="I1675" s="48" t="n"/>
      <c r="J1675" s="48" t="n"/>
      <c r="K1675" s="47">
        <f t="array" ref="K1675">_xlfn.XLOOKUP(1,(참조!$B$2:$B$15=E1675)*(참조!$D$2:$D$15=C1675)*(참조!$E$2:$E$15=D1675),참조!$C$2:$C$15,"")</f>
        <v/>
      </c>
    </row>
    <row r="1676" hidden="1" s="27">
      <c r="A1676" s="47" t="inlineStr">
        <is>
          <t>아이즈모바일</t>
        </is>
      </c>
      <c r="B1676" s="47" t="inlineStr">
        <is>
          <t>[S]OK캐쉬백 100분/15GB+</t>
        </is>
      </c>
      <c r="C1676" s="47" t="inlineStr">
        <is>
          <t>100분</t>
        </is>
      </c>
      <c r="D1676" s="47" t="inlineStr">
        <is>
          <t>100건</t>
        </is>
      </c>
      <c r="E1676" s="47" t="inlineStr">
        <is>
          <t>월 15GB + 3Mbps</t>
        </is>
      </c>
      <c r="F1676" s="47" t="inlineStr">
        <is>
          <t>SKT</t>
        </is>
      </c>
      <c r="G1676" s="47" t="inlineStr">
        <is>
          <t>LTE</t>
        </is>
      </c>
      <c r="H1676" s="48" t="n">
        <v>24900</v>
      </c>
      <c r="I1676" s="48" t="n">
        <v>12</v>
      </c>
      <c r="J1676" s="48" t="n">
        <v>37400</v>
      </c>
      <c r="K1676" s="47">
        <f t="array" ref="K1676">_xlfn.XLOOKUP(1,(참조!$B$2:$B$15=E1676)*(참조!$D$2:$D$15=C1676)*(참조!$E$2:$E$15=D1676),참조!$C$2:$C$15,"")</f>
        <v/>
      </c>
    </row>
    <row r="1677" hidden="1" s="27">
      <c r="A1677" s="47" t="inlineStr">
        <is>
          <t>찬스모바일</t>
        </is>
      </c>
      <c r="B1677" s="47" t="inlineStr">
        <is>
          <t>5G 음성기본 50GB+</t>
        </is>
      </c>
      <c r="C1677" s="47" t="inlineStr">
        <is>
          <t>무제한</t>
        </is>
      </c>
      <c r="D1677" s="47" t="inlineStr">
        <is>
          <t>무제한</t>
        </is>
      </c>
      <c r="E1677" s="47" t="inlineStr">
        <is>
          <t>월 50GB + 1Mbps</t>
        </is>
      </c>
      <c r="F1677" s="47" t="inlineStr">
        <is>
          <t>LG U+</t>
        </is>
      </c>
      <c r="G1677" s="47" t="inlineStr">
        <is>
          <t>5G</t>
        </is>
      </c>
      <c r="H1677" s="48" t="n">
        <v>23500</v>
      </c>
      <c r="I1677" s="48" t="n">
        <v>7</v>
      </c>
      <c r="J1677" s="48" t="n">
        <v>47300</v>
      </c>
      <c r="K1677" s="47">
        <f t="array" ref="K1677">_xlfn.XLOOKUP(1,(참조!$B$2:$B$15=E1677)*(참조!$D$2:$D$15=C1677)*(참조!$E$2:$E$15=D1677),참조!$C$2:$C$15,"")</f>
        <v/>
      </c>
    </row>
    <row r="1678" hidden="1" s="27">
      <c r="A1678" s="47" t="inlineStr">
        <is>
          <t>이야기모바일</t>
        </is>
      </c>
      <c r="B1678" s="47" t="inlineStr">
        <is>
          <t>이야기 라이트S 100분 7GB+</t>
        </is>
      </c>
      <c r="C1678" s="47" t="inlineStr">
        <is>
          <t>100분</t>
        </is>
      </c>
      <c r="D1678" s="47" t="inlineStr">
        <is>
          <t>100건</t>
        </is>
      </c>
      <c r="E1678" s="47" t="inlineStr">
        <is>
          <t>월 7GB + 1Mbps</t>
        </is>
      </c>
      <c r="F1678" s="47" t="inlineStr">
        <is>
          <t>SKT</t>
        </is>
      </c>
      <c r="G1678" s="47" t="inlineStr">
        <is>
          <t>LTE</t>
        </is>
      </c>
      <c r="H1678" s="48" t="n">
        <v>19800</v>
      </c>
      <c r="I1678" s="48" t="n"/>
      <c r="J1678" s="48" t="n"/>
      <c r="K1678" s="47">
        <f t="array" ref="K1678">_xlfn.XLOOKUP(1,(참조!$B$2:$B$15=E1678)*(참조!$D$2:$D$15=C1678)*(참조!$E$2:$E$15=D1678),참조!$C$2:$C$15,"")</f>
        <v/>
      </c>
    </row>
    <row r="1679" hidden="1" s="27">
      <c r="A1679" s="47" t="inlineStr">
        <is>
          <t>스마텔</t>
        </is>
      </c>
      <c r="B1679" s="47" t="inlineStr">
        <is>
          <t>스마일플러스 (500분+1GB)</t>
        </is>
      </c>
      <c r="C1679" s="47" t="inlineStr">
        <is>
          <t>500분</t>
        </is>
      </c>
      <c r="D1679" s="47" t="inlineStr">
        <is>
          <t>100건</t>
        </is>
      </c>
      <c r="E1679" s="47" t="inlineStr">
        <is>
          <t>월 1GB</t>
        </is>
      </c>
      <c r="F1679" s="47" t="inlineStr">
        <is>
          <t>SKT</t>
        </is>
      </c>
      <c r="G1679" s="47" t="inlineStr">
        <is>
          <t>LTE</t>
        </is>
      </c>
      <c r="H1679" s="48" t="n">
        <v>2970</v>
      </c>
      <c r="I1679" s="48" t="n">
        <v>5</v>
      </c>
      <c r="J1679" s="48" t="n">
        <v>6600</v>
      </c>
      <c r="K1679" s="47">
        <f t="array" ref="K1679">_xlfn.XLOOKUP(1,(참조!$B$2:$B$15=E1679)*(참조!$D$2:$D$15=C1679)*(참조!$E$2:$E$15=D1679),참조!$C$2:$C$15,"")</f>
        <v/>
      </c>
    </row>
    <row r="1680" hidden="1" s="27">
      <c r="A1680" s="47" t="inlineStr">
        <is>
          <t>모빙</t>
        </is>
      </c>
      <c r="B1680" s="47" t="inlineStr">
        <is>
          <t>[L] 라운지프리 100GB+</t>
        </is>
      </c>
      <c r="C1680" s="47" t="inlineStr">
        <is>
          <t>무제한</t>
        </is>
      </c>
      <c r="D1680" s="47" t="inlineStr">
        <is>
          <t>무제한</t>
        </is>
      </c>
      <c r="E1680" s="47" t="inlineStr">
        <is>
          <t>월 100GB + 5Mbps</t>
        </is>
      </c>
      <c r="F1680" s="47" t="inlineStr">
        <is>
          <t>LG U+</t>
        </is>
      </c>
      <c r="G1680" s="47" t="inlineStr">
        <is>
          <t>LTE</t>
        </is>
      </c>
      <c r="H1680" s="48" t="n">
        <v>35000</v>
      </c>
      <c r="I1680" s="48" t="n">
        <v>24</v>
      </c>
      <c r="J1680" s="48" t="n">
        <v>54000</v>
      </c>
      <c r="K1680" s="47">
        <f t="array" ref="K1680">_xlfn.XLOOKUP(1,(참조!$B$2:$B$15=E1680)*(참조!$D$2:$D$15=C1680)*(참조!$E$2:$E$15=D1680),참조!$C$2:$C$15,"")</f>
        <v/>
      </c>
    </row>
    <row r="1681" hidden="1" s="27">
      <c r="A1681" s="47" t="inlineStr">
        <is>
          <t>아이즈모바일</t>
        </is>
      </c>
      <c r="B1681" s="47" t="inlineStr">
        <is>
          <t>[L]스페셜300분/15GB+</t>
        </is>
      </c>
      <c r="C1681" s="47" t="inlineStr">
        <is>
          <t>300분</t>
        </is>
      </c>
      <c r="D1681" s="47" t="inlineStr">
        <is>
          <t>300건</t>
        </is>
      </c>
      <c r="E1681" s="47" t="inlineStr">
        <is>
          <t>월 15GB + 3Mbps</t>
        </is>
      </c>
      <c r="F1681" s="47" t="inlineStr">
        <is>
          <t>LG U+</t>
        </is>
      </c>
      <c r="G1681" s="47" t="inlineStr">
        <is>
          <t>LTE</t>
        </is>
      </c>
      <c r="H1681" s="48" t="n">
        <v>12900</v>
      </c>
      <c r="I1681" s="48" t="n">
        <v>7</v>
      </c>
      <c r="J1681" s="48" t="n">
        <v>34100</v>
      </c>
      <c r="K1681" s="47">
        <f t="array" ref="K1681">_xlfn.XLOOKUP(1,(참조!$B$2:$B$15=E1681)*(참조!$D$2:$D$15=C1681)*(참조!$E$2:$E$15=D1681),참조!$C$2:$C$15,"")</f>
        <v/>
      </c>
    </row>
    <row r="1682" hidden="1" s="27">
      <c r="A1682" s="47" t="inlineStr">
        <is>
          <t>이야기모바일</t>
        </is>
      </c>
      <c r="B1682" s="47" t="inlineStr">
        <is>
          <t>이야기 라이트S 100분 20GB+</t>
        </is>
      </c>
      <c r="C1682" s="47" t="inlineStr">
        <is>
          <t>100분</t>
        </is>
      </c>
      <c r="D1682" s="47" t="inlineStr">
        <is>
          <t>100건</t>
        </is>
      </c>
      <c r="E1682" s="47" t="inlineStr">
        <is>
          <t>월 20GB + 1Mbps</t>
        </is>
      </c>
      <c r="F1682" s="47" t="inlineStr">
        <is>
          <t>SKT</t>
        </is>
      </c>
      <c r="G1682" s="47" t="inlineStr">
        <is>
          <t>LTE</t>
        </is>
      </c>
      <c r="H1682" s="48" t="n">
        <v>30800</v>
      </c>
      <c r="I1682" s="48" t="n"/>
      <c r="J1682" s="48" t="n"/>
      <c r="K1682" s="47">
        <f t="array" ref="K1682">_xlfn.XLOOKUP(1,(참조!$B$2:$B$15=E1682)*(참조!$D$2:$D$15=C1682)*(참조!$E$2:$E$15=D1682),참조!$C$2:$C$15,"")</f>
        <v/>
      </c>
    </row>
    <row r="1683" hidden="1" s="27">
      <c r="A1683" s="47" t="inlineStr">
        <is>
          <t>아이즈모바일</t>
        </is>
      </c>
      <c r="B1683" s="47" t="inlineStr">
        <is>
          <t>세이브머니유심(기본제공/4.5GB+)</t>
        </is>
      </c>
      <c r="C1683" s="47" t="inlineStr">
        <is>
          <t>무제한</t>
        </is>
      </c>
      <c r="D1683" s="47" t="inlineStr">
        <is>
          <t>무제한</t>
        </is>
      </c>
      <c r="E1683" s="47" t="inlineStr">
        <is>
          <t>월 4.5GB + 1Mbps</t>
        </is>
      </c>
      <c r="F1683" s="47" t="inlineStr">
        <is>
          <t>LG U+</t>
        </is>
      </c>
      <c r="G1683" s="47" t="inlineStr">
        <is>
          <t>LTE</t>
        </is>
      </c>
      <c r="H1683" s="48" t="n">
        <v>7600</v>
      </c>
      <c r="I1683" s="48" t="n"/>
      <c r="J1683" s="48" t="n"/>
      <c r="K1683" s="47">
        <f t="array" ref="K1683">_xlfn.XLOOKUP(1,(참조!$B$2:$B$15=E1683)*(참조!$D$2:$D$15=C1683)*(참조!$E$2:$E$15=D1683),참조!$C$2:$C$15,"")</f>
        <v/>
      </c>
    </row>
    <row r="1684" hidden="1" s="27">
      <c r="A1684" s="47" t="inlineStr">
        <is>
          <t>이야기모바일</t>
        </is>
      </c>
      <c r="B1684" s="47" t="inlineStr">
        <is>
          <t>이야기 베이직 2.5GB+</t>
        </is>
      </c>
      <c r="C1684" s="47" t="inlineStr">
        <is>
          <t>무제한</t>
        </is>
      </c>
      <c r="D1684" s="47" t="inlineStr">
        <is>
          <t>무제한</t>
        </is>
      </c>
      <c r="E1684" s="47" t="inlineStr">
        <is>
          <t>월 2.5GB + 400Kbps</t>
        </is>
      </c>
      <c r="F1684" s="47" t="inlineStr">
        <is>
          <t>LG U+</t>
        </is>
      </c>
      <c r="G1684" s="47" t="inlineStr">
        <is>
          <t>LTE</t>
        </is>
      </c>
      <c r="H1684" s="48" t="n">
        <v>26400</v>
      </c>
      <c r="I1684" s="48" t="n"/>
      <c r="J1684" s="48" t="n"/>
      <c r="K1684" s="47">
        <f t="array" ref="K1684">_xlfn.XLOOKUP(1,(참조!$B$2:$B$15=E1684)*(참조!$D$2:$D$15=C1684)*(참조!$E$2:$E$15=D1684),참조!$C$2:$C$15,"")</f>
        <v/>
      </c>
    </row>
    <row r="1685" hidden="1" s="27">
      <c r="A1685" s="47" t="inlineStr">
        <is>
          <t>티플러스</t>
        </is>
      </c>
      <c r="B1685" s="47" t="inlineStr">
        <is>
          <t>티플 데이터마음껏3G(100분)</t>
        </is>
      </c>
      <c r="C1685" s="47" t="inlineStr">
        <is>
          <t>100분</t>
        </is>
      </c>
      <c r="D1685" s="47" t="inlineStr">
        <is>
          <t>100건</t>
        </is>
      </c>
      <c r="E1685" s="47" t="inlineStr">
        <is>
          <t>월 3GB + 1Mbps</t>
        </is>
      </c>
      <c r="F1685" s="47" t="inlineStr">
        <is>
          <t>LG U+</t>
        </is>
      </c>
      <c r="G1685" s="47" t="inlineStr">
        <is>
          <t>LTE</t>
        </is>
      </c>
      <c r="H1685" s="48" t="n">
        <v>8800</v>
      </c>
      <c r="I1685" s="48" t="n"/>
      <c r="J1685" s="48" t="n"/>
      <c r="K1685" s="47">
        <f t="array" ref="K1685">_xlfn.XLOOKUP(1,(참조!$B$2:$B$15=E1685)*(참조!$D$2:$D$15=C1685)*(참조!$E$2:$E$15=D1685),참조!$C$2:$C$15,"")</f>
        <v/>
      </c>
    </row>
    <row r="1686" hidden="1" s="27">
      <c r="A1686" s="47" t="inlineStr">
        <is>
          <t>찬스모바일</t>
        </is>
      </c>
      <c r="B1686" s="47" t="inlineStr">
        <is>
          <t>음성기본 10GB+</t>
        </is>
      </c>
      <c r="C1686" s="47" t="inlineStr">
        <is>
          <t>무제한</t>
        </is>
      </c>
      <c r="D1686" s="47" t="inlineStr">
        <is>
          <t>무제한</t>
        </is>
      </c>
      <c r="E1686" s="47" t="inlineStr">
        <is>
          <t>월 10GB + 1Mbps</t>
        </is>
      </c>
      <c r="F1686" s="47" t="inlineStr">
        <is>
          <t>LG U+</t>
        </is>
      </c>
      <c r="G1686" s="47" t="inlineStr">
        <is>
          <t>LTE</t>
        </is>
      </c>
      <c r="H1686" s="48" t="n">
        <v>10000</v>
      </c>
      <c r="I1686" s="48" t="n">
        <v>7</v>
      </c>
      <c r="J1686" s="48" t="n">
        <v>24200</v>
      </c>
      <c r="K1686" s="47">
        <f t="array" ref="K1686">_xlfn.XLOOKUP(1,(참조!$B$2:$B$15=E1686)*(참조!$D$2:$D$15=C1686)*(참조!$E$2:$E$15=D1686),참조!$C$2:$C$15,"")</f>
        <v/>
      </c>
    </row>
    <row r="1687" hidden="1" s="27">
      <c r="A1687" s="47" t="inlineStr">
        <is>
          <t>모빙</t>
        </is>
      </c>
      <c r="B1687" s="47" t="inlineStr">
        <is>
          <t>5G 쏙쏙 500분20GB</t>
        </is>
      </c>
      <c r="C1687" s="47" t="inlineStr">
        <is>
          <t>500분</t>
        </is>
      </c>
      <c r="D1687" s="47" t="inlineStr">
        <is>
          <t>500건</t>
        </is>
      </c>
      <c r="E1687" s="47" t="inlineStr">
        <is>
          <t>월 20GB</t>
        </is>
      </c>
      <c r="F1687" s="47" t="inlineStr">
        <is>
          <t>KT</t>
        </is>
      </c>
      <c r="G1687" s="47" t="inlineStr">
        <is>
          <t>5G</t>
        </is>
      </c>
      <c r="H1687" s="48" t="n">
        <v>9900</v>
      </c>
      <c r="I1687" s="48" t="n">
        <v>7</v>
      </c>
      <c r="J1687" s="48" t="n">
        <v>45100</v>
      </c>
      <c r="K1687" s="47">
        <f t="array" ref="K1687">_xlfn.XLOOKUP(1,(참조!$B$2:$B$15=E1687)*(참조!$D$2:$D$15=C1687)*(참조!$E$2:$E$15=D1687),참조!$C$2:$C$15,"")</f>
        <v/>
      </c>
    </row>
    <row r="1688" hidden="1" s="27">
      <c r="A1688" s="47" t="inlineStr">
        <is>
          <t>더원모바일</t>
        </is>
      </c>
      <c r="B1688" s="47" t="inlineStr">
        <is>
          <t>ONE 5G 30GB 기본</t>
        </is>
      </c>
      <c r="C1688" s="47" t="inlineStr">
        <is>
          <t>무제한</t>
        </is>
      </c>
      <c r="D1688" s="47" t="inlineStr">
        <is>
          <t>무제한</t>
        </is>
      </c>
      <c r="E1688" s="47" t="inlineStr">
        <is>
          <t>월 30GB</t>
        </is>
      </c>
      <c r="F1688" s="47" t="inlineStr">
        <is>
          <t>KT</t>
        </is>
      </c>
      <c r="G1688" s="47" t="inlineStr">
        <is>
          <t>5G</t>
        </is>
      </c>
      <c r="H1688" s="48" t="n">
        <v>1100</v>
      </c>
      <c r="I1688" s="48" t="n">
        <v>8</v>
      </c>
      <c r="J1688" s="48" t="n">
        <v>39600</v>
      </c>
      <c r="K1688" s="47">
        <f t="array" ref="K1688">_xlfn.XLOOKUP(1,(참조!$B$2:$B$15=E1688)*(참조!$D$2:$D$15=C1688)*(참조!$E$2:$E$15=D1688),참조!$C$2:$C$15,"")</f>
        <v/>
      </c>
    </row>
    <row r="1689" hidden="1" s="27">
      <c r="A1689" s="47" t="inlineStr">
        <is>
          <t>더원모바일</t>
        </is>
      </c>
      <c r="B1689" s="47" t="inlineStr">
        <is>
          <t>ONE 5G 5GB 200분</t>
        </is>
      </c>
      <c r="C1689" s="47" t="inlineStr">
        <is>
          <t>200분</t>
        </is>
      </c>
      <c r="D1689" s="47" t="inlineStr">
        <is>
          <t>100건</t>
        </is>
      </c>
      <c r="E1689" s="47" t="inlineStr">
        <is>
          <t>월 5GB</t>
        </is>
      </c>
      <c r="F1689" s="47" t="inlineStr">
        <is>
          <t>KT</t>
        </is>
      </c>
      <c r="G1689" s="47" t="inlineStr">
        <is>
          <t>5G</t>
        </is>
      </c>
      <c r="H1689" s="48" t="n">
        <v>4400</v>
      </c>
      <c r="I1689" s="48" t="n">
        <v>6</v>
      </c>
      <c r="J1689" s="48" t="n">
        <v>8800</v>
      </c>
      <c r="K1689" s="47">
        <f t="array" ref="K1689">_xlfn.XLOOKUP(1,(참조!$B$2:$B$15=E1689)*(참조!$D$2:$D$15=C1689)*(참조!$E$2:$E$15=D1689),참조!$C$2:$C$15,"")</f>
        <v/>
      </c>
    </row>
    <row r="1690" hidden="1" s="27">
      <c r="A1690" s="47" t="inlineStr">
        <is>
          <t>스마텔</t>
        </is>
      </c>
      <c r="B1690" s="47" t="inlineStr">
        <is>
          <t>스위트 11GB+(왓챠 프리미엄)</t>
        </is>
      </c>
      <c r="C1690" s="47" t="inlineStr">
        <is>
          <t>무제한</t>
        </is>
      </c>
      <c r="D1690" s="47" t="inlineStr">
        <is>
          <t>무제한</t>
        </is>
      </c>
      <c r="E1690" s="47" t="inlineStr">
        <is>
          <t>월 11GB + 매일 2GB + 3Mbps</t>
        </is>
      </c>
      <c r="F1690" s="47" t="inlineStr">
        <is>
          <t>KT</t>
        </is>
      </c>
      <c r="G1690" s="47" t="inlineStr">
        <is>
          <t>LTE</t>
        </is>
      </c>
      <c r="H1690" s="48" t="n">
        <v>42900</v>
      </c>
      <c r="I1690" s="48" t="n">
        <v>36</v>
      </c>
      <c r="J1690" s="48" t="n">
        <v>48400</v>
      </c>
      <c r="K1690" s="47">
        <f t="array" ref="K1690">_xlfn.XLOOKUP(1,(참조!$B$2:$B$15=E1690)*(참조!$D$2:$D$15=C1690)*(참조!$E$2:$E$15=D1690),참조!$C$2:$C$15,"")</f>
        <v/>
      </c>
    </row>
    <row r="1691" hidden="1" s="27">
      <c r="A1691" s="47" t="inlineStr">
        <is>
          <t>리브모바일</t>
        </is>
      </c>
      <c r="B1691" s="47" t="inlineStr">
        <is>
          <t>보이스피싱예방LTE7GB+(안심직거래)</t>
        </is>
      </c>
      <c r="C1691" s="47" t="inlineStr">
        <is>
          <t>무제한</t>
        </is>
      </c>
      <c r="D1691" s="47" t="inlineStr">
        <is>
          <t>무제한</t>
        </is>
      </c>
      <c r="E1691" s="47" t="inlineStr">
        <is>
          <t>월 7GB + 1Mbps</t>
        </is>
      </c>
      <c r="F1691" s="47" t="inlineStr">
        <is>
          <t>KT</t>
        </is>
      </c>
      <c r="G1691" s="47" t="inlineStr">
        <is>
          <t>LTE</t>
        </is>
      </c>
      <c r="H1691" s="48" t="n">
        <v>15100</v>
      </c>
      <c r="I1691" s="48" t="n">
        <v>12</v>
      </c>
      <c r="J1691" s="48" t="n">
        <v>19500</v>
      </c>
      <c r="K1691" s="47">
        <f t="array" ref="K1691">_xlfn.XLOOKUP(1,(참조!$B$2:$B$15=E1691)*(참조!$D$2:$D$15=C1691)*(참조!$E$2:$E$15=D1691),참조!$C$2:$C$15,"")</f>
        <v/>
      </c>
    </row>
    <row r="1692" hidden="1" s="27">
      <c r="A1692" s="47" t="inlineStr">
        <is>
          <t>모빙</t>
        </is>
      </c>
      <c r="B1692" s="47" t="inlineStr">
        <is>
          <t>[L] 라운지프리 7GB+</t>
        </is>
      </c>
      <c r="C1692" s="47" t="inlineStr">
        <is>
          <t>무제한</t>
        </is>
      </c>
      <c r="D1692" s="47" t="inlineStr">
        <is>
          <t>무제한</t>
        </is>
      </c>
      <c r="E1692" s="47" t="inlineStr">
        <is>
          <t>월 7GB + 1Mbps</t>
        </is>
      </c>
      <c r="F1692" s="47" t="inlineStr">
        <is>
          <t>LG U+</t>
        </is>
      </c>
      <c r="G1692" s="47" t="inlineStr">
        <is>
          <t>LTE</t>
        </is>
      </c>
      <c r="H1692" s="48" t="n">
        <v>17000</v>
      </c>
      <c r="I1692" s="48" t="n">
        <v>24</v>
      </c>
      <c r="J1692" s="48" t="n">
        <v>28000</v>
      </c>
      <c r="K1692" s="47">
        <f t="array" ref="K1692">_xlfn.XLOOKUP(1,(참조!$B$2:$B$15=E1692)*(참조!$D$2:$D$15=C1692)*(참조!$E$2:$E$15=D1692),참조!$C$2:$C$15,"")</f>
        <v/>
      </c>
    </row>
    <row r="1693" hidden="1" s="27">
      <c r="A1693" s="47" t="inlineStr">
        <is>
          <t>스마텔</t>
        </is>
      </c>
      <c r="B1693" s="47" t="inlineStr">
        <is>
          <t>5G 스위트 70GB+</t>
        </is>
      </c>
      <c r="C1693" s="47" t="inlineStr">
        <is>
          <t>무제한</t>
        </is>
      </c>
      <c r="D1693" s="47" t="inlineStr">
        <is>
          <t>무제한</t>
        </is>
      </c>
      <c r="E1693" s="47" t="inlineStr">
        <is>
          <t>월 70GB + 1Mbps</t>
        </is>
      </c>
      <c r="F1693" s="47" t="inlineStr">
        <is>
          <t>KT</t>
        </is>
      </c>
      <c r="G1693" s="47" t="inlineStr">
        <is>
          <t>5G</t>
        </is>
      </c>
      <c r="H1693" s="48" t="n">
        <v>42900</v>
      </c>
      <c r="I1693" s="48" t="n">
        <v>36</v>
      </c>
      <c r="J1693" s="48" t="n">
        <v>48400</v>
      </c>
      <c r="K1693" s="47">
        <f t="array" ref="K1693">_xlfn.XLOOKUP(1,(참조!$B$2:$B$15=E1693)*(참조!$D$2:$D$15=C1693)*(참조!$E$2:$E$15=D1693),참조!$C$2:$C$15,"")</f>
        <v/>
      </c>
    </row>
    <row r="1694" hidden="1" s="27">
      <c r="A1694" s="47" t="inlineStr">
        <is>
          <t>모빙</t>
        </is>
      </c>
      <c r="B1694" s="47" t="inlineStr">
        <is>
          <t>[L] 라운지프리 300분15GB+</t>
        </is>
      </c>
      <c r="C1694" s="47" t="inlineStr">
        <is>
          <t>300분</t>
        </is>
      </c>
      <c r="D1694" s="47" t="inlineStr">
        <is>
          <t>300건</t>
        </is>
      </c>
      <c r="E1694" s="47" t="inlineStr">
        <is>
          <t>월 15GB + 3Mbps</t>
        </is>
      </c>
      <c r="F1694" s="47" t="inlineStr">
        <is>
          <t>LG U+</t>
        </is>
      </c>
      <c r="G1694" s="47" t="inlineStr">
        <is>
          <t>LTE</t>
        </is>
      </c>
      <c r="H1694" s="48" t="n">
        <v>26000</v>
      </c>
      <c r="I1694" s="48" t="n">
        <v>24</v>
      </c>
      <c r="J1694" s="48" t="n">
        <v>41000</v>
      </c>
      <c r="K1694" s="47">
        <f t="array" ref="K1694">_xlfn.XLOOKUP(1,(참조!$B$2:$B$15=E1694)*(참조!$D$2:$D$15=C1694)*(참조!$E$2:$E$15=D1694),참조!$C$2:$C$15,"")</f>
        <v/>
      </c>
    </row>
    <row r="1695" hidden="1" s="27">
      <c r="A1695" s="47" t="inlineStr">
        <is>
          <t>아이즈모바일</t>
        </is>
      </c>
      <c r="B1695" s="47" t="inlineStr">
        <is>
          <t>[S]무한7GB+</t>
        </is>
      </c>
      <c r="C1695" s="47" t="inlineStr">
        <is>
          <t>무제한</t>
        </is>
      </c>
      <c r="D1695" s="47" t="inlineStr">
        <is>
          <t>무제한</t>
        </is>
      </c>
      <c r="E1695" s="47" t="inlineStr">
        <is>
          <t>월 7GB + 1Mbps</t>
        </is>
      </c>
      <c r="F1695" s="47" t="inlineStr">
        <is>
          <t>SKT</t>
        </is>
      </c>
      <c r="G1695" s="47" t="inlineStr">
        <is>
          <t>LTE</t>
        </is>
      </c>
      <c r="H1695" s="48" t="n">
        <v>15900</v>
      </c>
      <c r="I1695" s="48" t="n">
        <v>36</v>
      </c>
      <c r="J1695" s="48" t="n">
        <v>23900</v>
      </c>
      <c r="K1695" s="47">
        <f t="array" ref="K1695">_xlfn.XLOOKUP(1,(참조!$B$2:$B$15=E1695)*(참조!$D$2:$D$15=C1695)*(참조!$E$2:$E$15=D1695),참조!$C$2:$C$15,"")</f>
        <v/>
      </c>
    </row>
    <row r="1696" hidden="1" s="27">
      <c r="A1696" s="47" t="inlineStr">
        <is>
          <t>리브모바일</t>
        </is>
      </c>
      <c r="B1696" s="47" t="inlineStr">
        <is>
          <t>LTE 71GB+(청년미래)</t>
        </is>
      </c>
      <c r="C1696" s="47" t="inlineStr">
        <is>
          <t>무제한</t>
        </is>
      </c>
      <c r="D1696" s="47" t="inlineStr">
        <is>
          <t>무제한</t>
        </is>
      </c>
      <c r="E1696" s="47" t="inlineStr">
        <is>
          <t>월 11GB + 매일 2GB + 3Mbps</t>
        </is>
      </c>
      <c r="F1696" s="47" t="inlineStr">
        <is>
          <t>LG U+</t>
        </is>
      </c>
      <c r="G1696" s="47" t="inlineStr">
        <is>
          <t>LTE</t>
        </is>
      </c>
      <c r="H1696" s="48" t="n">
        <v>33000</v>
      </c>
      <c r="I1696" s="48" t="n"/>
      <c r="J1696" s="48" t="n"/>
      <c r="K1696" s="47">
        <f t="array" ref="K1696">_xlfn.XLOOKUP(1,(참조!$B$2:$B$15=E1696)*(참조!$D$2:$D$15=C1696)*(참조!$E$2:$E$15=D1696),참조!$C$2:$C$15,"")</f>
        <v/>
      </c>
    </row>
    <row r="1697" hidden="1" s="27">
      <c r="A1697" s="47" t="inlineStr">
        <is>
          <t>스마텔</t>
        </is>
      </c>
      <c r="B1697" s="47" t="inlineStr">
        <is>
          <t>후후 플러스 (100분+2.2GB)</t>
        </is>
      </c>
      <c r="C1697" s="47" t="inlineStr">
        <is>
          <t>100분</t>
        </is>
      </c>
      <c r="D1697" s="47" t="inlineStr">
        <is>
          <t>100건</t>
        </is>
      </c>
      <c r="E1697" s="47" t="inlineStr">
        <is>
          <t>월 2.2GB</t>
        </is>
      </c>
      <c r="F1697" s="47" t="inlineStr">
        <is>
          <t>SKT</t>
        </is>
      </c>
      <c r="G1697" s="47" t="inlineStr">
        <is>
          <t>LTE</t>
        </is>
      </c>
      <c r="H1697" s="48" t="n">
        <v>2530</v>
      </c>
      <c r="I1697" s="48" t="n">
        <v>5</v>
      </c>
      <c r="J1697" s="48" t="n">
        <v>4730</v>
      </c>
      <c r="K1697" s="47">
        <f t="array" ref="K1697">_xlfn.XLOOKUP(1,(참조!$B$2:$B$15=E1697)*(참조!$D$2:$D$15=C1697)*(참조!$E$2:$E$15=D1697),참조!$C$2:$C$15,"")</f>
        <v/>
      </c>
    </row>
    <row r="1698" hidden="1" s="27">
      <c r="A1698" s="47" t="inlineStr">
        <is>
          <t>스마텔</t>
        </is>
      </c>
      <c r="B1698" s="47" t="inlineStr">
        <is>
          <t>후후 플러스 (200분+1.5GB)</t>
        </is>
      </c>
      <c r="C1698" s="47" t="inlineStr">
        <is>
          <t>200분</t>
        </is>
      </c>
      <c r="D1698" s="47" t="inlineStr">
        <is>
          <t>100건</t>
        </is>
      </c>
      <c r="E1698" s="47" t="inlineStr">
        <is>
          <t>월 1.5GB</t>
        </is>
      </c>
      <c r="F1698" s="47" t="inlineStr">
        <is>
          <t>SKT</t>
        </is>
      </c>
      <c r="G1698" s="47" t="inlineStr">
        <is>
          <t>LTE</t>
        </is>
      </c>
      <c r="H1698" s="48" t="n">
        <v>2530</v>
      </c>
      <c r="I1698" s="48" t="n">
        <v>5</v>
      </c>
      <c r="J1698" s="48" t="n">
        <v>4730</v>
      </c>
      <c r="K1698" s="47">
        <f t="array" ref="K1698">_xlfn.XLOOKUP(1,(참조!$B$2:$B$15=E1698)*(참조!$D$2:$D$15=C1698)*(참조!$E$2:$E$15=D1698),참조!$C$2:$C$15,"")</f>
        <v/>
      </c>
    </row>
    <row r="1699" hidden="1" s="27">
      <c r="A1699" s="47" t="inlineStr">
        <is>
          <t>마블링</t>
        </is>
      </c>
      <c r="B1699" s="47" t="inlineStr">
        <is>
          <t>마블링 프라임(5G) 95GB+3Mbps</t>
        </is>
      </c>
      <c r="C1699" s="47" t="inlineStr">
        <is>
          <t>무제한</t>
        </is>
      </c>
      <c r="D1699" s="47" t="inlineStr">
        <is>
          <t>무제한</t>
        </is>
      </c>
      <c r="E1699" s="47" t="inlineStr">
        <is>
          <t>월 95GB + 3Mbps</t>
        </is>
      </c>
      <c r="F1699" s="47" t="inlineStr">
        <is>
          <t>LG U+</t>
        </is>
      </c>
      <c r="G1699" s="47" t="inlineStr">
        <is>
          <t>5G</t>
        </is>
      </c>
      <c r="H1699" s="48" t="n">
        <v>26900</v>
      </c>
      <c r="I1699" s="48" t="n">
        <v>7</v>
      </c>
      <c r="J1699" s="48" t="n">
        <v>44900</v>
      </c>
      <c r="K1699" s="47">
        <f t="array" ref="K1699">_xlfn.XLOOKUP(1,(참조!$B$2:$B$15=E1699)*(참조!$D$2:$D$15=C1699)*(참조!$E$2:$E$15=D1699),참조!$C$2:$C$15,"")</f>
        <v/>
      </c>
    </row>
    <row r="1700" hidden="1" s="27">
      <c r="A1700" s="47" t="inlineStr">
        <is>
          <t>이지모바일</t>
        </is>
      </c>
      <c r="B1700" s="47" t="inlineStr">
        <is>
          <t>EG 5G프리미엄 지니 200G+(지니뮤직)</t>
        </is>
      </c>
      <c r="C1700" s="47" t="inlineStr">
        <is>
          <t>무제한</t>
        </is>
      </c>
      <c r="D1700" s="47" t="inlineStr">
        <is>
          <t>무제한</t>
        </is>
      </c>
      <c r="E1700" s="47" t="inlineStr">
        <is>
          <t>월 200GB + 10Mbps</t>
        </is>
      </c>
      <c r="F1700" s="47" t="inlineStr">
        <is>
          <t>KT</t>
        </is>
      </c>
      <c r="G1700" s="47" t="inlineStr">
        <is>
          <t>5G</t>
        </is>
      </c>
      <c r="H1700" s="48" t="n">
        <v>31680</v>
      </c>
      <c r="I1700" s="48" t="n">
        <v>7</v>
      </c>
      <c r="J1700" s="48" t="n">
        <v>61600</v>
      </c>
      <c r="K1700" s="47">
        <f t="array" ref="K1700">_xlfn.XLOOKUP(1,(참조!$B$2:$B$15=E1700)*(참조!$D$2:$D$15=C1700)*(참조!$E$2:$E$15=D1700),참조!$C$2:$C$15,"")</f>
        <v/>
      </c>
    </row>
    <row r="1701" hidden="1" s="27">
      <c r="A1701" s="47" t="inlineStr">
        <is>
          <t>티플러스</t>
        </is>
      </c>
      <c r="B1701" s="47" t="inlineStr">
        <is>
          <t>티플 CGV 10GB＋</t>
        </is>
      </c>
      <c r="C1701" s="47" t="inlineStr">
        <is>
          <t>무제한</t>
        </is>
      </c>
      <c r="D1701" s="47" t="inlineStr">
        <is>
          <t>무제한</t>
        </is>
      </c>
      <c r="E1701" s="47" t="inlineStr">
        <is>
          <t>월 10GB + 1Mbps</t>
        </is>
      </c>
      <c r="F1701" s="47" t="inlineStr">
        <is>
          <t>SKT</t>
        </is>
      </c>
      <c r="G1701" s="47" t="inlineStr">
        <is>
          <t>LTE</t>
        </is>
      </c>
      <c r="H1701" s="48" t="n">
        <v>9900</v>
      </c>
      <c r="I1701" s="48" t="n">
        <v>7</v>
      </c>
      <c r="J1701" s="48" t="n">
        <v>37400</v>
      </c>
      <c r="K1701" s="47">
        <f t="array" ref="K1701">_xlfn.XLOOKUP(1,(참조!$B$2:$B$15=E1701)*(참조!$D$2:$D$15=C1701)*(참조!$E$2:$E$15=D1701),참조!$C$2:$C$15,"")</f>
        <v/>
      </c>
    </row>
    <row r="1702" hidden="1" s="27">
      <c r="A1702" s="47" t="inlineStr">
        <is>
          <t>모빙</t>
        </is>
      </c>
      <c r="B1702" s="47" t="inlineStr">
        <is>
          <t>5G 홈결합 150GB+</t>
        </is>
      </c>
      <c r="C1702" s="47" t="inlineStr">
        <is>
          <t>무제한</t>
        </is>
      </c>
      <c r="D1702" s="47" t="inlineStr">
        <is>
          <t>무제한</t>
        </is>
      </c>
      <c r="E1702" s="47" t="inlineStr">
        <is>
          <t>월 150GB + 5Mbps</t>
        </is>
      </c>
      <c r="F1702" s="47" t="inlineStr">
        <is>
          <t>LG U+</t>
        </is>
      </c>
      <c r="G1702" s="47" t="inlineStr">
        <is>
          <t>5G</t>
        </is>
      </c>
      <c r="H1702" s="48" t="n">
        <v>38000</v>
      </c>
      <c r="I1702" s="48" t="n">
        <v>12</v>
      </c>
      <c r="J1702" s="48" t="n">
        <v>60500</v>
      </c>
      <c r="K1702" s="47">
        <f t="array" ref="K1702">_xlfn.XLOOKUP(1,(참조!$B$2:$B$15=E1702)*(참조!$D$2:$D$15=C1702)*(참조!$E$2:$E$15=D1702),참조!$C$2:$C$15,"")</f>
        <v/>
      </c>
    </row>
    <row r="1703" hidden="1" s="27">
      <c r="A1703" s="47" t="inlineStr">
        <is>
          <t>아이즈모바일</t>
        </is>
      </c>
      <c r="B1703" s="47" t="inlineStr">
        <is>
          <t>[K]다이소 11GB+일2GB</t>
        </is>
      </c>
      <c r="C1703" s="47" t="inlineStr">
        <is>
          <t>무제한</t>
        </is>
      </c>
      <c r="D1703" s="47" t="inlineStr">
        <is>
          <t>무제한</t>
        </is>
      </c>
      <c r="E1703" s="47" t="inlineStr">
        <is>
          <t>월 11GB + 매일 2GB + 3Mbps</t>
        </is>
      </c>
      <c r="F1703" s="47" t="inlineStr">
        <is>
          <t>KT</t>
        </is>
      </c>
      <c r="G1703" s="47" t="inlineStr">
        <is>
          <t>LTE</t>
        </is>
      </c>
      <c r="H1703" s="48" t="n">
        <v>19000</v>
      </c>
      <c r="I1703" s="48" t="n">
        <v>7</v>
      </c>
      <c r="J1703" s="48" t="n">
        <v>47300</v>
      </c>
      <c r="K1703" s="47">
        <f t="array" ref="K1703">_xlfn.XLOOKUP(1,(참조!$B$2:$B$15=E1703)*(참조!$D$2:$D$15=C1703)*(참조!$E$2:$E$15=D1703),참조!$C$2:$C$15,"")</f>
        <v/>
      </c>
    </row>
    <row r="1704" hidden="1" s="27">
      <c r="A1704" s="47" t="inlineStr">
        <is>
          <t>고고모바일</t>
        </is>
      </c>
      <c r="B1704" s="47" t="inlineStr">
        <is>
          <t>LTE200분/3GB-데이터소진후 자동차단</t>
        </is>
      </c>
      <c r="C1704" s="47" t="inlineStr">
        <is>
          <t>200분</t>
        </is>
      </c>
      <c r="D1704" s="47" t="inlineStr">
        <is>
          <t>200건</t>
        </is>
      </c>
      <c r="E1704" s="47" t="inlineStr">
        <is>
          <t>월 3GB</t>
        </is>
      </c>
      <c r="F1704" s="47" t="inlineStr">
        <is>
          <t>KT</t>
        </is>
      </c>
      <c r="G1704" s="47" t="inlineStr">
        <is>
          <t>LTE</t>
        </is>
      </c>
      <c r="H1704" s="48" t="n">
        <v>9900</v>
      </c>
      <c r="I1704" s="48" t="n"/>
      <c r="J1704" s="48" t="n"/>
      <c r="K1704" s="47">
        <f t="array" ref="K1704">_xlfn.XLOOKUP(1,(참조!$B$2:$B$15=E1704)*(참조!$D$2:$D$15=C1704)*(참조!$E$2:$E$15=D1704),참조!$C$2:$C$15,"")</f>
        <v/>
      </c>
    </row>
    <row r="1705" hidden="1" s="27">
      <c r="A1705" s="47" t="inlineStr">
        <is>
          <t>아이즈모바일</t>
        </is>
      </c>
      <c r="B1705" s="47" t="inlineStr">
        <is>
          <t>[S]톨(500분/3GB)</t>
        </is>
      </c>
      <c r="C1705" s="47" t="inlineStr">
        <is>
          <t>500분</t>
        </is>
      </c>
      <c r="D1705" s="47" t="inlineStr">
        <is>
          <t>100건</t>
        </is>
      </c>
      <c r="E1705" s="47" t="inlineStr">
        <is>
          <t>월 3GB</t>
        </is>
      </c>
      <c r="F1705" s="47" t="inlineStr">
        <is>
          <t>SKT</t>
        </is>
      </c>
      <c r="G1705" s="47" t="inlineStr">
        <is>
          <t>LTE</t>
        </is>
      </c>
      <c r="H1705" s="48" t="n">
        <v>5100</v>
      </c>
      <c r="I1705" s="48" t="n"/>
      <c r="J1705" s="48" t="n"/>
      <c r="K1705" s="47">
        <f t="array" ref="K1705">_xlfn.XLOOKUP(1,(참조!$B$2:$B$15=E1705)*(참조!$D$2:$D$15=C1705)*(참조!$E$2:$E$15=D1705),참조!$C$2:$C$15,"")</f>
        <v/>
      </c>
    </row>
    <row r="1706" hidden="1" s="27">
      <c r="A1706" s="47" t="inlineStr">
        <is>
          <t>아이즈모바일</t>
        </is>
      </c>
      <c r="B1706" s="47" t="inlineStr">
        <is>
          <t>[K]올리브영 11GB+일2GB</t>
        </is>
      </c>
      <c r="C1706" s="47" t="inlineStr">
        <is>
          <t>무제한</t>
        </is>
      </c>
      <c r="D1706" s="47" t="inlineStr">
        <is>
          <t>무제한</t>
        </is>
      </c>
      <c r="E1706" s="47" t="inlineStr">
        <is>
          <t>월 11GB + 매일 2GB + 3Mbps</t>
        </is>
      </c>
      <c r="F1706" s="47" t="inlineStr">
        <is>
          <t>KT</t>
        </is>
      </c>
      <c r="G1706" s="47" t="inlineStr">
        <is>
          <t>LTE</t>
        </is>
      </c>
      <c r="H1706" s="48" t="n">
        <v>19000</v>
      </c>
      <c r="I1706" s="48" t="n">
        <v>7</v>
      </c>
      <c r="J1706" s="48" t="n">
        <v>47300</v>
      </c>
      <c r="K1706" s="47">
        <f t="array" ref="K1706">_xlfn.XLOOKUP(1,(참조!$B$2:$B$15=E1706)*(참조!$D$2:$D$15=C1706)*(참조!$E$2:$E$15=D1706),참조!$C$2:$C$15,"")</f>
        <v/>
      </c>
    </row>
    <row r="1707" hidden="1" s="27">
      <c r="A1707" s="47" t="inlineStr">
        <is>
          <t>스마텔</t>
        </is>
      </c>
      <c r="B1707" s="47" t="inlineStr">
        <is>
          <t>5G 스마일 플러스 (200분+5GB)</t>
        </is>
      </c>
      <c r="C1707" s="47" t="inlineStr">
        <is>
          <t>200분</t>
        </is>
      </c>
      <c r="D1707" s="47" t="inlineStr">
        <is>
          <t>100건</t>
        </is>
      </c>
      <c r="E1707" s="47" t="inlineStr">
        <is>
          <t>월 5GB</t>
        </is>
      </c>
      <c r="F1707" s="47" t="inlineStr">
        <is>
          <t>SKT</t>
        </is>
      </c>
      <c r="G1707" s="47" t="inlineStr">
        <is>
          <t>5G</t>
        </is>
      </c>
      <c r="H1707" s="48" t="n">
        <v>4750</v>
      </c>
      <c r="I1707" s="48" t="n">
        <v>5</v>
      </c>
      <c r="J1707" s="48" t="n">
        <v>13000</v>
      </c>
      <c r="K1707" s="47">
        <f t="array" ref="K1707">_xlfn.XLOOKUP(1,(참조!$B$2:$B$15=E1707)*(참조!$D$2:$D$15=C1707)*(참조!$E$2:$E$15=D1707),참조!$C$2:$C$15,"")</f>
        <v/>
      </c>
    </row>
    <row r="1708" hidden="1" s="27">
      <c r="A1708" s="47" t="inlineStr">
        <is>
          <t>티플러스</t>
        </is>
      </c>
      <c r="B1708" s="47" t="inlineStr">
        <is>
          <t>데이터마음껏 15GB＋＋(300분)(네이버페이 매월 5000P)</t>
        </is>
      </c>
      <c r="C1708" s="47" t="inlineStr">
        <is>
          <t>300분</t>
        </is>
      </c>
      <c r="D1708" s="47" t="inlineStr">
        <is>
          <t>300건</t>
        </is>
      </c>
      <c r="E1708" s="47" t="inlineStr">
        <is>
          <t>월 15GB + 3Mbps</t>
        </is>
      </c>
      <c r="F1708" s="47" t="inlineStr">
        <is>
          <t>KT</t>
        </is>
      </c>
      <c r="G1708" s="47" t="inlineStr">
        <is>
          <t>LTE</t>
        </is>
      </c>
      <c r="H1708" s="48" t="n">
        <v>20900</v>
      </c>
      <c r="I1708" s="48" t="n">
        <v>7</v>
      </c>
      <c r="J1708" s="48" t="n">
        <v>39600</v>
      </c>
      <c r="K1708" s="47">
        <f t="array" ref="K1708">_xlfn.XLOOKUP(1,(참조!$B$2:$B$15=E1708)*(참조!$D$2:$D$15=C1708)*(참조!$E$2:$E$15=D1708),참조!$C$2:$C$15,"")</f>
        <v/>
      </c>
    </row>
    <row r="1709" hidden="1" s="27">
      <c r="A1709" s="47" t="inlineStr">
        <is>
          <t>리브모바일</t>
        </is>
      </c>
      <c r="B1709" s="47" t="inlineStr">
        <is>
          <t>LTE 무제한 11GB+ (지니뮤직)</t>
        </is>
      </c>
      <c r="C1709" s="47" t="inlineStr">
        <is>
          <t>무제한</t>
        </is>
      </c>
      <c r="D1709" s="47" t="inlineStr">
        <is>
          <t>무제한</t>
        </is>
      </c>
      <c r="E1709" s="47" t="inlineStr">
        <is>
          <t>월 11GB + 매일 2GB + 3Mbps</t>
        </is>
      </c>
      <c r="F1709" s="47" t="inlineStr">
        <is>
          <t>KT</t>
        </is>
      </c>
      <c r="G1709" s="47" t="inlineStr">
        <is>
          <t>LTE</t>
        </is>
      </c>
      <c r="H1709" s="48" t="n">
        <v>35600</v>
      </c>
      <c r="I1709" s="48" t="n">
        <v>12</v>
      </c>
      <c r="J1709" s="48" t="n">
        <v>40000</v>
      </c>
      <c r="K1709" s="47">
        <f t="array" ref="K1709">_xlfn.XLOOKUP(1,(참조!$B$2:$B$15=E1709)*(참조!$D$2:$D$15=C1709)*(참조!$E$2:$E$15=D1709),참조!$C$2:$C$15,"")</f>
        <v/>
      </c>
    </row>
    <row r="1710" hidden="1" s="27">
      <c r="A1710" s="47" t="inlineStr">
        <is>
          <t>이야기모바일</t>
        </is>
      </c>
      <c r="B1710" s="47" t="inlineStr">
        <is>
          <t>이야기 쇼핑케어 1GB+</t>
        </is>
      </c>
      <c r="C1710" s="47" t="inlineStr">
        <is>
          <t>무제한</t>
        </is>
      </c>
      <c r="D1710" s="47" t="inlineStr">
        <is>
          <t>무제한</t>
        </is>
      </c>
      <c r="E1710" s="47" t="inlineStr">
        <is>
          <t>월 1GB + 1Mbps</t>
        </is>
      </c>
      <c r="F1710" s="47" t="inlineStr">
        <is>
          <t>LG U+</t>
        </is>
      </c>
      <c r="G1710" s="47" t="inlineStr">
        <is>
          <t>LTE</t>
        </is>
      </c>
      <c r="H1710" s="48" t="n">
        <v>11000</v>
      </c>
      <c r="I1710" s="48" t="n">
        <v>6</v>
      </c>
      <c r="J1710" s="48" t="n">
        <v>14300</v>
      </c>
      <c r="K1710" s="47">
        <f t="array" ref="K1710">_xlfn.XLOOKUP(1,(참조!$B$2:$B$15=E1710)*(참조!$D$2:$D$15=C1710)*(참조!$E$2:$E$15=D1710),참조!$C$2:$C$15,"")</f>
        <v/>
      </c>
    </row>
    <row r="1711" hidden="1" s="27">
      <c r="A1711" s="47" t="inlineStr">
        <is>
          <t>스마텔</t>
        </is>
      </c>
      <c r="B1711" s="47" t="inlineStr">
        <is>
          <t>[모요only] [모요핫딜]CU 스위트 무제한 10GB+</t>
        </is>
      </c>
      <c r="C1711" s="47" t="inlineStr">
        <is>
          <t>무제한</t>
        </is>
      </c>
      <c r="D1711" s="47" t="inlineStr">
        <is>
          <t>무제한</t>
        </is>
      </c>
      <c r="E1711" s="47" t="inlineStr">
        <is>
          <t>월 10GB + 1Mbps</t>
        </is>
      </c>
      <c r="F1711" s="47" t="inlineStr">
        <is>
          <t>KT</t>
        </is>
      </c>
      <c r="G1711" s="47" t="inlineStr">
        <is>
          <t>LTE</t>
        </is>
      </c>
      <c r="H1711" s="48" t="n">
        <v>16000</v>
      </c>
      <c r="I1711" s="48" t="n">
        <v>7</v>
      </c>
      <c r="J1711" s="48" t="n">
        <v>28600</v>
      </c>
      <c r="K1711" s="47">
        <f t="array" ref="K1711">_xlfn.XLOOKUP(1,(참조!$B$2:$B$15=E1711)*(참조!$D$2:$D$15=C1711)*(참조!$E$2:$E$15=D1711),참조!$C$2:$C$15,"")</f>
        <v/>
      </c>
    </row>
    <row r="1712" hidden="1" s="27">
      <c r="A1712" s="47" t="inlineStr">
        <is>
          <t>이지모바일</t>
        </is>
      </c>
      <c r="B1712" s="47" t="inlineStr">
        <is>
          <t>EG 무제한 10GB+1(밀리의 서재)</t>
        </is>
      </c>
      <c r="C1712" s="47" t="inlineStr">
        <is>
          <t>무제한</t>
        </is>
      </c>
      <c r="D1712" s="47" t="inlineStr">
        <is>
          <t>무제한</t>
        </is>
      </c>
      <c r="E1712" s="47" t="inlineStr">
        <is>
          <t>월 10GB + 1Mbps</t>
        </is>
      </c>
      <c r="F1712" s="47" t="inlineStr">
        <is>
          <t>KT</t>
        </is>
      </c>
      <c r="G1712" s="47" t="inlineStr">
        <is>
          <t>LTE</t>
        </is>
      </c>
      <c r="H1712" s="48" t="n">
        <v>14080</v>
      </c>
      <c r="I1712" s="48" t="n">
        <v>7</v>
      </c>
      <c r="J1712" s="48" t="n">
        <v>24200</v>
      </c>
      <c r="K1712" s="47">
        <f t="array" ref="K1712">_xlfn.XLOOKUP(1,(참조!$B$2:$B$15=E1712)*(참조!$D$2:$D$15=C1712)*(참조!$E$2:$E$15=D1712),참조!$C$2:$C$15,"")</f>
        <v/>
      </c>
    </row>
    <row r="1713" hidden="1" s="27">
      <c r="A1713" s="47" t="inlineStr">
        <is>
          <t>KT스카이라이프</t>
        </is>
      </c>
      <c r="B1713" s="47" t="inlineStr">
        <is>
          <t>모두 충분 6GB+</t>
        </is>
      </c>
      <c r="C1713" s="47" t="inlineStr">
        <is>
          <t>무제한</t>
        </is>
      </c>
      <c r="D1713" s="47" t="inlineStr">
        <is>
          <t>무제한</t>
        </is>
      </c>
      <c r="E1713" s="47" t="inlineStr">
        <is>
          <t>월 6GB + 400Kbps</t>
        </is>
      </c>
      <c r="F1713" s="47" t="inlineStr">
        <is>
          <t>KT</t>
        </is>
      </c>
      <c r="G1713" s="47" t="inlineStr">
        <is>
          <t>LTE</t>
        </is>
      </c>
      <c r="H1713" s="48" t="n">
        <v>14900</v>
      </c>
      <c r="I1713" s="48" t="n"/>
      <c r="J1713" s="48" t="n"/>
      <c r="K1713" s="47">
        <f t="array" ref="K1713">_xlfn.XLOOKUP(1,(참조!$B$2:$B$15=E1713)*(참조!$D$2:$D$15=C1713)*(참조!$E$2:$E$15=D1713),참조!$C$2:$C$15,"")</f>
        <v/>
      </c>
    </row>
    <row r="1714" hidden="1" s="27">
      <c r="A1714" s="47" t="inlineStr">
        <is>
          <t>KG모바일</t>
        </is>
      </c>
      <c r="B1714" s="47" t="inlineStr">
        <is>
          <t>[일반] 데이터 마음대로 (1GB+/100분)</t>
        </is>
      </c>
      <c r="C1714" s="47" t="inlineStr">
        <is>
          <t>100분</t>
        </is>
      </c>
      <c r="D1714" s="47" t="inlineStr">
        <is>
          <t>100건</t>
        </is>
      </c>
      <c r="E1714" s="47" t="inlineStr">
        <is>
          <t>월 1GB + 1Mbps</t>
        </is>
      </c>
      <c r="F1714" s="47" t="inlineStr">
        <is>
          <t>LG U+</t>
        </is>
      </c>
      <c r="G1714" s="47" t="inlineStr">
        <is>
          <t>LTE</t>
        </is>
      </c>
      <c r="H1714" s="48" t="n">
        <v>4840</v>
      </c>
      <c r="I1714" s="48" t="n">
        <v>6</v>
      </c>
      <c r="J1714" s="48" t="n">
        <v>15400</v>
      </c>
      <c r="K1714" s="47">
        <f t="array" ref="K1714">_xlfn.XLOOKUP(1,(참조!$B$2:$B$15=E1714)*(참조!$D$2:$D$15=C1714)*(참조!$E$2:$E$15=D1714),참조!$C$2:$C$15,"")</f>
        <v/>
      </c>
    </row>
    <row r="1715" hidden="1" s="27">
      <c r="A1715" s="47" t="inlineStr">
        <is>
          <t>이야기모바일</t>
        </is>
      </c>
      <c r="B1715" s="47" t="inlineStr">
        <is>
          <t>이야기 라이프케어 1GB+</t>
        </is>
      </c>
      <c r="C1715" s="47" t="inlineStr">
        <is>
          <t>무제한</t>
        </is>
      </c>
      <c r="D1715" s="47" t="inlineStr">
        <is>
          <t>무제한</t>
        </is>
      </c>
      <c r="E1715" s="47" t="inlineStr">
        <is>
          <t>월 1GB + 1Mbps</t>
        </is>
      </c>
      <c r="F1715" s="47" t="inlineStr">
        <is>
          <t>LG U+</t>
        </is>
      </c>
      <c r="G1715" s="47" t="inlineStr">
        <is>
          <t>LTE</t>
        </is>
      </c>
      <c r="H1715" s="48" t="n">
        <v>11000</v>
      </c>
      <c r="I1715" s="48" t="n">
        <v>6</v>
      </c>
      <c r="J1715" s="48" t="n">
        <v>14300</v>
      </c>
      <c r="K1715" s="47">
        <f t="array" ref="K1715">_xlfn.XLOOKUP(1,(참조!$B$2:$B$15=E1715)*(참조!$D$2:$D$15=C1715)*(참조!$E$2:$E$15=D1715),참조!$C$2:$C$15,"")</f>
        <v/>
      </c>
    </row>
    <row r="1716" hidden="1" s="27">
      <c r="A1716" s="47" t="inlineStr">
        <is>
          <t>모빙</t>
        </is>
      </c>
      <c r="B1716" s="47" t="inlineStr">
        <is>
          <t>[K] 모아진 100분15GB+</t>
        </is>
      </c>
      <c r="C1716" s="47" t="inlineStr">
        <is>
          <t>100분</t>
        </is>
      </c>
      <c r="D1716" s="47" t="inlineStr">
        <is>
          <t>100건</t>
        </is>
      </c>
      <c r="E1716" s="47" t="inlineStr">
        <is>
          <t>월 15GB + 3Mbps</t>
        </is>
      </c>
      <c r="F1716" s="47" t="inlineStr">
        <is>
          <t>KT</t>
        </is>
      </c>
      <c r="G1716" s="47" t="inlineStr">
        <is>
          <t>LTE</t>
        </is>
      </c>
      <c r="H1716" s="48" t="n">
        <v>14960</v>
      </c>
      <c r="I1716" s="48" t="n">
        <v>7</v>
      </c>
      <c r="J1716" s="48" t="n">
        <v>37400</v>
      </c>
      <c r="K1716" s="47">
        <f t="array" ref="K1716">_xlfn.XLOOKUP(1,(참조!$B$2:$B$15=E1716)*(참조!$D$2:$D$15=C1716)*(참조!$E$2:$E$15=D1716),참조!$C$2:$C$15,"")</f>
        <v/>
      </c>
    </row>
    <row r="1717" hidden="1" s="27">
      <c r="A1717" s="47" t="inlineStr">
        <is>
          <t>티플러스</t>
        </is>
      </c>
      <c r="B1717" s="47" t="inlineStr">
        <is>
          <t>The 데이터마음껏 5GB＋(200분)</t>
        </is>
      </c>
      <c r="C1717" s="47" t="inlineStr">
        <is>
          <t>200분</t>
        </is>
      </c>
      <c r="D1717" s="47" t="inlineStr">
        <is>
          <t>100건</t>
        </is>
      </c>
      <c r="E1717" s="47" t="inlineStr">
        <is>
          <t>월 5GB + 1Mbps</t>
        </is>
      </c>
      <c r="F1717" s="47" t="inlineStr">
        <is>
          <t>SKT</t>
        </is>
      </c>
      <c r="G1717" s="47" t="inlineStr">
        <is>
          <t>LTE</t>
        </is>
      </c>
      <c r="H1717" s="48" t="n">
        <v>19800</v>
      </c>
      <c r="I1717" s="48" t="n"/>
      <c r="J1717" s="48" t="n"/>
      <c r="K1717" s="47">
        <f t="array" ref="K1717">_xlfn.XLOOKUP(1,(참조!$B$2:$B$15=E1717)*(참조!$D$2:$D$15=C1717)*(참조!$E$2:$E$15=D1717),참조!$C$2:$C$15,"")</f>
        <v/>
      </c>
    </row>
    <row r="1718" hidden="1" s="27">
      <c r="A1718" s="47" t="inlineStr">
        <is>
          <t>핀다이렉트</t>
        </is>
      </c>
      <c r="B1718" s="47" t="inlineStr">
        <is>
          <t>[L] 핀다이렉트Z Speed 50GB+</t>
        </is>
      </c>
      <c r="C1718" s="47" t="inlineStr">
        <is>
          <t>무제한</t>
        </is>
      </c>
      <c r="D1718" s="47" t="inlineStr">
        <is>
          <t>무제한</t>
        </is>
      </c>
      <c r="E1718" s="47" t="inlineStr">
        <is>
          <t>월 50GB + 1Mbps</t>
        </is>
      </c>
      <c r="F1718" s="47" t="inlineStr">
        <is>
          <t>LG U+</t>
        </is>
      </c>
      <c r="G1718" s="47" t="inlineStr">
        <is>
          <t>5G</t>
        </is>
      </c>
      <c r="H1718" s="48" t="n">
        <v>26000</v>
      </c>
      <c r="I1718" s="48" t="n">
        <v>7</v>
      </c>
      <c r="J1718" s="48" t="n">
        <v>42900</v>
      </c>
      <c r="K1718" s="47">
        <f t="array" ref="K1718">_xlfn.XLOOKUP(1,(참조!$B$2:$B$15=E1718)*(참조!$D$2:$D$15=C1718)*(참조!$E$2:$E$15=D1718),참조!$C$2:$C$15,"")</f>
        <v/>
      </c>
    </row>
    <row r="1719" hidden="1" s="27">
      <c r="A1719" s="47" t="inlineStr">
        <is>
          <t>에이모바일</t>
        </is>
      </c>
      <c r="B1719" s="47" t="inlineStr">
        <is>
          <t>A 스페셜 10GB+</t>
        </is>
      </c>
      <c r="C1719" s="47" t="inlineStr">
        <is>
          <t>무제한</t>
        </is>
      </c>
      <c r="D1719" s="47" t="inlineStr">
        <is>
          <t>무제한</t>
        </is>
      </c>
      <c r="E1719" s="47" t="inlineStr">
        <is>
          <t>월 10GB + 1Mbps</t>
        </is>
      </c>
      <c r="F1719" s="47" t="inlineStr">
        <is>
          <t>LG U+</t>
        </is>
      </c>
      <c r="G1719" s="47" t="inlineStr">
        <is>
          <t>LTE</t>
        </is>
      </c>
      <c r="H1719" s="48" t="n">
        <v>5500</v>
      </c>
      <c r="I1719" s="48" t="n">
        <v>7</v>
      </c>
      <c r="J1719" s="48" t="n">
        <v>26400</v>
      </c>
      <c r="K1719" s="47">
        <f t="array" ref="K1719">_xlfn.XLOOKUP(1,(참조!$B$2:$B$15=E1719)*(참조!$D$2:$D$15=C1719)*(참조!$E$2:$E$15=D1719),참조!$C$2:$C$15,"")</f>
        <v/>
      </c>
    </row>
    <row r="1720" hidden="1" s="27">
      <c r="A1720" s="47" t="inlineStr">
        <is>
          <t>모빙</t>
        </is>
      </c>
      <c r="B1720" s="47" t="inlineStr">
        <is>
          <t>[K] 다이소 11GB+</t>
        </is>
      </c>
      <c r="C1720" s="47" t="inlineStr">
        <is>
          <t>무제한</t>
        </is>
      </c>
      <c r="D1720" s="47" t="inlineStr">
        <is>
          <t>무제한</t>
        </is>
      </c>
      <c r="E1720" s="47" t="inlineStr">
        <is>
          <t>월 11GB + 매일 2GB + 3Mbps</t>
        </is>
      </c>
      <c r="F1720" s="47" t="inlineStr">
        <is>
          <t>KT</t>
        </is>
      </c>
      <c r="G1720" s="47" t="inlineStr">
        <is>
          <t>LTE</t>
        </is>
      </c>
      <c r="H1720" s="48" t="n">
        <v>19800</v>
      </c>
      <c r="I1720" s="48" t="n">
        <v>7</v>
      </c>
      <c r="J1720" s="48" t="n">
        <v>52800</v>
      </c>
      <c r="K1720" s="47">
        <f t="array" ref="K1720">_xlfn.XLOOKUP(1,(참조!$B$2:$B$15=E1720)*(참조!$D$2:$D$15=C1720)*(참조!$E$2:$E$15=D1720),참조!$C$2:$C$15,"")</f>
        <v/>
      </c>
    </row>
    <row r="1721" hidden="1" s="27">
      <c r="A1721" s="47" t="inlineStr">
        <is>
          <t>모빙</t>
        </is>
      </c>
      <c r="B1721" s="47" t="inlineStr">
        <is>
          <t>[K] 웨이브베이직 11GB+</t>
        </is>
      </c>
      <c r="C1721" s="47" t="inlineStr">
        <is>
          <t>무제한</t>
        </is>
      </c>
      <c r="D1721" s="47" t="inlineStr">
        <is>
          <t>무제한</t>
        </is>
      </c>
      <c r="E1721" s="47" t="inlineStr">
        <is>
          <t>월 11GB + 매일 2GB + 3Mbps</t>
        </is>
      </c>
      <c r="F1721" s="47" t="inlineStr">
        <is>
          <t>KT</t>
        </is>
      </c>
      <c r="G1721" s="47" t="inlineStr">
        <is>
          <t>LTE</t>
        </is>
      </c>
      <c r="H1721" s="48" t="n">
        <v>19800</v>
      </c>
      <c r="I1721" s="48" t="n">
        <v>7</v>
      </c>
      <c r="J1721" s="48" t="n">
        <v>53900</v>
      </c>
      <c r="K1721" s="47">
        <f t="array" ref="K1721">_xlfn.XLOOKUP(1,(참조!$B$2:$B$15=E1721)*(참조!$D$2:$D$15=C1721)*(참조!$E$2:$E$15=D1721),참조!$C$2:$C$15,"")</f>
        <v/>
      </c>
    </row>
    <row r="1722" hidden="1" s="27">
      <c r="A1722" s="47" t="inlineStr">
        <is>
          <t>인스모바일</t>
        </is>
      </c>
      <c r="B1722" s="47" t="inlineStr">
        <is>
          <t>데이터 안심 1GB+(USIM)</t>
        </is>
      </c>
      <c r="C1722" s="47" t="inlineStr">
        <is>
          <t>100분</t>
        </is>
      </c>
      <c r="D1722" s="47" t="inlineStr">
        <is>
          <t>100건</t>
        </is>
      </c>
      <c r="E1722" s="47" t="inlineStr">
        <is>
          <t>월 1GB + 1Mbps</t>
        </is>
      </c>
      <c r="F1722" s="47" t="inlineStr">
        <is>
          <t>LG U+</t>
        </is>
      </c>
      <c r="G1722" s="47" t="inlineStr">
        <is>
          <t>LTE</t>
        </is>
      </c>
      <c r="H1722" s="48" t="n">
        <v>4400</v>
      </c>
      <c r="I1722" s="48" t="n">
        <v>6</v>
      </c>
      <c r="J1722" s="48" t="n">
        <v>31900</v>
      </c>
      <c r="K1722" s="47">
        <f t="array" ref="K1722">_xlfn.XLOOKUP(1,(참조!$B$2:$B$15=E1722)*(참조!$D$2:$D$15=C1722)*(참조!$E$2:$E$15=D1722),참조!$C$2:$C$15,"")</f>
        <v/>
      </c>
    </row>
    <row r="1723" hidden="1" s="27">
      <c r="A1723" s="47" t="inlineStr">
        <is>
          <t>스마텔</t>
        </is>
      </c>
      <c r="B1723" s="47" t="inlineStr">
        <is>
          <t>스마일플러스(100분+3GB)</t>
        </is>
      </c>
      <c r="C1723" s="47" t="inlineStr">
        <is>
          <t>100분</t>
        </is>
      </c>
      <c r="D1723" s="47" t="inlineStr">
        <is>
          <t>100건</t>
        </is>
      </c>
      <c r="E1723" s="47" t="inlineStr">
        <is>
          <t>월 3GB</t>
        </is>
      </c>
      <c r="F1723" s="47" t="inlineStr">
        <is>
          <t>SKT</t>
        </is>
      </c>
      <c r="G1723" s="47" t="inlineStr">
        <is>
          <t>LTE</t>
        </is>
      </c>
      <c r="H1723" s="48" t="n">
        <v>2860</v>
      </c>
      <c r="I1723" s="48" t="n">
        <v>5</v>
      </c>
      <c r="J1723" s="48" t="n">
        <v>5500</v>
      </c>
      <c r="K1723" s="47">
        <f t="array" ref="K1723">_xlfn.XLOOKUP(1,(참조!$B$2:$B$15=E1723)*(참조!$D$2:$D$15=C1723)*(참조!$E$2:$E$15=D1723),참조!$C$2:$C$15,"")</f>
        <v/>
      </c>
    </row>
    <row r="1724" hidden="1" s="27">
      <c r="A1724" s="47" t="inlineStr">
        <is>
          <t>아이즈모바일</t>
        </is>
      </c>
      <c r="B1724" s="47" t="inlineStr">
        <is>
          <t>[S]아이즈특판100GB+</t>
        </is>
      </c>
      <c r="C1724" s="47" t="inlineStr">
        <is>
          <t>무제한</t>
        </is>
      </c>
      <c r="D1724" s="47" t="inlineStr">
        <is>
          <t>무제한</t>
        </is>
      </c>
      <c r="E1724" s="47" t="inlineStr">
        <is>
          <t>월 100GB + 5Mbps</t>
        </is>
      </c>
      <c r="F1724" s="47" t="inlineStr">
        <is>
          <t>SKT</t>
        </is>
      </c>
      <c r="G1724" s="47" t="inlineStr">
        <is>
          <t>LTE</t>
        </is>
      </c>
      <c r="H1724" s="48" t="n">
        <v>24000</v>
      </c>
      <c r="I1724" s="48" t="n">
        <v>7</v>
      </c>
      <c r="J1724" s="48" t="n">
        <v>45100</v>
      </c>
      <c r="K1724" s="47">
        <f t="array" ref="K1724">_xlfn.XLOOKUP(1,(참조!$B$2:$B$15=E1724)*(참조!$D$2:$D$15=C1724)*(참조!$E$2:$E$15=D1724),참조!$C$2:$C$15,"")</f>
        <v/>
      </c>
    </row>
    <row r="1725" hidden="1" s="27">
      <c r="A1725" s="47" t="inlineStr">
        <is>
          <t>모빙</t>
        </is>
      </c>
      <c r="B1725" s="47" t="inlineStr">
        <is>
          <t>쏙쏙 매일30분3GB</t>
        </is>
      </c>
      <c r="C1725" s="47" t="inlineStr">
        <is>
          <t>900분</t>
        </is>
      </c>
      <c r="D1725" s="47" t="inlineStr">
        <is>
          <t>100건</t>
        </is>
      </c>
      <c r="E1725" s="47" t="inlineStr">
        <is>
          <t>월 3GB</t>
        </is>
      </c>
      <c r="F1725" s="47" t="inlineStr">
        <is>
          <t>KT</t>
        </is>
      </c>
      <c r="G1725" s="47" t="inlineStr">
        <is>
          <t>LTE</t>
        </is>
      </c>
      <c r="H1725" s="48" t="n">
        <v>5500</v>
      </c>
      <c r="I1725" s="48" t="n"/>
      <c r="J1725" s="48" t="n"/>
      <c r="K1725" s="47">
        <f t="array" ref="K1725">_xlfn.XLOOKUP(1,(참조!$B$2:$B$15=E1725)*(참조!$D$2:$D$15=C1725)*(참조!$E$2:$E$15=D1725),참조!$C$2:$C$15,"")</f>
        <v/>
      </c>
    </row>
    <row r="1726" hidden="1" s="27">
      <c r="A1726" s="47" t="inlineStr">
        <is>
          <t>리브모바일</t>
        </is>
      </c>
      <c r="B1726" s="47" t="inlineStr">
        <is>
          <t>LTE 실속 15GB+(100분)</t>
        </is>
      </c>
      <c r="C1726" s="47" t="inlineStr">
        <is>
          <t>100분</t>
        </is>
      </c>
      <c r="D1726" s="47" t="inlineStr">
        <is>
          <t>100건</t>
        </is>
      </c>
      <c r="E1726" s="47" t="inlineStr">
        <is>
          <t>월 15GB + 3Mbps</t>
        </is>
      </c>
      <c r="F1726" s="47" t="inlineStr">
        <is>
          <t>KT</t>
        </is>
      </c>
      <c r="G1726" s="47" t="inlineStr">
        <is>
          <t>LTE</t>
        </is>
      </c>
      <c r="H1726" s="48" t="n">
        <v>27500</v>
      </c>
      <c r="I1726" s="48" t="n">
        <v>12</v>
      </c>
      <c r="J1726" s="48" t="n">
        <v>31900</v>
      </c>
      <c r="K1726" s="47">
        <f t="array" ref="K1726">_xlfn.XLOOKUP(1,(참조!$B$2:$B$15=E1726)*(참조!$D$2:$D$15=C1726)*(참조!$E$2:$E$15=D1726),참조!$C$2:$C$15,"")</f>
        <v/>
      </c>
    </row>
    <row r="1727" hidden="1" s="27">
      <c r="A1727" s="47" t="inlineStr">
        <is>
          <t>스마텔</t>
        </is>
      </c>
      <c r="B1727" s="47" t="inlineStr">
        <is>
          <t>USIM 스마트 7GB+</t>
        </is>
      </c>
      <c r="C1727" s="47" t="inlineStr">
        <is>
          <t>무제한</t>
        </is>
      </c>
      <c r="D1727" s="47" t="inlineStr">
        <is>
          <t>무제한</t>
        </is>
      </c>
      <c r="E1727" s="47" t="inlineStr">
        <is>
          <t>월 7GB + 1Mbps</t>
        </is>
      </c>
      <c r="F1727" s="47" t="inlineStr">
        <is>
          <t>LG U+</t>
        </is>
      </c>
      <c r="G1727" s="47" t="inlineStr">
        <is>
          <t>LTE</t>
        </is>
      </c>
      <c r="H1727" s="48" t="n">
        <v>14200</v>
      </c>
      <c r="I1727" s="48" t="n">
        <v>7</v>
      </c>
      <c r="J1727" s="48" t="n">
        <v>19800</v>
      </c>
      <c r="K1727" s="47">
        <f t="array" ref="K1727">_xlfn.XLOOKUP(1,(참조!$B$2:$B$15=E1727)*(참조!$D$2:$D$15=C1727)*(참조!$E$2:$E$15=D1727),참조!$C$2:$C$15,"")</f>
        <v/>
      </c>
    </row>
    <row r="1728" hidden="1" s="27">
      <c r="A1728" s="47" t="inlineStr">
        <is>
          <t>아이즈모바일</t>
        </is>
      </c>
      <c r="B1728" s="47" t="inlineStr">
        <is>
          <t>[L]아이즈10GB+1Mbps</t>
        </is>
      </c>
      <c r="C1728" s="47" t="inlineStr">
        <is>
          <t>무제한</t>
        </is>
      </c>
      <c r="D1728" s="47" t="inlineStr">
        <is>
          <t>무제한</t>
        </is>
      </c>
      <c r="E1728" s="47" t="inlineStr">
        <is>
          <t>월 10GB + 1Mbps</t>
        </is>
      </c>
      <c r="F1728" s="47" t="inlineStr">
        <is>
          <t>LG U+</t>
        </is>
      </c>
      <c r="G1728" s="47" t="inlineStr">
        <is>
          <t>LTE</t>
        </is>
      </c>
      <c r="H1728" s="48" t="n">
        <v>6900</v>
      </c>
      <c r="I1728" s="48" t="n">
        <v>7</v>
      </c>
      <c r="J1728" s="48" t="n">
        <v>27500</v>
      </c>
      <c r="K1728" s="47">
        <f t="array" ref="K1728">_xlfn.XLOOKUP(1,(참조!$B$2:$B$15=E1728)*(참조!$D$2:$D$15=C1728)*(참조!$E$2:$E$15=D1728),참조!$C$2:$C$15,"")</f>
        <v/>
      </c>
    </row>
    <row r="1729" hidden="1" s="27">
      <c r="A1729" s="47" t="inlineStr">
        <is>
          <t>이야기모바일</t>
        </is>
      </c>
      <c r="B1729" s="47" t="inlineStr">
        <is>
          <t>이야기 헬스케어 1GB+</t>
        </is>
      </c>
      <c r="C1729" s="47" t="inlineStr">
        <is>
          <t>무제한</t>
        </is>
      </c>
      <c r="D1729" s="47" t="inlineStr">
        <is>
          <t>무제한</t>
        </is>
      </c>
      <c r="E1729" s="47" t="inlineStr">
        <is>
          <t>월 1GB + 1Mbps</t>
        </is>
      </c>
      <c r="F1729" s="47" t="inlineStr">
        <is>
          <t>LG U+</t>
        </is>
      </c>
      <c r="G1729" s="47" t="inlineStr">
        <is>
          <t>LTE</t>
        </is>
      </c>
      <c r="H1729" s="48" t="n">
        <v>8800</v>
      </c>
      <c r="I1729" s="48" t="n">
        <v>6</v>
      </c>
      <c r="J1729" s="48" t="n">
        <v>12100</v>
      </c>
      <c r="K1729" s="47">
        <f t="array" ref="K1729">_xlfn.XLOOKUP(1,(참조!$B$2:$B$15=E1729)*(참조!$D$2:$D$15=C1729)*(참조!$E$2:$E$15=D1729),참조!$C$2:$C$15,"")</f>
        <v/>
      </c>
    </row>
    <row r="1730" hidden="1" s="27">
      <c r="A1730" s="47" t="inlineStr">
        <is>
          <t>스마텔</t>
        </is>
      </c>
      <c r="B1730" s="47" t="inlineStr">
        <is>
          <t>스마일 플러스 (100분 + 2.2GB)</t>
        </is>
      </c>
      <c r="C1730" s="47" t="inlineStr">
        <is>
          <t>100분</t>
        </is>
      </c>
      <c r="D1730" s="47" t="inlineStr">
        <is>
          <t>100건</t>
        </is>
      </c>
      <c r="E1730" s="47" t="inlineStr">
        <is>
          <t>월 2.2GB</t>
        </is>
      </c>
      <c r="F1730" s="47" t="inlineStr">
        <is>
          <t>SKT</t>
        </is>
      </c>
      <c r="G1730" s="47" t="inlineStr">
        <is>
          <t>LTE</t>
        </is>
      </c>
      <c r="H1730" s="48" t="n">
        <v>2200</v>
      </c>
      <c r="I1730" s="48" t="n">
        <v>5</v>
      </c>
      <c r="J1730" s="48" t="n">
        <v>4400</v>
      </c>
      <c r="K1730" s="47">
        <f t="array" ref="K1730">_xlfn.XLOOKUP(1,(참조!$B$2:$B$15=E1730)*(참조!$D$2:$D$15=C1730)*(참조!$E$2:$E$15=D1730),참조!$C$2:$C$15,"")</f>
        <v/>
      </c>
    </row>
    <row r="1731" hidden="1" s="27">
      <c r="A1731" s="47" t="inlineStr">
        <is>
          <t>이야기모바일</t>
        </is>
      </c>
      <c r="B1731" s="47" t="inlineStr">
        <is>
          <t>이야기피싱케어 1GB+</t>
        </is>
      </c>
      <c r="C1731" s="47" t="inlineStr">
        <is>
          <t>무제한</t>
        </is>
      </c>
      <c r="D1731" s="47" t="inlineStr">
        <is>
          <t>무제한</t>
        </is>
      </c>
      <c r="E1731" s="47" t="inlineStr">
        <is>
          <t>월 1GB + 1Mbps</t>
        </is>
      </c>
      <c r="F1731" s="47" t="inlineStr">
        <is>
          <t>LG U+</t>
        </is>
      </c>
      <c r="G1731" s="47" t="inlineStr">
        <is>
          <t>LTE</t>
        </is>
      </c>
      <c r="H1731" s="48" t="n">
        <v>8800</v>
      </c>
      <c r="I1731" s="48" t="n">
        <v>6</v>
      </c>
      <c r="J1731" s="48" t="n">
        <v>12100</v>
      </c>
      <c r="K1731" s="47">
        <f t="array" ref="K1731">_xlfn.XLOOKUP(1,(참조!$B$2:$B$15=E1731)*(참조!$D$2:$D$15=C1731)*(참조!$E$2:$E$15=D1731),참조!$C$2:$C$15,"")</f>
        <v/>
      </c>
    </row>
    <row r="1732" hidden="1" s="27">
      <c r="A1732" s="47" t="inlineStr">
        <is>
          <t>이야기모바일</t>
        </is>
      </c>
      <c r="B1732" s="47" t="inlineStr">
        <is>
          <t>이야기폰케어 1GB+</t>
        </is>
      </c>
      <c r="C1732" s="47" t="inlineStr">
        <is>
          <t>무제한</t>
        </is>
      </c>
      <c r="D1732" s="47" t="inlineStr">
        <is>
          <t>무제한</t>
        </is>
      </c>
      <c r="E1732" s="47" t="inlineStr">
        <is>
          <t>월 1GB + 1Mbps</t>
        </is>
      </c>
      <c r="F1732" s="47" t="inlineStr">
        <is>
          <t>LG U+</t>
        </is>
      </c>
      <c r="G1732" s="47" t="inlineStr">
        <is>
          <t>LTE</t>
        </is>
      </c>
      <c r="H1732" s="48" t="n">
        <v>8800</v>
      </c>
      <c r="I1732" s="48" t="n">
        <v>6</v>
      </c>
      <c r="J1732" s="48" t="n">
        <v>12100</v>
      </c>
      <c r="K1732" s="47">
        <f t="array" ref="K1732">_xlfn.XLOOKUP(1,(참조!$B$2:$B$15=E1732)*(참조!$D$2:$D$15=C1732)*(참조!$E$2:$E$15=D1732),참조!$C$2:$C$15,"")</f>
        <v/>
      </c>
    </row>
    <row r="1733" hidden="1" s="27">
      <c r="A1733" s="47" t="inlineStr">
        <is>
          <t>티플러스</t>
        </is>
      </c>
      <c r="B1733" s="47" t="inlineStr">
        <is>
          <t>5G 통화안심 30GB</t>
        </is>
      </c>
      <c r="C1733" s="47" t="inlineStr">
        <is>
          <t>무제한</t>
        </is>
      </c>
      <c r="D1733" s="47" t="inlineStr">
        <is>
          <t>100건</t>
        </is>
      </c>
      <c r="E1733" s="47" t="inlineStr">
        <is>
          <t>월 30GB</t>
        </is>
      </c>
      <c r="F1733" s="47" t="inlineStr">
        <is>
          <t>SKT</t>
        </is>
      </c>
      <c r="G1733" s="47" t="inlineStr">
        <is>
          <t>5G</t>
        </is>
      </c>
      <c r="H1733" s="48" t="n">
        <v>21900</v>
      </c>
      <c r="I1733" s="48" t="n">
        <v>4</v>
      </c>
      <c r="J1733" s="48" t="n">
        <v>39600</v>
      </c>
      <c r="K1733" s="47">
        <f t="array" ref="K1733">_xlfn.XLOOKUP(1,(참조!$B$2:$B$15=E1733)*(참조!$D$2:$D$15=C1733)*(참조!$E$2:$E$15=D1733),참조!$C$2:$C$15,"")</f>
        <v/>
      </c>
    </row>
    <row r="1734" hidden="1" s="27">
      <c r="A1734" s="47" t="inlineStr">
        <is>
          <t>이야기모바일</t>
        </is>
      </c>
      <c r="B1734" s="47" t="inlineStr">
        <is>
          <t>이야기 라이트 10GB+</t>
        </is>
      </c>
      <c r="C1734" s="47" t="inlineStr">
        <is>
          <t>무제한</t>
        </is>
      </c>
      <c r="D1734" s="47" t="inlineStr">
        <is>
          <t>무제한</t>
        </is>
      </c>
      <c r="E1734" s="47" t="inlineStr">
        <is>
          <t>월 10GB + 1Mbps</t>
        </is>
      </c>
      <c r="F1734" s="47" t="inlineStr">
        <is>
          <t>LG U+</t>
        </is>
      </c>
      <c r="G1734" s="47" t="inlineStr">
        <is>
          <t>LTE</t>
        </is>
      </c>
      <c r="H1734" s="48" t="n">
        <v>14000</v>
      </c>
      <c r="I1734" s="48" t="n">
        <v>7</v>
      </c>
      <c r="J1734" s="48" t="n">
        <v>26400</v>
      </c>
      <c r="K1734" s="47">
        <f t="array" ref="K1734">_xlfn.XLOOKUP(1,(참조!$B$2:$B$15=E1734)*(참조!$D$2:$D$15=C1734)*(참조!$E$2:$E$15=D1734),참조!$C$2:$C$15,"")</f>
        <v/>
      </c>
    </row>
    <row r="1735" hidden="1" s="27">
      <c r="A1735" s="47" t="inlineStr">
        <is>
          <t>스마텔</t>
        </is>
      </c>
      <c r="B1735" s="47" t="inlineStr">
        <is>
          <t>5G 스위트 50GB+</t>
        </is>
      </c>
      <c r="C1735" s="47" t="inlineStr">
        <is>
          <t>무제한</t>
        </is>
      </c>
      <c r="D1735" s="47" t="inlineStr">
        <is>
          <t>무제한</t>
        </is>
      </c>
      <c r="E1735" s="47" t="inlineStr">
        <is>
          <t>월 50GB + 1Mbps</t>
        </is>
      </c>
      <c r="F1735" s="47" t="inlineStr">
        <is>
          <t>KT</t>
        </is>
      </c>
      <c r="G1735" s="47" t="inlineStr">
        <is>
          <t>5G</t>
        </is>
      </c>
      <c r="H1735" s="48" t="n">
        <v>41800</v>
      </c>
      <c r="I1735" s="48" t="n">
        <v>36</v>
      </c>
      <c r="J1735" s="48" t="n">
        <v>47300</v>
      </c>
      <c r="K1735" s="47">
        <f t="array" ref="K1735">_xlfn.XLOOKUP(1,(참조!$B$2:$B$15=E1735)*(참조!$D$2:$D$15=C1735)*(참조!$E$2:$E$15=D1735),참조!$C$2:$C$15,"")</f>
        <v/>
      </c>
    </row>
    <row r="1736" hidden="1" s="27">
      <c r="A1736" s="47" t="inlineStr">
        <is>
          <t>모빙</t>
        </is>
      </c>
      <c r="B1736" s="47" t="inlineStr">
        <is>
          <t>실속 300분15GB+</t>
        </is>
      </c>
      <c r="C1736" s="47" t="inlineStr">
        <is>
          <t>300분</t>
        </is>
      </c>
      <c r="D1736" s="47" t="inlineStr">
        <is>
          <t>300건</t>
        </is>
      </c>
      <c r="E1736" s="47" t="inlineStr">
        <is>
          <t>월 15GB + 3Mbps</t>
        </is>
      </c>
      <c r="F1736" s="47" t="inlineStr">
        <is>
          <t>LG U+</t>
        </is>
      </c>
      <c r="G1736" s="47" t="inlineStr">
        <is>
          <t>LTE</t>
        </is>
      </c>
      <c r="H1736" s="48" t="n">
        <v>16000</v>
      </c>
      <c r="I1736" s="48" t="n">
        <v>7</v>
      </c>
      <c r="J1736" s="48" t="n">
        <v>40000</v>
      </c>
      <c r="K1736" s="47">
        <f t="array" ref="K1736">_xlfn.XLOOKUP(1,(참조!$B$2:$B$15=E1736)*(참조!$D$2:$D$15=C1736)*(참조!$E$2:$E$15=D1736),참조!$C$2:$C$15,"")</f>
        <v/>
      </c>
    </row>
    <row r="1737" hidden="1" s="27">
      <c r="A1737" s="47" t="inlineStr">
        <is>
          <t>이야기모바일</t>
        </is>
      </c>
      <c r="B1737" s="47" t="inlineStr">
        <is>
          <t>함께이야기해S(1000분+30GB)</t>
        </is>
      </c>
      <c r="C1737" s="47" t="inlineStr">
        <is>
          <t>1,000분</t>
        </is>
      </c>
      <c r="D1737" s="47" t="inlineStr">
        <is>
          <t>300건</t>
        </is>
      </c>
      <c r="E1737" s="47" t="inlineStr">
        <is>
          <t>월 30GB</t>
        </is>
      </c>
      <c r="F1737" s="47" t="inlineStr">
        <is>
          <t>SKT</t>
        </is>
      </c>
      <c r="G1737" s="47" t="inlineStr">
        <is>
          <t>LTE</t>
        </is>
      </c>
      <c r="H1737" s="48" t="n">
        <v>33000</v>
      </c>
      <c r="I1737" s="48" t="n">
        <v>12</v>
      </c>
      <c r="J1737" s="48" t="n">
        <v>38500</v>
      </c>
      <c r="K1737" s="47">
        <f t="array" ref="K1737">_xlfn.XLOOKUP(1,(참조!$B$2:$B$15=E1737)*(참조!$D$2:$D$15=C1737)*(참조!$E$2:$E$15=D1737),참조!$C$2:$C$15,"")</f>
        <v/>
      </c>
    </row>
    <row r="1738" hidden="1" s="27">
      <c r="A1738" s="47" t="inlineStr">
        <is>
          <t>마블링</t>
        </is>
      </c>
      <c r="B1738" s="47" t="inlineStr">
        <is>
          <t>마블링 프라임(5G) 150GB+5Mbps</t>
        </is>
      </c>
      <c r="C1738" s="47" t="inlineStr">
        <is>
          <t>무제한</t>
        </is>
      </c>
      <c r="D1738" s="47" t="inlineStr">
        <is>
          <t>무제한</t>
        </is>
      </c>
      <c r="E1738" s="47" t="inlineStr">
        <is>
          <t>월 150GB + 5Mbps</t>
        </is>
      </c>
      <c r="F1738" s="47" t="inlineStr">
        <is>
          <t>LG U+</t>
        </is>
      </c>
      <c r="G1738" s="47" t="inlineStr">
        <is>
          <t>5G</t>
        </is>
      </c>
      <c r="H1738" s="48" t="n">
        <v>30900</v>
      </c>
      <c r="I1738" s="48" t="n">
        <v>7</v>
      </c>
      <c r="J1738" s="48" t="n">
        <v>48900</v>
      </c>
      <c r="K1738" s="47">
        <f t="array" ref="K1738">_xlfn.XLOOKUP(1,(참조!$B$2:$B$15=E1738)*(참조!$D$2:$D$15=C1738)*(참조!$E$2:$E$15=D1738),참조!$C$2:$C$15,"")</f>
        <v/>
      </c>
    </row>
    <row r="1739" hidden="1" s="27">
      <c r="A1739" s="47" t="inlineStr">
        <is>
          <t>에이모바일</t>
        </is>
      </c>
      <c r="B1739" s="47" t="inlineStr">
        <is>
          <t>A 올라잇 11GB+ 네이버페이(+추가 네이버페이 1만x7개월)</t>
        </is>
      </c>
      <c r="C1739" s="47" t="inlineStr">
        <is>
          <t>무제한</t>
        </is>
      </c>
      <c r="D1739" s="47" t="inlineStr">
        <is>
          <t>무제한</t>
        </is>
      </c>
      <c r="E1739" s="47" t="inlineStr">
        <is>
          <t>월 11GB + 매일 2GB + 3Mbps</t>
        </is>
      </c>
      <c r="F1739" s="47" t="inlineStr">
        <is>
          <t>KT</t>
        </is>
      </c>
      <c r="G1739" s="47" t="inlineStr">
        <is>
          <t>LTE</t>
        </is>
      </c>
      <c r="H1739" s="48" t="n">
        <v>19900</v>
      </c>
      <c r="I1739" s="48" t="n">
        <v>7</v>
      </c>
      <c r="J1739" s="48" t="n">
        <v>42900</v>
      </c>
      <c r="K1739" s="47">
        <f t="array" ref="K1739">_xlfn.XLOOKUP(1,(참조!$B$2:$B$15=E1739)*(참조!$D$2:$D$15=C1739)*(참조!$E$2:$E$15=D1739),참조!$C$2:$C$15,"")</f>
        <v/>
      </c>
    </row>
    <row r="1740" hidden="1" s="27">
      <c r="A1740" s="47" t="inlineStr">
        <is>
          <t>에이모바일</t>
        </is>
      </c>
      <c r="B1740" s="47" t="inlineStr">
        <is>
          <t>A 올라잇 매일 5GB+(+추가 네이버페이 1만x7개월)</t>
        </is>
      </c>
      <c r="C1740" s="47" t="inlineStr">
        <is>
          <t>무제한</t>
        </is>
      </c>
      <c r="D1740" s="47" t="inlineStr">
        <is>
          <t>무제한</t>
        </is>
      </c>
      <c r="E1740" s="47" t="inlineStr">
        <is>
          <t>매일 5GB + 5Mbps</t>
        </is>
      </c>
      <c r="F1740" s="47" t="inlineStr">
        <is>
          <t>KT</t>
        </is>
      </c>
      <c r="G1740" s="47" t="inlineStr">
        <is>
          <t>LTE</t>
        </is>
      </c>
      <c r="H1740" s="48" t="n">
        <v>19500</v>
      </c>
      <c r="I1740" s="48" t="n">
        <v>7</v>
      </c>
      <c r="J1740" s="48" t="n">
        <v>46200</v>
      </c>
      <c r="K1740" s="47">
        <f t="array" ref="K1740">_xlfn.XLOOKUP(1,(참조!$B$2:$B$15=E1740)*(참조!$D$2:$D$15=C1740)*(참조!$E$2:$E$15=D1740),참조!$C$2:$C$15,"")</f>
        <v/>
      </c>
    </row>
    <row r="1741" hidden="1" s="27">
      <c r="A1741" s="47" t="inlineStr">
        <is>
          <t>스마텔</t>
        </is>
      </c>
      <c r="B1741" s="47" t="inlineStr">
        <is>
          <t>5G 스마일 플러스 (100분+3GB)</t>
        </is>
      </c>
      <c r="C1741" s="47" t="inlineStr">
        <is>
          <t>100분</t>
        </is>
      </c>
      <c r="D1741" s="47" t="inlineStr">
        <is>
          <t>100건</t>
        </is>
      </c>
      <c r="E1741" s="47" t="inlineStr">
        <is>
          <t>월 3GB</t>
        </is>
      </c>
      <c r="F1741" s="47" t="inlineStr">
        <is>
          <t>SKT</t>
        </is>
      </c>
      <c r="G1741" s="47" t="inlineStr">
        <is>
          <t>5G</t>
        </is>
      </c>
      <c r="H1741" s="48" t="n">
        <v>2950</v>
      </c>
      <c r="I1741" s="48" t="n">
        <v>5</v>
      </c>
      <c r="J1741" s="48" t="n">
        <v>9000</v>
      </c>
      <c r="K1741" s="47">
        <f t="array" ref="K1741">_xlfn.XLOOKUP(1,(참조!$B$2:$B$15=E1741)*(참조!$D$2:$D$15=C1741)*(참조!$E$2:$E$15=D1741),참조!$C$2:$C$15,"")</f>
        <v/>
      </c>
    </row>
    <row r="1742" hidden="1" s="27">
      <c r="A1742" s="47" t="inlineStr">
        <is>
          <t>LG헬로모바일</t>
        </is>
      </c>
      <c r="B1742" s="47" t="inlineStr">
        <is>
          <t>슬림 안심 유심 1GB 100분</t>
        </is>
      </c>
      <c r="C1742" s="47" t="inlineStr">
        <is>
          <t>100분</t>
        </is>
      </c>
      <c r="D1742" s="47" t="inlineStr">
        <is>
          <t>50건</t>
        </is>
      </c>
      <c r="E1742" s="47" t="inlineStr">
        <is>
          <t>월 1GB + 400Kbps</t>
        </is>
      </c>
      <c r="F1742" s="47" t="inlineStr">
        <is>
          <t>LG U+</t>
        </is>
      </c>
      <c r="G1742" s="47" t="inlineStr">
        <is>
          <t>LTE</t>
        </is>
      </c>
      <c r="H1742" s="48" t="n">
        <v>8800</v>
      </c>
      <c r="I1742" s="48" t="n"/>
      <c r="J1742" s="48" t="n"/>
      <c r="K1742" s="47">
        <f t="array" ref="K1742">_xlfn.XLOOKUP(1,(참조!$B$2:$B$15=E1742)*(참조!$D$2:$D$15=C1742)*(참조!$E$2:$E$15=D1742),참조!$C$2:$C$15,"")</f>
        <v/>
      </c>
    </row>
    <row r="1743" hidden="1" s="27">
      <c r="A1743" s="47" t="inlineStr">
        <is>
          <t>리브모바일</t>
        </is>
      </c>
      <c r="B1743" s="47" t="inlineStr">
        <is>
          <t>LTE 무제한 11GB+(NPay)</t>
        </is>
      </c>
      <c r="C1743" s="47" t="inlineStr">
        <is>
          <t>무제한</t>
        </is>
      </c>
      <c r="D1743" s="47" t="inlineStr">
        <is>
          <t>무제한</t>
        </is>
      </c>
      <c r="E1743" s="47" t="inlineStr">
        <is>
          <t>월 11GB + 매일 2GB + 3Mbps</t>
        </is>
      </c>
      <c r="F1743" s="47" t="inlineStr">
        <is>
          <t>KT</t>
        </is>
      </c>
      <c r="G1743" s="47" t="inlineStr">
        <is>
          <t>LTE</t>
        </is>
      </c>
      <c r="H1743" s="48" t="n">
        <v>35100</v>
      </c>
      <c r="I1743" s="48" t="n">
        <v>12</v>
      </c>
      <c r="J1743" s="48" t="n">
        <v>39500</v>
      </c>
      <c r="K1743" s="47">
        <f t="array" ref="K1743">_xlfn.XLOOKUP(1,(참조!$B$2:$B$15=E1743)*(참조!$D$2:$D$15=C1743)*(참조!$E$2:$E$15=D1743),참조!$C$2:$C$15,"")</f>
        <v/>
      </c>
    </row>
    <row r="1744" hidden="1" s="27">
      <c r="A1744" s="47" t="inlineStr">
        <is>
          <t>모빙</t>
        </is>
      </c>
      <c r="B1744" s="47" t="inlineStr">
        <is>
          <t>[L] 데이터 7GB+</t>
        </is>
      </c>
      <c r="C1744" s="47" t="inlineStr">
        <is>
          <t>무제한</t>
        </is>
      </c>
      <c r="D1744" s="47" t="inlineStr">
        <is>
          <t>무제한</t>
        </is>
      </c>
      <c r="E1744" s="47" t="inlineStr">
        <is>
          <t>월 7GB + 1Mbps</t>
        </is>
      </c>
      <c r="F1744" s="47" t="inlineStr">
        <is>
          <t>LG U+</t>
        </is>
      </c>
      <c r="G1744" s="47" t="inlineStr">
        <is>
          <t>LTE</t>
        </is>
      </c>
      <c r="H1744" s="48" t="n">
        <v>7700</v>
      </c>
      <c r="I1744" s="48" t="n">
        <v>7</v>
      </c>
      <c r="J1744" s="48" t="n">
        <v>26400</v>
      </c>
      <c r="K1744" s="47">
        <f t="array" ref="K1744">_xlfn.XLOOKUP(1,(참조!$B$2:$B$15=E1744)*(참조!$D$2:$D$15=C1744)*(참조!$E$2:$E$15=D1744),참조!$C$2:$C$15,"")</f>
        <v/>
      </c>
    </row>
    <row r="1745" hidden="1" s="27">
      <c r="A1745" s="47" t="inlineStr">
        <is>
          <t>이야기모바일</t>
        </is>
      </c>
      <c r="B1745" s="47" t="inlineStr">
        <is>
          <t>내맘대로S(100+3GB)</t>
        </is>
      </c>
      <c r="C1745" s="47" t="inlineStr">
        <is>
          <t>100분</t>
        </is>
      </c>
      <c r="D1745" s="47" t="inlineStr">
        <is>
          <t>100건</t>
        </is>
      </c>
      <c r="E1745" s="47" t="inlineStr">
        <is>
          <t>월 3GB</t>
        </is>
      </c>
      <c r="F1745" s="47" t="inlineStr">
        <is>
          <t>SKT</t>
        </is>
      </c>
      <c r="G1745" s="47" t="inlineStr">
        <is>
          <t>LTE</t>
        </is>
      </c>
      <c r="H1745" s="48" t="n">
        <v>3000</v>
      </c>
      <c r="I1745" s="48" t="n">
        <v>4</v>
      </c>
      <c r="J1745" s="48" t="n">
        <v>7700</v>
      </c>
      <c r="K1745" s="47">
        <f t="array" ref="K1745">_xlfn.XLOOKUP(1,(참조!$B$2:$B$15=E1745)*(참조!$D$2:$D$15=C1745)*(참조!$E$2:$E$15=D1745),참조!$C$2:$C$15,"")</f>
        <v/>
      </c>
    </row>
    <row r="1746" hidden="1" s="27">
      <c r="A1746" s="47" t="inlineStr">
        <is>
          <t>모빙</t>
        </is>
      </c>
      <c r="B1746" s="47" t="inlineStr">
        <is>
          <t>[S] CU편의점 11GB+</t>
        </is>
      </c>
      <c r="C1746" s="47" t="inlineStr">
        <is>
          <t>무제한</t>
        </is>
      </c>
      <c r="D1746" s="47" t="inlineStr">
        <is>
          <t>무제한</t>
        </is>
      </c>
      <c r="E1746" s="47" t="inlineStr">
        <is>
          <t>월 11GB + 매일 2GB + 3Mbps</t>
        </is>
      </c>
      <c r="F1746" s="47" t="inlineStr">
        <is>
          <t>SKT</t>
        </is>
      </c>
      <c r="G1746" s="47" t="inlineStr">
        <is>
          <t>LTE</t>
        </is>
      </c>
      <c r="H1746" s="48" t="n">
        <v>18000</v>
      </c>
      <c r="I1746" s="48" t="n">
        <v>7</v>
      </c>
      <c r="J1746" s="48" t="n">
        <v>55000</v>
      </c>
      <c r="K1746" s="47">
        <f t="array" ref="K1746">_xlfn.XLOOKUP(1,(참조!$B$2:$B$15=E1746)*(참조!$D$2:$D$15=C1746)*(참조!$E$2:$E$15=D1746),참조!$C$2:$C$15,"")</f>
        <v/>
      </c>
    </row>
    <row r="1747" hidden="1" s="27">
      <c r="A1747" s="47" t="inlineStr">
        <is>
          <t>이야기모바일</t>
        </is>
      </c>
      <c r="B1747" s="47" t="inlineStr">
        <is>
          <t>5G 이야기 라이트 50GB+</t>
        </is>
      </c>
      <c r="C1747" s="47" t="inlineStr">
        <is>
          <t>무제한</t>
        </is>
      </c>
      <c r="D1747" s="47" t="inlineStr">
        <is>
          <t>무제한</t>
        </is>
      </c>
      <c r="E1747" s="47" t="inlineStr">
        <is>
          <t>월 50GB + 1Mbps</t>
        </is>
      </c>
      <c r="F1747" s="47" t="inlineStr">
        <is>
          <t>LG U+</t>
        </is>
      </c>
      <c r="G1747" s="47" t="inlineStr">
        <is>
          <t>5G</t>
        </is>
      </c>
      <c r="H1747" s="48" t="n">
        <v>31900</v>
      </c>
      <c r="I1747" s="48" t="n">
        <v>7</v>
      </c>
      <c r="J1747" s="48" t="n">
        <v>45100</v>
      </c>
      <c r="K1747" s="47">
        <f t="array" ref="K1747">_xlfn.XLOOKUP(1,(참조!$B$2:$B$15=E1747)*(참조!$D$2:$D$15=C1747)*(참조!$E$2:$E$15=D1747),참조!$C$2:$C$15,"")</f>
        <v/>
      </c>
    </row>
    <row r="1748" hidden="1" s="27">
      <c r="A1748" s="47" t="inlineStr">
        <is>
          <t>LG헬로모바일</t>
        </is>
      </c>
      <c r="B1748" s="47" t="inlineStr">
        <is>
          <t>5G 유심 중간요금제 80GB</t>
        </is>
      </c>
      <c r="C1748" s="47" t="inlineStr">
        <is>
          <t>무제한</t>
        </is>
      </c>
      <c r="D1748" s="47" t="inlineStr">
        <is>
          <t>무제한</t>
        </is>
      </c>
      <c r="E1748" s="47" t="inlineStr">
        <is>
          <t>월 80GB + 1Mbps</t>
        </is>
      </c>
      <c r="F1748" s="47" t="inlineStr">
        <is>
          <t>LG U+</t>
        </is>
      </c>
      <c r="G1748" s="47" t="inlineStr">
        <is>
          <t>5G</t>
        </is>
      </c>
      <c r="H1748" s="48" t="n">
        <v>42680</v>
      </c>
      <c r="I1748" s="48" t="n"/>
      <c r="J1748" s="48" t="n"/>
      <c r="K1748" s="47">
        <f t="array" ref="K1748">_xlfn.XLOOKUP(1,(참조!$B$2:$B$15=E1748)*(참조!$D$2:$D$15=C1748)*(참조!$E$2:$E$15=D1748),참조!$C$2:$C$15,"")</f>
        <v/>
      </c>
    </row>
    <row r="1749" hidden="1" s="27">
      <c r="A1749" s="47" t="inlineStr">
        <is>
          <t>아이즈모바일</t>
        </is>
      </c>
      <c r="B1749" s="47" t="inlineStr">
        <is>
          <t>[S]OK캐쉬백 100GB+</t>
        </is>
      </c>
      <c r="C1749" s="47" t="inlineStr">
        <is>
          <t>무제한</t>
        </is>
      </c>
      <c r="D1749" s="47" t="inlineStr">
        <is>
          <t>무제한</t>
        </is>
      </c>
      <c r="E1749" s="47" t="inlineStr">
        <is>
          <t>월 100GB + 5Mbps</t>
        </is>
      </c>
      <c r="F1749" s="47" t="inlineStr">
        <is>
          <t>SKT</t>
        </is>
      </c>
      <c r="G1749" s="47" t="inlineStr">
        <is>
          <t>LTE</t>
        </is>
      </c>
      <c r="H1749" s="48" t="n">
        <v>34900</v>
      </c>
      <c r="I1749" s="48" t="n">
        <v>12</v>
      </c>
      <c r="J1749" s="48" t="n">
        <v>55000</v>
      </c>
      <c r="K1749" s="47">
        <f t="array" ref="K1749">_xlfn.XLOOKUP(1,(참조!$B$2:$B$15=E1749)*(참조!$D$2:$D$15=C1749)*(참조!$E$2:$E$15=D1749),참조!$C$2:$C$15,"")</f>
        <v/>
      </c>
    </row>
    <row r="1750" hidden="1" s="27">
      <c r="A1750" s="47" t="inlineStr">
        <is>
          <t>KG모바일</t>
        </is>
      </c>
      <c r="B1750" s="47" t="inlineStr">
        <is>
          <t>[모빌카드 스페셜] 유심 5G 31GB+</t>
        </is>
      </c>
      <c r="C1750" s="47" t="inlineStr">
        <is>
          <t>무제한</t>
        </is>
      </c>
      <c r="D1750" s="47" t="inlineStr">
        <is>
          <t>무제한</t>
        </is>
      </c>
      <c r="E1750" s="47" t="inlineStr">
        <is>
          <t>월 31GB + 1Mbps</t>
        </is>
      </c>
      <c r="F1750" s="47" t="inlineStr">
        <is>
          <t>LG U+</t>
        </is>
      </c>
      <c r="G1750" s="47" t="inlineStr">
        <is>
          <t>5G</t>
        </is>
      </c>
      <c r="H1750" s="48" t="n">
        <v>27170</v>
      </c>
      <c r="I1750" s="48" t="n">
        <v>7</v>
      </c>
      <c r="J1750" s="48" t="n">
        <v>45650</v>
      </c>
      <c r="K1750" s="47">
        <f t="array" ref="K1750">_xlfn.XLOOKUP(1,(참조!$B$2:$B$15=E1750)*(참조!$D$2:$D$15=C1750)*(참조!$E$2:$E$15=D1750),참조!$C$2:$C$15,"")</f>
        <v/>
      </c>
    </row>
    <row r="1751" hidden="1" s="27">
      <c r="A1751" s="47" t="inlineStr">
        <is>
          <t>아이즈모바일</t>
        </is>
      </c>
      <c r="B1751" s="47" t="inlineStr">
        <is>
          <t>[L]무한10GB+1Mbps</t>
        </is>
      </c>
      <c r="C1751" s="47" t="inlineStr">
        <is>
          <t>무제한</t>
        </is>
      </c>
      <c r="D1751" s="47" t="inlineStr">
        <is>
          <t>무제한</t>
        </is>
      </c>
      <c r="E1751" s="47" t="inlineStr">
        <is>
          <t>월 10GB + 1Mbps</t>
        </is>
      </c>
      <c r="F1751" s="47" t="inlineStr">
        <is>
          <t>LG U+</t>
        </is>
      </c>
      <c r="G1751" s="47" t="inlineStr">
        <is>
          <t>LTE</t>
        </is>
      </c>
      <c r="H1751" s="48" t="n">
        <v>18000</v>
      </c>
      <c r="I1751" s="48" t="n"/>
      <c r="J1751" s="48" t="n"/>
      <c r="K1751" s="47">
        <f t="array" ref="K1751">_xlfn.XLOOKUP(1,(참조!$B$2:$B$15=E1751)*(참조!$D$2:$D$15=C1751)*(참조!$E$2:$E$15=D1751),참조!$C$2:$C$15,"")</f>
        <v/>
      </c>
    </row>
    <row r="1752" hidden="1" s="27">
      <c r="A1752" s="47" t="inlineStr">
        <is>
          <t>아이즈모바일</t>
        </is>
      </c>
      <c r="B1752" s="47" t="inlineStr">
        <is>
          <t>[K]아이즈특판100분/15GB+</t>
        </is>
      </c>
      <c r="C1752" s="47" t="inlineStr">
        <is>
          <t>100분</t>
        </is>
      </c>
      <c r="D1752" s="47" t="inlineStr">
        <is>
          <t>100건</t>
        </is>
      </c>
      <c r="E1752" s="47" t="inlineStr">
        <is>
          <t>월 15GB + 3Mbps</t>
        </is>
      </c>
      <c r="F1752" s="47" t="inlineStr">
        <is>
          <t>KT</t>
        </is>
      </c>
      <c r="G1752" s="47" t="inlineStr">
        <is>
          <t>LTE</t>
        </is>
      </c>
      <c r="H1752" s="48" t="n">
        <v>28600</v>
      </c>
      <c r="I1752" s="48" t="n"/>
      <c r="J1752" s="48" t="n"/>
      <c r="K1752" s="47">
        <f t="array" ref="K1752">_xlfn.XLOOKUP(1,(참조!$B$2:$B$15=E1752)*(참조!$D$2:$D$15=C1752)*(참조!$E$2:$E$15=D1752),참조!$C$2:$C$15,"")</f>
        <v/>
      </c>
    </row>
    <row r="1753" hidden="1" s="27">
      <c r="A1753" s="47" t="inlineStr">
        <is>
          <t>아이즈모바일</t>
        </is>
      </c>
      <c r="B1753" s="47" t="inlineStr">
        <is>
          <t>[S]무한300분/15GB+</t>
        </is>
      </c>
      <c r="C1753" s="47" t="inlineStr">
        <is>
          <t>300분</t>
        </is>
      </c>
      <c r="D1753" s="47" t="inlineStr">
        <is>
          <t>300건</t>
        </is>
      </c>
      <c r="E1753" s="47" t="inlineStr">
        <is>
          <t>월 15GB + 3Mbps</t>
        </is>
      </c>
      <c r="F1753" s="47" t="inlineStr">
        <is>
          <t>SKT</t>
        </is>
      </c>
      <c r="G1753" s="47" t="inlineStr">
        <is>
          <t>LTE</t>
        </is>
      </c>
      <c r="H1753" s="48" t="n">
        <v>25000</v>
      </c>
      <c r="I1753" s="48" t="n">
        <v>36</v>
      </c>
      <c r="J1753" s="48" t="n">
        <v>36300</v>
      </c>
      <c r="K1753" s="47">
        <f t="array" ref="K1753">_xlfn.XLOOKUP(1,(참조!$B$2:$B$15=E1753)*(참조!$D$2:$D$15=C1753)*(참조!$E$2:$E$15=D1753),참조!$C$2:$C$15,"")</f>
        <v/>
      </c>
    </row>
    <row r="1754" hidden="1" s="27">
      <c r="A1754" s="47" t="inlineStr">
        <is>
          <t>모빙</t>
        </is>
      </c>
      <c r="B1754" s="47" t="inlineStr">
        <is>
          <t>[S] 5G 데이터 110GB+</t>
        </is>
      </c>
      <c r="C1754" s="47" t="inlineStr">
        <is>
          <t>무제한</t>
        </is>
      </c>
      <c r="D1754" s="47" t="inlineStr">
        <is>
          <t>무제한</t>
        </is>
      </c>
      <c r="E1754" s="47" t="inlineStr">
        <is>
          <t>월 110GB + 5Mbps</t>
        </is>
      </c>
      <c r="F1754" s="47" t="inlineStr">
        <is>
          <t>SKT</t>
        </is>
      </c>
      <c r="G1754" s="47" t="inlineStr">
        <is>
          <t>5G</t>
        </is>
      </c>
      <c r="H1754" s="48" t="n">
        <v>42400</v>
      </c>
      <c r="I1754" s="48" t="n">
        <v>24</v>
      </c>
      <c r="J1754" s="48" t="n">
        <v>53900</v>
      </c>
      <c r="K1754" s="47">
        <f t="array" ref="K1754">_xlfn.XLOOKUP(1,(참조!$B$2:$B$15=E1754)*(참조!$D$2:$D$15=C1754)*(참조!$E$2:$E$15=D1754),참조!$C$2:$C$15,"")</f>
        <v/>
      </c>
    </row>
    <row r="1755" hidden="1" s="27">
      <c r="A1755" s="47" t="inlineStr">
        <is>
          <t>고고모바일</t>
        </is>
      </c>
      <c r="B1755" s="47" t="inlineStr">
        <is>
          <t>LTE200분/4GB-데이터소진후 자동차단</t>
        </is>
      </c>
      <c r="C1755" s="47" t="inlineStr">
        <is>
          <t>200분</t>
        </is>
      </c>
      <c r="D1755" s="47" t="inlineStr">
        <is>
          <t>200건</t>
        </is>
      </c>
      <c r="E1755" s="47" t="inlineStr">
        <is>
          <t>월 4GB</t>
        </is>
      </c>
      <c r="F1755" s="47" t="inlineStr">
        <is>
          <t>KT</t>
        </is>
      </c>
      <c r="G1755" s="47" t="inlineStr">
        <is>
          <t>LTE</t>
        </is>
      </c>
      <c r="H1755" s="48" t="n">
        <v>11000</v>
      </c>
      <c r="I1755" s="48" t="n"/>
      <c r="J1755" s="48" t="n"/>
      <c r="K1755" s="47">
        <f t="array" ref="K1755">_xlfn.XLOOKUP(1,(참조!$B$2:$B$15=E1755)*(참조!$D$2:$D$15=C1755)*(참조!$E$2:$E$15=D1755),참조!$C$2:$C$15,"")</f>
        <v/>
      </c>
    </row>
    <row r="1756" hidden="1" s="27">
      <c r="A1756" s="47" t="inlineStr">
        <is>
          <t>이야기모바일</t>
        </is>
      </c>
      <c r="B1756" s="47" t="inlineStr">
        <is>
          <t>이야기 라이트 200분2.5GB+</t>
        </is>
      </c>
      <c r="C1756" s="47" t="inlineStr">
        <is>
          <t>200분</t>
        </is>
      </c>
      <c r="D1756" s="47" t="inlineStr">
        <is>
          <t>100건</t>
        </is>
      </c>
      <c r="E1756" s="47" t="inlineStr">
        <is>
          <t>월 2.5GB + 1Mbps</t>
        </is>
      </c>
      <c r="F1756" s="47" t="inlineStr">
        <is>
          <t>LG U+</t>
        </is>
      </c>
      <c r="G1756" s="47" t="inlineStr">
        <is>
          <t>LTE</t>
        </is>
      </c>
      <c r="H1756" s="48" t="n">
        <v>3300</v>
      </c>
      <c r="I1756" s="48" t="n">
        <v>6</v>
      </c>
      <c r="J1756" s="48" t="n">
        <v>12100</v>
      </c>
      <c r="K1756" s="47">
        <f t="array" ref="K1756">_xlfn.XLOOKUP(1,(참조!$B$2:$B$15=E1756)*(참조!$D$2:$D$15=C1756)*(참조!$E$2:$E$15=D1756),참조!$C$2:$C$15,"")</f>
        <v/>
      </c>
    </row>
    <row r="1757" hidden="1" s="27">
      <c r="A1757" s="47" t="inlineStr">
        <is>
          <t>모빙</t>
        </is>
      </c>
      <c r="B1757" s="47" t="inlineStr">
        <is>
          <t>[K] 5G 데이터 90GB+</t>
        </is>
      </c>
      <c r="C1757" s="47" t="inlineStr">
        <is>
          <t>무제한</t>
        </is>
      </c>
      <c r="D1757" s="47" t="inlineStr">
        <is>
          <t>무제한</t>
        </is>
      </c>
      <c r="E1757" s="47" t="inlineStr">
        <is>
          <t>월 90GB + 1Mbps</t>
        </is>
      </c>
      <c r="F1757" s="47" t="inlineStr">
        <is>
          <t>KT</t>
        </is>
      </c>
      <c r="G1757" s="47" t="inlineStr">
        <is>
          <t>5G</t>
        </is>
      </c>
      <c r="H1757" s="48" t="n">
        <v>34100</v>
      </c>
      <c r="I1757" s="48" t="n">
        <v>12</v>
      </c>
      <c r="J1757" s="48" t="n">
        <v>60500</v>
      </c>
      <c r="K1757" s="47">
        <f t="array" ref="K1757">_xlfn.XLOOKUP(1,(참조!$B$2:$B$15=E1757)*(참조!$D$2:$D$15=C1757)*(참조!$E$2:$E$15=D1757),참조!$C$2:$C$15,"")</f>
        <v/>
      </c>
    </row>
    <row r="1758" hidden="1" s="27">
      <c r="A1758" s="47" t="inlineStr">
        <is>
          <t>스마텔</t>
        </is>
      </c>
      <c r="B1758" s="47" t="inlineStr">
        <is>
          <t>후후 플러스 (100분+3GB)</t>
        </is>
      </c>
      <c r="C1758" s="47" t="inlineStr">
        <is>
          <t>100분</t>
        </is>
      </c>
      <c r="D1758" s="47" t="inlineStr">
        <is>
          <t>100건</t>
        </is>
      </c>
      <c r="E1758" s="47" t="inlineStr">
        <is>
          <t>월 3GB</t>
        </is>
      </c>
      <c r="F1758" s="47" t="inlineStr">
        <is>
          <t>SKT</t>
        </is>
      </c>
      <c r="G1758" s="47" t="inlineStr">
        <is>
          <t>LTE</t>
        </is>
      </c>
      <c r="H1758" s="48" t="n">
        <v>3190</v>
      </c>
      <c r="I1758" s="48" t="n">
        <v>5</v>
      </c>
      <c r="J1758" s="48" t="n">
        <v>5830</v>
      </c>
      <c r="K1758" s="47">
        <f t="array" ref="K1758">_xlfn.XLOOKUP(1,(참조!$B$2:$B$15=E1758)*(참조!$D$2:$D$15=C1758)*(참조!$E$2:$E$15=D1758),참조!$C$2:$C$15,"")</f>
        <v/>
      </c>
    </row>
    <row r="1759" hidden="1" s="27">
      <c r="A1759" s="47" t="inlineStr">
        <is>
          <t>아이즈모바일</t>
        </is>
      </c>
      <c r="B1759" s="47" t="inlineStr">
        <is>
          <t>[K]롯시&amp;밀리 10GB+</t>
        </is>
      </c>
      <c r="C1759" s="47" t="inlineStr">
        <is>
          <t>무제한</t>
        </is>
      </c>
      <c r="D1759" s="47" t="inlineStr">
        <is>
          <t>무제한</t>
        </is>
      </c>
      <c r="E1759" s="47" t="inlineStr">
        <is>
          <t>월 10GB + 1Mbps</t>
        </is>
      </c>
      <c r="F1759" s="47" t="inlineStr">
        <is>
          <t>KT</t>
        </is>
      </c>
      <c r="G1759" s="47" t="inlineStr">
        <is>
          <t>LTE</t>
        </is>
      </c>
      <c r="H1759" s="48" t="n">
        <v>6900</v>
      </c>
      <c r="I1759" s="48" t="n">
        <v>7</v>
      </c>
      <c r="J1759" s="48" t="n">
        <v>31900</v>
      </c>
      <c r="K1759" s="47">
        <f t="array" ref="K1759">_xlfn.XLOOKUP(1,(참조!$B$2:$B$15=E1759)*(참조!$D$2:$D$15=C1759)*(참조!$E$2:$E$15=D1759),참조!$C$2:$C$15,"")</f>
        <v/>
      </c>
    </row>
    <row r="1760" hidden="1" s="27">
      <c r="A1760" s="47" t="inlineStr">
        <is>
          <t>KT스카이라이프</t>
        </is>
      </c>
      <c r="B1760" s="47" t="inlineStr">
        <is>
          <t>5G 모두 충분 90GB+(밀리의서재)</t>
        </is>
      </c>
      <c r="C1760" s="47" t="inlineStr">
        <is>
          <t>무제한</t>
        </is>
      </c>
      <c r="D1760" s="47" t="inlineStr">
        <is>
          <t>무제한</t>
        </is>
      </c>
      <c r="E1760" s="47" t="inlineStr">
        <is>
          <t>월 90GB + 1Mbps</t>
        </is>
      </c>
      <c r="F1760" s="47" t="inlineStr">
        <is>
          <t>KT</t>
        </is>
      </c>
      <c r="G1760" s="47" t="inlineStr">
        <is>
          <t>5G</t>
        </is>
      </c>
      <c r="H1760" s="48" t="n">
        <v>41000</v>
      </c>
      <c r="I1760" s="48" t="n"/>
      <c r="J1760" s="48" t="n"/>
      <c r="K1760" s="47">
        <f t="array" ref="K1760">_xlfn.XLOOKUP(1,(참조!$B$2:$B$15=E1760)*(참조!$D$2:$D$15=C1760)*(참조!$E$2:$E$15=D1760),참조!$C$2:$C$15,"")</f>
        <v/>
      </c>
    </row>
    <row r="1761" hidden="1" s="27">
      <c r="A1761" s="47" t="inlineStr">
        <is>
          <t>이지모바일</t>
        </is>
      </c>
      <c r="B1761" s="47" t="inlineStr">
        <is>
          <t>EG-5G 24레귤러 50G+</t>
        </is>
      </c>
      <c r="C1761" s="47" t="inlineStr">
        <is>
          <t>무제한</t>
        </is>
      </c>
      <c r="D1761" s="47" t="inlineStr">
        <is>
          <t>무제한</t>
        </is>
      </c>
      <c r="E1761" s="47" t="inlineStr">
        <is>
          <t>월 50GB + 1Mbps</t>
        </is>
      </c>
      <c r="F1761" s="47" t="inlineStr">
        <is>
          <t>LG U+</t>
        </is>
      </c>
      <c r="G1761" s="47" t="inlineStr">
        <is>
          <t>5G</t>
        </is>
      </c>
      <c r="H1761" s="48" t="n">
        <v>27450</v>
      </c>
      <c r="I1761" s="48" t="n">
        <v>7</v>
      </c>
      <c r="J1761" s="48" t="n">
        <v>47250</v>
      </c>
      <c r="K1761" s="47">
        <f t="array" ref="K1761">_xlfn.XLOOKUP(1,(참조!$B$2:$B$15=E1761)*(참조!$D$2:$D$15=C1761)*(참조!$E$2:$E$15=D1761),참조!$C$2:$C$15,"")</f>
        <v/>
      </c>
    </row>
    <row r="1762" hidden="1" s="27">
      <c r="A1762" s="47" t="inlineStr">
        <is>
          <t>스마텔</t>
        </is>
      </c>
      <c r="B1762" s="47" t="inlineStr">
        <is>
          <t>5G 스위트 10GB</t>
        </is>
      </c>
      <c r="C1762" s="47" t="inlineStr">
        <is>
          <t>무제한</t>
        </is>
      </c>
      <c r="D1762" s="47" t="inlineStr">
        <is>
          <t>무제한</t>
        </is>
      </c>
      <c r="E1762" s="47" t="inlineStr">
        <is>
          <t>월 10GB + 1Mbps</t>
        </is>
      </c>
      <c r="F1762" s="47" t="inlineStr">
        <is>
          <t>KT</t>
        </is>
      </c>
      <c r="G1762" s="47" t="inlineStr">
        <is>
          <t>5G</t>
        </is>
      </c>
      <c r="H1762" s="48" t="n">
        <v>36300</v>
      </c>
      <c r="I1762" s="48" t="n"/>
      <c r="J1762" s="48" t="n"/>
      <c r="K1762" s="47">
        <f t="array" ref="K1762">_xlfn.XLOOKUP(1,(참조!$B$2:$B$15=E1762)*(참조!$D$2:$D$15=C1762)*(참조!$E$2:$E$15=D1762),참조!$C$2:$C$15,"")</f>
        <v/>
      </c>
    </row>
    <row r="1763" hidden="1" s="27">
      <c r="A1763" s="47" t="inlineStr">
        <is>
          <t>KT엠모바일</t>
        </is>
      </c>
      <c r="B1763" s="47" t="inlineStr">
        <is>
          <t>5G 모두다 맘껏 90GB+(밀리의 서재 FREE)</t>
        </is>
      </c>
      <c r="C1763" s="47" t="inlineStr">
        <is>
          <t>무제한</t>
        </is>
      </c>
      <c r="D1763" s="47" t="inlineStr">
        <is>
          <t>무제한</t>
        </is>
      </c>
      <c r="E1763" s="47" t="inlineStr">
        <is>
          <t>월 90GB + 1Mbps</t>
        </is>
      </c>
      <c r="F1763" s="47" t="inlineStr">
        <is>
          <t>KT</t>
        </is>
      </c>
      <c r="G1763" s="47" t="inlineStr">
        <is>
          <t>5G</t>
        </is>
      </c>
      <c r="H1763" s="48" t="n">
        <v>40300</v>
      </c>
      <c r="I1763" s="48" t="n"/>
      <c r="J1763" s="48" t="n"/>
      <c r="K1763" s="47">
        <f t="array" ref="K1763">_xlfn.XLOOKUP(1,(참조!$B$2:$B$15=E1763)*(참조!$D$2:$D$15=C1763)*(참조!$E$2:$E$15=D1763),참조!$C$2:$C$15,"")</f>
        <v/>
      </c>
    </row>
    <row r="1764" hidden="1" s="27">
      <c r="A1764" s="47" t="inlineStr">
        <is>
          <t>찬스모바일</t>
        </is>
      </c>
      <c r="B1764" s="47" t="inlineStr">
        <is>
          <t>5G 음성기본 스탠다드31+</t>
        </is>
      </c>
      <c r="C1764" s="47" t="inlineStr">
        <is>
          <t>무제한</t>
        </is>
      </c>
      <c r="D1764" s="47" t="inlineStr">
        <is>
          <t>무제한</t>
        </is>
      </c>
      <c r="E1764" s="47" t="inlineStr">
        <is>
          <t>월 31GB + 1Mbps</t>
        </is>
      </c>
      <c r="F1764" s="47" t="inlineStr">
        <is>
          <t>LG U+</t>
        </is>
      </c>
      <c r="G1764" s="47" t="inlineStr">
        <is>
          <t>5G</t>
        </is>
      </c>
      <c r="H1764" s="48" t="n">
        <v>22500</v>
      </c>
      <c r="I1764" s="48" t="n">
        <v>7</v>
      </c>
      <c r="J1764" s="48" t="n">
        <v>44000</v>
      </c>
      <c r="K1764" s="47">
        <f t="array" ref="K1764">_xlfn.XLOOKUP(1,(참조!$B$2:$B$15=E1764)*(참조!$D$2:$D$15=C1764)*(참조!$E$2:$E$15=D1764),참조!$C$2:$C$15,"")</f>
        <v/>
      </c>
    </row>
    <row r="1765" hidden="1" s="27">
      <c r="A1765" s="47" t="inlineStr">
        <is>
          <t>스마텔</t>
        </is>
      </c>
      <c r="B1765" s="47" t="inlineStr">
        <is>
          <t>스마트 프로 10GB+</t>
        </is>
      </c>
      <c r="C1765" s="47" t="inlineStr">
        <is>
          <t>무제한</t>
        </is>
      </c>
      <c r="D1765" s="47" t="inlineStr">
        <is>
          <t>무제한</t>
        </is>
      </c>
      <c r="E1765" s="47" t="inlineStr">
        <is>
          <t>월 10GB + 1Mbps</t>
        </is>
      </c>
      <c r="F1765" s="47" t="inlineStr">
        <is>
          <t>LG U+</t>
        </is>
      </c>
      <c r="G1765" s="47" t="inlineStr">
        <is>
          <t>LTE</t>
        </is>
      </c>
      <c r="H1765" s="48" t="n">
        <v>14940</v>
      </c>
      <c r="I1765" s="48" t="n">
        <v>7</v>
      </c>
      <c r="J1765" s="48" t="n">
        <v>29040</v>
      </c>
      <c r="K1765" s="47">
        <f t="array" ref="K1765">_xlfn.XLOOKUP(1,(참조!$B$2:$B$15=E1765)*(참조!$D$2:$D$15=C1765)*(참조!$E$2:$E$15=D1765),참조!$C$2:$C$15,"")</f>
        <v/>
      </c>
    </row>
    <row r="1766" hidden="1" s="27">
      <c r="A1766" s="47" t="inlineStr">
        <is>
          <t>리브모바일</t>
        </is>
      </c>
      <c r="B1766" s="47" t="inlineStr">
        <is>
          <t>LTE 무제한 일 5GB+(블라이스)</t>
        </is>
      </c>
      <c r="C1766" s="47" t="inlineStr">
        <is>
          <t>무제한</t>
        </is>
      </c>
      <c r="D1766" s="47" t="inlineStr">
        <is>
          <t>무제한</t>
        </is>
      </c>
      <c r="E1766" s="47" t="inlineStr">
        <is>
          <t>매일 5GB + 5Mbps</t>
        </is>
      </c>
      <c r="F1766" s="47" t="inlineStr">
        <is>
          <t>KT</t>
        </is>
      </c>
      <c r="G1766" s="47" t="inlineStr">
        <is>
          <t>LTE</t>
        </is>
      </c>
      <c r="H1766" s="48" t="n">
        <v>36600</v>
      </c>
      <c r="I1766" s="48" t="n">
        <v>12</v>
      </c>
      <c r="J1766" s="48" t="n">
        <v>41000</v>
      </c>
      <c r="K1766" s="47">
        <f t="array" ref="K1766">_xlfn.XLOOKUP(1,(참조!$B$2:$B$15=E1766)*(참조!$D$2:$D$15=C1766)*(참조!$E$2:$E$15=D1766),참조!$C$2:$C$15,"")</f>
        <v/>
      </c>
    </row>
    <row r="1767" hidden="1" s="27">
      <c r="A1767" s="47" t="inlineStr">
        <is>
          <t>모빙</t>
        </is>
      </c>
      <c r="B1767" s="47" t="inlineStr">
        <is>
          <t>[K] 5G 데이터 200GB+</t>
        </is>
      </c>
      <c r="C1767" s="47" t="inlineStr">
        <is>
          <t>무제한</t>
        </is>
      </c>
      <c r="D1767" s="47" t="inlineStr">
        <is>
          <t>무제한</t>
        </is>
      </c>
      <c r="E1767" s="47" t="inlineStr">
        <is>
          <t>월 200GB + 10Mbps</t>
        </is>
      </c>
      <c r="F1767" s="47" t="inlineStr">
        <is>
          <t>KT</t>
        </is>
      </c>
      <c r="G1767" s="47" t="inlineStr">
        <is>
          <t>5G</t>
        </is>
      </c>
      <c r="H1767" s="48" t="n">
        <v>40700</v>
      </c>
      <c r="I1767" s="48" t="n">
        <v>12</v>
      </c>
      <c r="J1767" s="48" t="n">
        <v>70400</v>
      </c>
      <c r="K1767" s="47">
        <f t="array" ref="K1767">_xlfn.XLOOKUP(1,(참조!$B$2:$B$15=E1767)*(참조!$D$2:$D$15=C1767)*(참조!$E$2:$E$15=D1767),참조!$C$2:$C$15,"")</f>
        <v/>
      </c>
    </row>
    <row r="1768" hidden="1" s="27">
      <c r="A1768" s="47" t="inlineStr">
        <is>
          <t>리브모바일</t>
        </is>
      </c>
      <c r="B1768" s="47" t="inlineStr">
        <is>
          <t>LTE 71GB+(라이더)</t>
        </is>
      </c>
      <c r="C1768" s="47" t="inlineStr">
        <is>
          <t>무제한</t>
        </is>
      </c>
      <c r="D1768" s="47" t="inlineStr">
        <is>
          <t>무제한</t>
        </is>
      </c>
      <c r="E1768" s="47" t="inlineStr">
        <is>
          <t>월 11GB + 매일 2GB + 3Mbps</t>
        </is>
      </c>
      <c r="F1768" s="47" t="inlineStr">
        <is>
          <t>LG U+</t>
        </is>
      </c>
      <c r="G1768" s="47" t="inlineStr">
        <is>
          <t>LTE</t>
        </is>
      </c>
      <c r="H1768" s="48" t="n">
        <v>32990</v>
      </c>
      <c r="I1768" s="48" t="n"/>
      <c r="J1768" s="48" t="n"/>
      <c r="K1768" s="47">
        <f t="array" ref="K1768">_xlfn.XLOOKUP(1,(참조!$B$2:$B$15=E1768)*(참조!$D$2:$D$15=C1768)*(참조!$E$2:$E$15=D1768),참조!$C$2:$C$15,"")</f>
        <v/>
      </c>
    </row>
    <row r="1769" hidden="1" s="27">
      <c r="A1769" s="47" t="inlineStr">
        <is>
          <t>모빙</t>
        </is>
      </c>
      <c r="B1769" s="47" t="inlineStr">
        <is>
          <t>[K] 지니뮤직 11GB+</t>
        </is>
      </c>
      <c r="C1769" s="47" t="inlineStr">
        <is>
          <t>무제한</t>
        </is>
      </c>
      <c r="D1769" s="47" t="inlineStr">
        <is>
          <t>무제한</t>
        </is>
      </c>
      <c r="E1769" s="47" t="inlineStr">
        <is>
          <t>월 11GB + 매일 2GB + 3Mbps</t>
        </is>
      </c>
      <c r="F1769" s="47" t="inlineStr">
        <is>
          <t>KT</t>
        </is>
      </c>
      <c r="G1769" s="47" t="inlineStr">
        <is>
          <t>LTE</t>
        </is>
      </c>
      <c r="H1769" s="48" t="n">
        <v>19800</v>
      </c>
      <c r="I1769" s="48" t="n">
        <v>7</v>
      </c>
      <c r="J1769" s="48" t="n">
        <v>53900</v>
      </c>
      <c r="K1769" s="47">
        <f t="array" ref="K1769">_xlfn.XLOOKUP(1,(참조!$B$2:$B$15=E1769)*(참조!$D$2:$D$15=C1769)*(참조!$E$2:$E$15=D1769),참조!$C$2:$C$15,"")</f>
        <v/>
      </c>
    </row>
    <row r="1770" hidden="1" s="27">
      <c r="A1770" s="47" t="inlineStr">
        <is>
          <t>스마텔</t>
        </is>
      </c>
      <c r="B1770" s="47" t="inlineStr">
        <is>
          <t>5G 스마일 플러스 (200분+3GB)</t>
        </is>
      </c>
      <c r="C1770" s="47" t="inlineStr">
        <is>
          <t>200분</t>
        </is>
      </c>
      <c r="D1770" s="47" t="inlineStr">
        <is>
          <t>100건</t>
        </is>
      </c>
      <c r="E1770" s="47" t="inlineStr">
        <is>
          <t>월 3GB</t>
        </is>
      </c>
      <c r="F1770" s="47" t="inlineStr">
        <is>
          <t>SKT</t>
        </is>
      </c>
      <c r="G1770" s="47" t="inlineStr">
        <is>
          <t>5G</t>
        </is>
      </c>
      <c r="H1770" s="48" t="n">
        <v>3300</v>
      </c>
      <c r="I1770" s="48" t="n">
        <v>5</v>
      </c>
      <c r="J1770" s="48" t="n">
        <v>11000</v>
      </c>
      <c r="K1770" s="47">
        <f t="array" ref="K1770">_xlfn.XLOOKUP(1,(참조!$B$2:$B$15=E1770)*(참조!$D$2:$D$15=C1770)*(참조!$E$2:$E$15=D1770),참조!$C$2:$C$15,"")</f>
        <v/>
      </c>
    </row>
    <row r="1771" hidden="1" s="27">
      <c r="A1771" s="47" t="inlineStr">
        <is>
          <t>리브모바일</t>
        </is>
      </c>
      <c r="B1771" s="47" t="inlineStr">
        <is>
          <t>LTE 15GB+(100분)(청년미래)</t>
        </is>
      </c>
      <c r="C1771" s="47" t="inlineStr">
        <is>
          <t>100분</t>
        </is>
      </c>
      <c r="D1771" s="47" t="inlineStr">
        <is>
          <t>100건</t>
        </is>
      </c>
      <c r="E1771" s="47" t="inlineStr">
        <is>
          <t>월 15GB + 3Mbps</t>
        </is>
      </c>
      <c r="F1771" s="47" t="inlineStr">
        <is>
          <t>LG U+</t>
        </is>
      </c>
      <c r="G1771" s="47" t="inlineStr">
        <is>
          <t>LTE</t>
        </is>
      </c>
      <c r="H1771" s="48" t="n">
        <v>25300</v>
      </c>
      <c r="I1771" s="48" t="n"/>
      <c r="J1771" s="48" t="n"/>
      <c r="K1771" s="47">
        <f t="array" ref="K1771">_xlfn.XLOOKUP(1,(참조!$B$2:$B$15=E1771)*(참조!$D$2:$D$15=C1771)*(참조!$E$2:$E$15=D1771),참조!$C$2:$C$15,"")</f>
        <v/>
      </c>
    </row>
    <row r="1772" hidden="1" s="27">
      <c r="A1772" s="47" t="inlineStr">
        <is>
          <t>모빙</t>
        </is>
      </c>
      <c r="B1772" s="47" t="inlineStr">
        <is>
          <t>[K] 5G 밀리의서재 200GB+</t>
        </is>
      </c>
      <c r="C1772" s="47" t="inlineStr">
        <is>
          <t>무제한</t>
        </is>
      </c>
      <c r="D1772" s="47" t="inlineStr">
        <is>
          <t>무제한</t>
        </is>
      </c>
      <c r="E1772" s="47" t="inlineStr">
        <is>
          <t>월 200GB + 10Mbps</t>
        </is>
      </c>
      <c r="F1772" s="47" t="inlineStr">
        <is>
          <t>KT</t>
        </is>
      </c>
      <c r="G1772" s="47" t="inlineStr">
        <is>
          <t>5G</t>
        </is>
      </c>
      <c r="H1772" s="48" t="n">
        <v>40700</v>
      </c>
      <c r="I1772" s="48" t="n">
        <v>12</v>
      </c>
      <c r="J1772" s="48" t="n">
        <v>70400</v>
      </c>
      <c r="K1772" s="47">
        <f t="array" ref="K1772">_xlfn.XLOOKUP(1,(참조!$B$2:$B$15=E1772)*(참조!$D$2:$D$15=C1772)*(참조!$E$2:$E$15=D1772),참조!$C$2:$C$15,"")</f>
        <v/>
      </c>
    </row>
    <row r="1773" hidden="1" s="27">
      <c r="A1773" s="47" t="inlineStr">
        <is>
          <t>리브모바일</t>
        </is>
      </c>
      <c r="B1773" s="47" t="inlineStr">
        <is>
          <t>LTE 실속 15GB+(300분)NPay</t>
        </is>
      </c>
      <c r="C1773" s="47" t="inlineStr">
        <is>
          <t>300분</t>
        </is>
      </c>
      <c r="D1773" s="47" t="inlineStr">
        <is>
          <t>300건</t>
        </is>
      </c>
      <c r="E1773" s="47" t="inlineStr">
        <is>
          <t>월 15GB + 3Mbps</t>
        </is>
      </c>
      <c r="F1773" s="47" t="inlineStr">
        <is>
          <t>KT</t>
        </is>
      </c>
      <c r="G1773" s="47" t="inlineStr">
        <is>
          <t>LTE</t>
        </is>
      </c>
      <c r="H1773" s="48" t="n">
        <v>29500</v>
      </c>
      <c r="I1773" s="48" t="n">
        <v>12</v>
      </c>
      <c r="J1773" s="48" t="n">
        <v>33900</v>
      </c>
      <c r="K1773" s="47">
        <f t="array" ref="K1773">_xlfn.XLOOKUP(1,(참조!$B$2:$B$15=E1773)*(참조!$D$2:$D$15=C1773)*(참조!$E$2:$E$15=D1773),참조!$C$2:$C$15,"")</f>
        <v/>
      </c>
    </row>
    <row r="1774" hidden="1" s="27">
      <c r="A1774" s="47" t="inlineStr">
        <is>
          <t>리브모바일</t>
        </is>
      </c>
      <c r="B1774" s="47" t="inlineStr">
        <is>
          <t>LTE 100GB+</t>
        </is>
      </c>
      <c r="C1774" s="47" t="inlineStr">
        <is>
          <t>무제한</t>
        </is>
      </c>
      <c r="D1774" s="47" t="inlineStr">
        <is>
          <t>무제한</t>
        </is>
      </c>
      <c r="E1774" s="47" t="inlineStr">
        <is>
          <t>월 100GB + 5Mbps</t>
        </is>
      </c>
      <c r="F1774" s="47" t="inlineStr">
        <is>
          <t>LG U+</t>
        </is>
      </c>
      <c r="G1774" s="47" t="inlineStr">
        <is>
          <t>LTE</t>
        </is>
      </c>
      <c r="H1774" s="48" t="n">
        <v>37000</v>
      </c>
      <c r="I1774" s="48" t="n">
        <v>12</v>
      </c>
      <c r="J1774" s="48" t="n">
        <v>41400</v>
      </c>
      <c r="K1774" s="47">
        <f t="array" ref="K1774">_xlfn.XLOOKUP(1,(참조!$B$2:$B$15=E1774)*(참조!$D$2:$D$15=C1774)*(참조!$E$2:$E$15=D1774),참조!$C$2:$C$15,"")</f>
        <v/>
      </c>
    </row>
    <row r="1775" hidden="1" s="27">
      <c r="A1775" s="47" t="inlineStr">
        <is>
          <t>모빙</t>
        </is>
      </c>
      <c r="B1775" s="47" t="inlineStr">
        <is>
          <t>[K] 지니뮤직 7GB+</t>
        </is>
      </c>
      <c r="C1775" s="47" t="inlineStr">
        <is>
          <t>무제한</t>
        </is>
      </c>
      <c r="D1775" s="47" t="inlineStr">
        <is>
          <t>무제한</t>
        </is>
      </c>
      <c r="E1775" s="47" t="inlineStr">
        <is>
          <t>월 7GB + 1Mbps</t>
        </is>
      </c>
      <c r="F1775" s="47" t="inlineStr">
        <is>
          <t>KT</t>
        </is>
      </c>
      <c r="G1775" s="47" t="inlineStr">
        <is>
          <t>LTE</t>
        </is>
      </c>
      <c r="H1775" s="48" t="n">
        <v>8800</v>
      </c>
      <c r="I1775" s="48" t="n">
        <v>7</v>
      </c>
      <c r="J1775" s="48" t="n">
        <v>28600</v>
      </c>
      <c r="K1775" s="47">
        <f t="array" ref="K1775">_xlfn.XLOOKUP(1,(참조!$B$2:$B$15=E1775)*(참조!$D$2:$D$15=C1775)*(참조!$E$2:$E$15=D1775),참조!$C$2:$C$15,"")</f>
        <v/>
      </c>
    </row>
    <row r="1776" hidden="1" s="27">
      <c r="A1776" s="47" t="inlineStr">
        <is>
          <t>모빙</t>
        </is>
      </c>
      <c r="B1776" s="47" t="inlineStr">
        <is>
          <t>[S] CU편의점 300분15GB+</t>
        </is>
      </c>
      <c r="C1776" s="47" t="inlineStr">
        <is>
          <t>300분</t>
        </is>
      </c>
      <c r="D1776" s="47" t="inlineStr">
        <is>
          <t>300건</t>
        </is>
      </c>
      <c r="E1776" s="47" t="inlineStr">
        <is>
          <t>월 15GB + 3Mbps</t>
        </is>
      </c>
      <c r="F1776" s="47" t="inlineStr">
        <is>
          <t>SKT</t>
        </is>
      </c>
      <c r="G1776" s="47" t="inlineStr">
        <is>
          <t>LTE</t>
        </is>
      </c>
      <c r="H1776" s="48" t="n">
        <v>17000</v>
      </c>
      <c r="I1776" s="48" t="n">
        <v>7</v>
      </c>
      <c r="J1776" s="48" t="n">
        <v>47300</v>
      </c>
      <c r="K1776" s="47">
        <f t="array" ref="K1776">_xlfn.XLOOKUP(1,(참조!$B$2:$B$15=E1776)*(참조!$D$2:$D$15=C1776)*(참조!$E$2:$E$15=D1776),참조!$C$2:$C$15,"")</f>
        <v/>
      </c>
    </row>
    <row r="1777" hidden="1" s="27">
      <c r="A1777" s="47" t="inlineStr">
        <is>
          <t>아이즈모바일</t>
        </is>
      </c>
      <c r="B1777" s="47" t="inlineStr">
        <is>
          <t>[K]아이즈특판11GB+일2GB</t>
        </is>
      </c>
      <c r="C1777" s="47" t="inlineStr">
        <is>
          <t>무제한</t>
        </is>
      </c>
      <c r="D1777" s="47" t="inlineStr">
        <is>
          <t>무제한</t>
        </is>
      </c>
      <c r="E1777" s="47" t="inlineStr">
        <is>
          <t>월 11GB + 매일 2GB + 3Mbps</t>
        </is>
      </c>
      <c r="F1777" s="47" t="inlineStr">
        <is>
          <t>KT</t>
        </is>
      </c>
      <c r="G1777" s="47" t="inlineStr">
        <is>
          <t>LTE</t>
        </is>
      </c>
      <c r="H1777" s="48" t="n">
        <v>37400</v>
      </c>
      <c r="I1777" s="48" t="n"/>
      <c r="J1777" s="48" t="n"/>
      <c r="K1777" s="47">
        <f t="array" ref="K1777">_xlfn.XLOOKUP(1,(참조!$B$2:$B$15=E1777)*(참조!$D$2:$D$15=C1777)*(참조!$E$2:$E$15=D1777),참조!$C$2:$C$15,"")</f>
        <v/>
      </c>
    </row>
    <row r="1778" hidden="1" s="27">
      <c r="A1778" s="47" t="inlineStr">
        <is>
          <t>모빙</t>
        </is>
      </c>
      <c r="B1778" s="47" t="inlineStr">
        <is>
          <t>[K] 밀리의 서재 7GB+</t>
        </is>
      </c>
      <c r="C1778" s="47" t="inlineStr">
        <is>
          <t>무제한</t>
        </is>
      </c>
      <c r="D1778" s="47" t="inlineStr">
        <is>
          <t>무제한</t>
        </is>
      </c>
      <c r="E1778" s="47" t="inlineStr">
        <is>
          <t>월 7GB + 1Mbps</t>
        </is>
      </c>
      <c r="F1778" s="47" t="inlineStr">
        <is>
          <t>KT</t>
        </is>
      </c>
      <c r="G1778" s="47" t="inlineStr">
        <is>
          <t>LTE</t>
        </is>
      </c>
      <c r="H1778" s="48" t="n">
        <v>8800</v>
      </c>
      <c r="I1778" s="48" t="n">
        <v>7</v>
      </c>
      <c r="J1778" s="48" t="n">
        <v>26400</v>
      </c>
      <c r="K1778" s="47">
        <f t="array" ref="K1778">_xlfn.XLOOKUP(1,(참조!$B$2:$B$15=E1778)*(참조!$D$2:$D$15=C1778)*(참조!$E$2:$E$15=D1778),참조!$C$2:$C$15,"")</f>
        <v/>
      </c>
    </row>
    <row r="1779" hidden="1" s="27">
      <c r="A1779" s="47" t="inlineStr">
        <is>
          <t>모빙</t>
        </is>
      </c>
      <c r="B1779" s="47" t="inlineStr">
        <is>
          <t>[K] 페이포인트 7GB+</t>
        </is>
      </c>
      <c r="C1779" s="47" t="inlineStr">
        <is>
          <t>무제한</t>
        </is>
      </c>
      <c r="D1779" s="47" t="inlineStr">
        <is>
          <t>무제한</t>
        </is>
      </c>
      <c r="E1779" s="47" t="inlineStr">
        <is>
          <t>월 7GB + 1Mbps</t>
        </is>
      </c>
      <c r="F1779" s="47" t="inlineStr">
        <is>
          <t>KT</t>
        </is>
      </c>
      <c r="G1779" s="47" t="inlineStr">
        <is>
          <t>LTE</t>
        </is>
      </c>
      <c r="H1779" s="48" t="n">
        <v>8800</v>
      </c>
      <c r="I1779" s="48" t="n">
        <v>7</v>
      </c>
      <c r="J1779" s="48" t="n">
        <v>40700</v>
      </c>
      <c r="K1779" s="47">
        <f t="array" ref="K1779">_xlfn.XLOOKUP(1,(참조!$B$2:$B$15=E1779)*(참조!$D$2:$D$15=C1779)*(참조!$E$2:$E$15=D1779),참조!$C$2:$C$15,"")</f>
        <v/>
      </c>
    </row>
    <row r="1780" hidden="1" s="27">
      <c r="A1780" s="47" t="inlineStr">
        <is>
          <t>리브모바일</t>
        </is>
      </c>
      <c r="B1780" s="47" t="inlineStr">
        <is>
          <t>LTE 실속 15GB+(300분)</t>
        </is>
      </c>
      <c r="C1780" s="47" t="inlineStr">
        <is>
          <t>300분</t>
        </is>
      </c>
      <c r="D1780" s="47" t="inlineStr">
        <is>
          <t>300건</t>
        </is>
      </c>
      <c r="E1780" s="47" t="inlineStr">
        <is>
          <t>월 15GB + 3Mbps</t>
        </is>
      </c>
      <c r="F1780" s="47" t="inlineStr">
        <is>
          <t>KT</t>
        </is>
      </c>
      <c r="G1780" s="47" t="inlineStr">
        <is>
          <t>LTE</t>
        </is>
      </c>
      <c r="H1780" s="48" t="n">
        <v>26100</v>
      </c>
      <c r="I1780" s="48" t="n">
        <v>12</v>
      </c>
      <c r="J1780" s="48" t="n">
        <v>30500</v>
      </c>
      <c r="K1780" s="47">
        <f t="array" ref="K1780">_xlfn.XLOOKUP(1,(참조!$B$2:$B$15=E1780)*(참조!$D$2:$D$15=C1780)*(참조!$E$2:$E$15=D1780),참조!$C$2:$C$15,"")</f>
        <v/>
      </c>
    </row>
    <row r="1781" hidden="1" s="27">
      <c r="A1781" s="47" t="inlineStr">
        <is>
          <t>시월모바일</t>
        </is>
      </c>
      <c r="B1781" s="47" t="inlineStr">
        <is>
          <t>시월5G 무제한 80GB+1Mbps</t>
        </is>
      </c>
      <c r="C1781" s="47" t="inlineStr">
        <is>
          <t>무제한</t>
        </is>
      </c>
      <c r="D1781" s="47" t="inlineStr">
        <is>
          <t>무제한</t>
        </is>
      </c>
      <c r="E1781" s="47" t="inlineStr">
        <is>
          <t>월 80GB + 1Mbps</t>
        </is>
      </c>
      <c r="F1781" s="47" t="inlineStr">
        <is>
          <t>LG U+</t>
        </is>
      </c>
      <c r="G1781" s="47" t="inlineStr">
        <is>
          <t>5G</t>
        </is>
      </c>
      <c r="H1781" s="48" t="n">
        <v>24300</v>
      </c>
      <c r="I1781" s="48" t="n">
        <v>7</v>
      </c>
      <c r="J1781" s="48" t="n">
        <v>43000</v>
      </c>
      <c r="K1781" s="47">
        <f t="array" ref="K1781">_xlfn.XLOOKUP(1,(참조!$B$2:$B$15=E1781)*(참조!$D$2:$D$15=C1781)*(참조!$E$2:$E$15=D1781),참조!$C$2:$C$15,"")</f>
        <v/>
      </c>
    </row>
    <row r="1782" hidden="1" s="27">
      <c r="A1782" s="47" t="inlineStr">
        <is>
          <t>리브모바일</t>
        </is>
      </c>
      <c r="B1782" s="47" t="inlineStr">
        <is>
          <t>LTE 71GB+(혜택형)</t>
        </is>
      </c>
      <c r="C1782" s="47" t="inlineStr">
        <is>
          <t>무제한</t>
        </is>
      </c>
      <c r="D1782" s="47" t="inlineStr">
        <is>
          <t>무제한</t>
        </is>
      </c>
      <c r="E1782" s="47" t="inlineStr">
        <is>
          <t>월 11GB + 매일 2GB + 3Mbps</t>
        </is>
      </c>
      <c r="F1782" s="47" t="inlineStr">
        <is>
          <t>LG U+</t>
        </is>
      </c>
      <c r="G1782" s="47" t="inlineStr">
        <is>
          <t>LTE</t>
        </is>
      </c>
      <c r="H1782" s="48" t="n">
        <v>33000</v>
      </c>
      <c r="I1782" s="48" t="n"/>
      <c r="J1782" s="48" t="n"/>
      <c r="K1782" s="47">
        <f t="array" ref="K1782">_xlfn.XLOOKUP(1,(참조!$B$2:$B$15=E1782)*(참조!$D$2:$D$15=C1782)*(참조!$E$2:$E$15=D1782),참조!$C$2:$C$15,"")</f>
        <v/>
      </c>
    </row>
    <row r="1783" hidden="1" s="27">
      <c r="A1783" s="47" t="inlineStr">
        <is>
          <t>아이즈모바일</t>
        </is>
      </c>
      <c r="B1783" s="47" t="inlineStr">
        <is>
          <t>[S]아이즈특판100분/15GB+</t>
        </is>
      </c>
      <c r="C1783" s="47" t="inlineStr">
        <is>
          <t>100분</t>
        </is>
      </c>
      <c r="D1783" s="47" t="inlineStr">
        <is>
          <t>100건</t>
        </is>
      </c>
      <c r="E1783" s="47" t="inlineStr">
        <is>
          <t>월 15GB + 3Mbps</t>
        </is>
      </c>
      <c r="F1783" s="47" t="inlineStr">
        <is>
          <t>SKT</t>
        </is>
      </c>
      <c r="G1783" s="47" t="inlineStr">
        <is>
          <t>LTE</t>
        </is>
      </c>
      <c r="H1783" s="48" t="n">
        <v>17000</v>
      </c>
      <c r="I1783" s="48" t="n">
        <v>7</v>
      </c>
      <c r="J1783" s="48" t="n">
        <v>26400</v>
      </c>
      <c r="K1783" s="47">
        <f t="array" ref="K1783">_xlfn.XLOOKUP(1,(참조!$B$2:$B$15=E1783)*(참조!$D$2:$D$15=C1783)*(참조!$E$2:$E$15=D1783),참조!$C$2:$C$15,"")</f>
        <v/>
      </c>
    </row>
    <row r="1784" hidden="1" s="27">
      <c r="A1784" s="47" t="inlineStr">
        <is>
          <t>KT엠모바일</t>
        </is>
      </c>
      <c r="B1784" s="47" t="inlineStr">
        <is>
          <t>5G 모두다 맘껏 90GB+(Pay쿠폰 5000P)</t>
        </is>
      </c>
      <c r="C1784" s="47" t="inlineStr">
        <is>
          <t>무제한</t>
        </is>
      </c>
      <c r="D1784" s="47" t="inlineStr">
        <is>
          <t>무제한</t>
        </is>
      </c>
      <c r="E1784" s="47" t="inlineStr">
        <is>
          <t>월 90GB + 1Mbps</t>
        </is>
      </c>
      <c r="F1784" s="47" t="inlineStr">
        <is>
          <t>KT</t>
        </is>
      </c>
      <c r="G1784" s="47" t="inlineStr">
        <is>
          <t>5G</t>
        </is>
      </c>
      <c r="H1784" s="48" t="n">
        <v>41900</v>
      </c>
      <c r="I1784" s="48" t="n"/>
      <c r="J1784" s="48" t="n"/>
      <c r="K1784" s="47">
        <f t="array" ref="K1784">_xlfn.XLOOKUP(1,(참조!$B$2:$B$15=E1784)*(참조!$D$2:$D$15=C1784)*(참조!$E$2:$E$15=D1784),참조!$C$2:$C$15,"")</f>
        <v/>
      </c>
    </row>
    <row r="1785" hidden="1" s="27">
      <c r="A1785" s="47" t="inlineStr">
        <is>
          <t>찬스모바일</t>
        </is>
      </c>
      <c r="B1785" s="47" t="inlineStr">
        <is>
          <t>음성 100분 1GB+</t>
        </is>
      </c>
      <c r="C1785" s="47" t="inlineStr">
        <is>
          <t>100분</t>
        </is>
      </c>
      <c r="D1785" s="47" t="inlineStr">
        <is>
          <t>100건</t>
        </is>
      </c>
      <c r="E1785" s="47" t="inlineStr">
        <is>
          <t>월 1GB + 1Mbps</t>
        </is>
      </c>
      <c r="F1785" s="47" t="inlineStr">
        <is>
          <t>LG U+</t>
        </is>
      </c>
      <c r="G1785" s="47" t="inlineStr">
        <is>
          <t>LTE</t>
        </is>
      </c>
      <c r="H1785" s="48" t="n">
        <v>5940</v>
      </c>
      <c r="I1785" s="48" t="n">
        <v>6</v>
      </c>
      <c r="J1785" s="48" t="n">
        <v>12210</v>
      </c>
      <c r="K1785" s="47">
        <f t="array" ref="K1785">_xlfn.XLOOKUP(1,(참조!$B$2:$B$15=E1785)*(참조!$D$2:$D$15=C1785)*(참조!$E$2:$E$15=D1785),참조!$C$2:$C$15,"")</f>
        <v/>
      </c>
    </row>
    <row r="1786" hidden="1" s="27">
      <c r="A1786" s="47" t="inlineStr">
        <is>
          <t>리브모바일</t>
        </is>
      </c>
      <c r="B1786" s="47" t="inlineStr">
        <is>
          <t>LTE 든든 7GB</t>
        </is>
      </c>
      <c r="C1786" s="47" t="inlineStr">
        <is>
          <t>무제한</t>
        </is>
      </c>
      <c r="D1786" s="47" t="inlineStr">
        <is>
          <t>무제한</t>
        </is>
      </c>
      <c r="E1786" s="47" t="inlineStr">
        <is>
          <t>월 7GB</t>
        </is>
      </c>
      <c r="F1786" s="47" t="inlineStr">
        <is>
          <t>LG U+</t>
        </is>
      </c>
      <c r="G1786" s="47" t="inlineStr">
        <is>
          <t>LTE</t>
        </is>
      </c>
      <c r="H1786" s="48" t="n">
        <v>16500</v>
      </c>
      <c r="I1786" s="48" t="n">
        <v>12</v>
      </c>
      <c r="J1786" s="48" t="n">
        <v>20900</v>
      </c>
      <c r="K1786" s="47">
        <f t="array" ref="K1786">_xlfn.XLOOKUP(1,(참조!$B$2:$B$15=E1786)*(참조!$D$2:$D$15=C1786)*(참조!$E$2:$E$15=D1786),참조!$C$2:$C$15,"")</f>
        <v/>
      </c>
    </row>
    <row r="1787" hidden="1" s="27">
      <c r="A1787" s="47" t="inlineStr">
        <is>
          <t>모빙</t>
        </is>
      </c>
      <c r="B1787" s="47" t="inlineStr">
        <is>
          <t>쏙쏙 매일30분5GB</t>
        </is>
      </c>
      <c r="C1787" s="47" t="inlineStr">
        <is>
          <t>900분</t>
        </is>
      </c>
      <c r="D1787" s="47" t="inlineStr">
        <is>
          <t>100건</t>
        </is>
      </c>
      <c r="E1787" s="47" t="inlineStr">
        <is>
          <t>월 5GB</t>
        </is>
      </c>
      <c r="F1787" s="47" t="inlineStr">
        <is>
          <t>KT</t>
        </is>
      </c>
      <c r="G1787" s="47" t="inlineStr">
        <is>
          <t>LTE</t>
        </is>
      </c>
      <c r="H1787" s="48" t="n">
        <v>6600</v>
      </c>
      <c r="I1787" s="48" t="n"/>
      <c r="J1787" s="48" t="n"/>
      <c r="K1787" s="47">
        <f t="array" ref="K1787">_xlfn.XLOOKUP(1,(참조!$B$2:$B$15=E1787)*(참조!$D$2:$D$15=C1787)*(참조!$E$2:$E$15=D1787),참조!$C$2:$C$15,"")</f>
        <v/>
      </c>
    </row>
    <row r="1788" hidden="1" s="27">
      <c r="A1788" s="47" t="inlineStr">
        <is>
          <t>이야기모바일</t>
        </is>
      </c>
      <c r="B1788" s="47" t="inlineStr">
        <is>
          <t>내맘대로S(200+3GB)</t>
        </is>
      </c>
      <c r="C1788" s="47" t="inlineStr">
        <is>
          <t>200분</t>
        </is>
      </c>
      <c r="D1788" s="47" t="inlineStr">
        <is>
          <t>200건</t>
        </is>
      </c>
      <c r="E1788" s="47" t="inlineStr">
        <is>
          <t>월 3GB</t>
        </is>
      </c>
      <c r="F1788" s="47" t="inlineStr">
        <is>
          <t>SKT</t>
        </is>
      </c>
      <c r="G1788" s="47" t="inlineStr">
        <is>
          <t>LTE</t>
        </is>
      </c>
      <c r="H1788" s="48" t="n">
        <v>3501</v>
      </c>
      <c r="I1788" s="48" t="n">
        <v>4</v>
      </c>
      <c r="J1788" s="48" t="n">
        <v>8800</v>
      </c>
      <c r="K1788" s="47">
        <f t="array" ref="K1788">_xlfn.XLOOKUP(1,(참조!$B$2:$B$15=E1788)*(참조!$D$2:$D$15=C1788)*(참조!$E$2:$E$15=D1788),참조!$C$2:$C$15,"")</f>
        <v/>
      </c>
    </row>
    <row r="1789" hidden="1" s="27">
      <c r="A1789" s="47" t="inlineStr">
        <is>
          <t>아이즈모바일</t>
        </is>
      </c>
      <c r="B1789" s="47" t="inlineStr">
        <is>
          <t>세이브머니유심(기본제공/1GB+)</t>
        </is>
      </c>
      <c r="C1789" s="47" t="inlineStr">
        <is>
          <t>무제한</t>
        </is>
      </c>
      <c r="D1789" s="47" t="inlineStr">
        <is>
          <t>무제한</t>
        </is>
      </c>
      <c r="E1789" s="47" t="inlineStr">
        <is>
          <t>월 1GB + 1Mbps</t>
        </is>
      </c>
      <c r="F1789" s="47" t="inlineStr">
        <is>
          <t>LG U+</t>
        </is>
      </c>
      <c r="G1789" s="47" t="inlineStr">
        <is>
          <t>LTE</t>
        </is>
      </c>
      <c r="H1789" s="48" t="n">
        <v>8030</v>
      </c>
      <c r="I1789" s="48" t="n"/>
      <c r="J1789" s="48" t="n"/>
      <c r="K1789" s="47">
        <f t="array" ref="K1789">_xlfn.XLOOKUP(1,(참조!$B$2:$B$15=E1789)*(참조!$D$2:$D$15=C1789)*(참조!$E$2:$E$15=D1789),참조!$C$2:$C$15,"")</f>
        <v/>
      </c>
    </row>
    <row r="1790" hidden="1" s="27">
      <c r="A1790" s="47" t="inlineStr">
        <is>
          <t>모빙</t>
        </is>
      </c>
      <c r="B1790" s="47" t="inlineStr">
        <is>
          <t>쏙쏙 시니어 8GB+</t>
        </is>
      </c>
      <c r="C1790" s="47" t="inlineStr">
        <is>
          <t>무제한</t>
        </is>
      </c>
      <c r="D1790" s="47" t="inlineStr">
        <is>
          <t>무제한</t>
        </is>
      </c>
      <c r="E1790" s="47" t="inlineStr">
        <is>
          <t>월 8GB + 1Mbps</t>
        </is>
      </c>
      <c r="F1790" s="47" t="inlineStr">
        <is>
          <t>KT</t>
        </is>
      </c>
      <c r="G1790" s="47" t="inlineStr">
        <is>
          <t>LTE</t>
        </is>
      </c>
      <c r="H1790" s="48" t="n">
        <v>16500</v>
      </c>
      <c r="I1790" s="48" t="n">
        <v>24</v>
      </c>
      <c r="J1790" s="48" t="n">
        <v>22000</v>
      </c>
      <c r="K1790" s="47">
        <f t="array" ref="K1790">_xlfn.XLOOKUP(1,(참조!$B$2:$B$15=E1790)*(참조!$D$2:$D$15=C1790)*(참조!$E$2:$E$15=D1790),참조!$C$2:$C$15,"")</f>
        <v/>
      </c>
    </row>
    <row r="1791" hidden="1" s="27">
      <c r="A1791" s="47" t="inlineStr">
        <is>
          <t>인스모바일</t>
        </is>
      </c>
      <c r="B1791" s="47" t="inlineStr">
        <is>
          <t>올프리 1GB+(USIM)</t>
        </is>
      </c>
      <c r="C1791" s="47" t="inlineStr">
        <is>
          <t>무제한</t>
        </is>
      </c>
      <c r="D1791" s="47" t="inlineStr">
        <is>
          <t>무제한</t>
        </is>
      </c>
      <c r="E1791" s="47" t="inlineStr">
        <is>
          <t>월 1GB + 1Mbps</t>
        </is>
      </c>
      <c r="F1791" s="47" t="inlineStr">
        <is>
          <t>LG U+</t>
        </is>
      </c>
      <c r="G1791" s="47" t="inlineStr">
        <is>
          <t>LTE</t>
        </is>
      </c>
      <c r="H1791" s="48" t="n">
        <v>9570</v>
      </c>
      <c r="I1791" s="48" t="n">
        <v>6</v>
      </c>
      <c r="J1791" s="48" t="n">
        <v>18700</v>
      </c>
      <c r="K1791" s="47">
        <f t="array" ref="K1791">_xlfn.XLOOKUP(1,(참조!$B$2:$B$15=E1791)*(참조!$D$2:$D$15=C1791)*(참조!$E$2:$E$15=D1791),참조!$C$2:$C$15,"")</f>
        <v/>
      </c>
    </row>
    <row r="1792" hidden="1" s="27">
      <c r="A1792" s="47" t="inlineStr">
        <is>
          <t>모빙</t>
        </is>
      </c>
      <c r="B1792" s="47" t="inlineStr">
        <is>
          <t>쏙쏙 250분(5GB)</t>
        </is>
      </c>
      <c r="C1792" s="47" t="inlineStr">
        <is>
          <t>250분</t>
        </is>
      </c>
      <c r="D1792" s="47" t="inlineStr">
        <is>
          <t>250건</t>
        </is>
      </c>
      <c r="E1792" s="47" t="inlineStr">
        <is>
          <t>월 5GB</t>
        </is>
      </c>
      <c r="F1792" s="47" t="inlineStr">
        <is>
          <t>KT</t>
        </is>
      </c>
      <c r="G1792" s="47" t="inlineStr">
        <is>
          <t>LTE</t>
        </is>
      </c>
      <c r="H1792" s="48" t="n">
        <v>5200</v>
      </c>
      <c r="I1792" s="48" t="n"/>
      <c r="J1792" s="48" t="n"/>
      <c r="K1792" s="47">
        <f t="array" ref="K1792">_xlfn.XLOOKUP(1,(참조!$B$2:$B$15=E1792)*(참조!$D$2:$D$15=C1792)*(참조!$E$2:$E$15=D1792),참조!$C$2:$C$15,"")</f>
        <v/>
      </c>
    </row>
    <row r="1793" hidden="1" s="27">
      <c r="A1793" s="47" t="inlineStr">
        <is>
          <t>스마텔</t>
        </is>
      </c>
      <c r="B1793" s="47" t="inlineStr">
        <is>
          <t>후후 심플 (200분 + 5GB)</t>
        </is>
      </c>
      <c r="C1793" s="47" t="inlineStr">
        <is>
          <t>200분</t>
        </is>
      </c>
      <c r="D1793" s="47" t="inlineStr">
        <is>
          <t>100건</t>
        </is>
      </c>
      <c r="E1793" s="47" t="inlineStr">
        <is>
          <t>월 5GB</t>
        </is>
      </c>
      <c r="F1793" s="47" t="inlineStr">
        <is>
          <t>LG U+</t>
        </is>
      </c>
      <c r="G1793" s="47" t="inlineStr">
        <is>
          <t>LTE</t>
        </is>
      </c>
      <c r="H1793" s="48" t="n">
        <v>6230</v>
      </c>
      <c r="I1793" s="48" t="n">
        <v>6</v>
      </c>
      <c r="J1793" s="48" t="n">
        <v>10230</v>
      </c>
      <c r="K1793" s="47">
        <f t="array" ref="K1793">_xlfn.XLOOKUP(1,(참조!$B$2:$B$15=E1793)*(참조!$D$2:$D$15=C1793)*(참조!$E$2:$E$15=D1793),참조!$C$2:$C$15,"")</f>
        <v/>
      </c>
    </row>
    <row r="1794" hidden="1" s="27">
      <c r="A1794" s="47" t="inlineStr">
        <is>
          <t>이야기모바일</t>
        </is>
      </c>
      <c r="B1794" s="47" t="inlineStr">
        <is>
          <t>이야기 라이트 250분2.5GB+</t>
        </is>
      </c>
      <c r="C1794" s="47" t="inlineStr">
        <is>
          <t>250분</t>
        </is>
      </c>
      <c r="D1794" s="47" t="inlineStr">
        <is>
          <t>250건</t>
        </is>
      </c>
      <c r="E1794" s="47" t="inlineStr">
        <is>
          <t>월 2.5GB + 1Mbps</t>
        </is>
      </c>
      <c r="F1794" s="47" t="inlineStr">
        <is>
          <t>LG U+</t>
        </is>
      </c>
      <c r="G1794" s="47" t="inlineStr">
        <is>
          <t>LTE</t>
        </is>
      </c>
      <c r="H1794" s="48" t="n">
        <v>13200</v>
      </c>
      <c r="I1794" s="48" t="n"/>
      <c r="J1794" s="48" t="n"/>
      <c r="K1794" s="47">
        <f t="array" ref="K1794">_xlfn.XLOOKUP(1,(참조!$B$2:$B$15=E1794)*(참조!$D$2:$D$15=C1794)*(참조!$E$2:$E$15=D1794),참조!$C$2:$C$15,"")</f>
        <v/>
      </c>
    </row>
    <row r="1795" hidden="1" s="27">
      <c r="A1795" s="47" t="inlineStr">
        <is>
          <t>티플러스</t>
        </is>
      </c>
      <c r="B1795" s="47" t="inlineStr">
        <is>
          <t>The 통화마음껏 1.5GB</t>
        </is>
      </c>
      <c r="C1795" s="47" t="inlineStr">
        <is>
          <t>무제한</t>
        </is>
      </c>
      <c r="D1795" s="47" t="inlineStr">
        <is>
          <t>무제한</t>
        </is>
      </c>
      <c r="E1795" s="47" t="inlineStr">
        <is>
          <t>월 1.5GB</t>
        </is>
      </c>
      <c r="F1795" s="47" t="inlineStr">
        <is>
          <t>SKT</t>
        </is>
      </c>
      <c r="G1795" s="47" t="inlineStr">
        <is>
          <t>LTE</t>
        </is>
      </c>
      <c r="H1795" s="48" t="n">
        <v>20900</v>
      </c>
      <c r="I1795" s="48" t="n"/>
      <c r="J1795" s="48" t="n"/>
      <c r="K1795" s="47">
        <f t="array" ref="K1795">_xlfn.XLOOKUP(1,(참조!$B$2:$B$15=E1795)*(참조!$D$2:$D$15=C1795)*(참조!$E$2:$E$15=D1795),참조!$C$2:$C$15,"")</f>
        <v/>
      </c>
    </row>
    <row r="1796" hidden="1" s="27">
      <c r="A1796" s="47" t="inlineStr">
        <is>
          <t>리브모바일</t>
        </is>
      </c>
      <c r="B1796" s="47" t="inlineStr">
        <is>
          <t>LTE 무제한 7GB+(지니뮤직)</t>
        </is>
      </c>
      <c r="C1796" s="47" t="inlineStr">
        <is>
          <t>무제한</t>
        </is>
      </c>
      <c r="D1796" s="47" t="inlineStr">
        <is>
          <t>무제한</t>
        </is>
      </c>
      <c r="E1796" s="47" t="inlineStr">
        <is>
          <t>월 7GB + 1Mbps</t>
        </is>
      </c>
      <c r="F1796" s="47" t="inlineStr">
        <is>
          <t>KT</t>
        </is>
      </c>
      <c r="G1796" s="47" t="inlineStr">
        <is>
          <t>LTE</t>
        </is>
      </c>
      <c r="H1796" s="48" t="n">
        <v>19500</v>
      </c>
      <c r="I1796" s="48" t="n">
        <v>12</v>
      </c>
      <c r="J1796" s="48" t="n">
        <v>23900</v>
      </c>
      <c r="K1796" s="47">
        <f t="array" ref="K1796">_xlfn.XLOOKUP(1,(참조!$B$2:$B$15=E1796)*(참조!$D$2:$D$15=C1796)*(참조!$E$2:$E$15=D1796),참조!$C$2:$C$15,"")</f>
        <v/>
      </c>
    </row>
    <row r="1797" hidden="1" s="27">
      <c r="A1797" s="47" t="inlineStr">
        <is>
          <t>스마텔</t>
        </is>
      </c>
      <c r="B1797" s="47" t="inlineStr">
        <is>
          <t>LTE 음성무제한 5GB</t>
        </is>
      </c>
      <c r="C1797" s="47" t="inlineStr">
        <is>
          <t>무제한</t>
        </is>
      </c>
      <c r="D1797" s="47" t="inlineStr">
        <is>
          <t>200건</t>
        </is>
      </c>
      <c r="E1797" s="47" t="inlineStr">
        <is>
          <t>월 5GB</t>
        </is>
      </c>
      <c r="F1797" s="47" t="inlineStr">
        <is>
          <t>SKT</t>
        </is>
      </c>
      <c r="G1797" s="47" t="inlineStr">
        <is>
          <t>LTE</t>
        </is>
      </c>
      <c r="H1797" s="48" t="n">
        <v>990</v>
      </c>
      <c r="I1797" s="48" t="n">
        <v>10</v>
      </c>
      <c r="J1797" s="48" t="n">
        <v>16500</v>
      </c>
      <c r="K1797" s="47">
        <f t="array" ref="K1797">_xlfn.XLOOKUP(1,(참조!$B$2:$B$15=E1797)*(참조!$D$2:$D$15=C1797)*(참조!$E$2:$E$15=D1797),참조!$C$2:$C$15,"")</f>
        <v/>
      </c>
    </row>
    <row r="1798" hidden="1" s="27">
      <c r="A1798" s="47" t="inlineStr">
        <is>
          <t>아이즈모바일</t>
        </is>
      </c>
      <c r="B1798" s="47" t="inlineStr">
        <is>
          <t>[K]아이즈특판300분/15GB+</t>
        </is>
      </c>
      <c r="C1798" s="47" t="inlineStr">
        <is>
          <t>300분</t>
        </is>
      </c>
      <c r="D1798" s="47" t="inlineStr">
        <is>
          <t>300건</t>
        </is>
      </c>
      <c r="E1798" s="47" t="inlineStr">
        <is>
          <t>월 15GB + 3Mbps</t>
        </is>
      </c>
      <c r="F1798" s="47" t="inlineStr">
        <is>
          <t>KT</t>
        </is>
      </c>
      <c r="G1798" s="47" t="inlineStr">
        <is>
          <t>LTE</t>
        </is>
      </c>
      <c r="H1798" s="48" t="n">
        <v>30800</v>
      </c>
      <c r="I1798" s="48" t="n"/>
      <c r="J1798" s="48" t="n"/>
      <c r="K1798" s="47">
        <f t="array" ref="K1798">_xlfn.XLOOKUP(1,(참조!$B$2:$B$15=E1798)*(참조!$D$2:$D$15=C1798)*(참조!$E$2:$E$15=D1798),참조!$C$2:$C$15,"")</f>
        <v/>
      </c>
    </row>
    <row r="1799" hidden="1" s="27">
      <c r="A1799" s="47" t="inlineStr">
        <is>
          <t>모빙</t>
        </is>
      </c>
      <c r="B1799" s="47" t="inlineStr">
        <is>
          <t>[K] CU편의점 300분15GB+</t>
        </is>
      </c>
      <c r="C1799" s="47" t="inlineStr">
        <is>
          <t>300분</t>
        </is>
      </c>
      <c r="D1799" s="47" t="inlineStr">
        <is>
          <t>300건</t>
        </is>
      </c>
      <c r="E1799" s="47" t="inlineStr">
        <is>
          <t>월 15GB + 3Mbps</t>
        </is>
      </c>
      <c r="F1799" s="47" t="inlineStr">
        <is>
          <t>KT</t>
        </is>
      </c>
      <c r="G1799" s="47" t="inlineStr">
        <is>
          <t>LTE</t>
        </is>
      </c>
      <c r="H1799" s="48" t="n">
        <v>17600</v>
      </c>
      <c r="I1799" s="48" t="n">
        <v>7</v>
      </c>
      <c r="J1799" s="48" t="n">
        <v>45100</v>
      </c>
      <c r="K1799" s="47">
        <f t="array" ref="K1799">_xlfn.XLOOKUP(1,(참조!$B$2:$B$15=E1799)*(참조!$D$2:$D$15=C1799)*(참조!$E$2:$E$15=D1799),참조!$C$2:$C$15,"")</f>
        <v/>
      </c>
    </row>
    <row r="1800" hidden="1" s="27">
      <c r="A1800" s="47" t="inlineStr">
        <is>
          <t>아이즈모바일</t>
        </is>
      </c>
      <c r="B1800" s="47" t="inlineStr">
        <is>
          <t>[S]아이즈특판11GB+일2GB</t>
        </is>
      </c>
      <c r="C1800" s="47" t="inlineStr">
        <is>
          <t>무제한</t>
        </is>
      </c>
      <c r="D1800" s="47" t="inlineStr">
        <is>
          <t>무제한</t>
        </is>
      </c>
      <c r="E1800" s="47" t="inlineStr">
        <is>
          <t>월 11GB + 매일 2GB + 3Mbps</t>
        </is>
      </c>
      <c r="F1800" s="47" t="inlineStr">
        <is>
          <t>SKT</t>
        </is>
      </c>
      <c r="G1800" s="47" t="inlineStr">
        <is>
          <t>LTE</t>
        </is>
      </c>
      <c r="H1800" s="48" t="n">
        <v>20000</v>
      </c>
      <c r="I1800" s="48" t="n">
        <v>7</v>
      </c>
      <c r="J1800" s="48" t="n">
        <v>36300</v>
      </c>
      <c r="K1800" s="47">
        <f t="array" ref="K1800">_xlfn.XLOOKUP(1,(참조!$B$2:$B$15=E1800)*(참조!$D$2:$D$15=C1800)*(참조!$E$2:$E$15=D1800),참조!$C$2:$C$15,"")</f>
        <v/>
      </c>
    </row>
    <row r="1801" hidden="1" s="27">
      <c r="A1801" s="47" t="inlineStr">
        <is>
          <t>아이즈모바일</t>
        </is>
      </c>
      <c r="B1801" s="47" t="inlineStr">
        <is>
          <t>[K]무한10GB+ 밀리의서재</t>
        </is>
      </c>
      <c r="C1801" s="47" t="inlineStr">
        <is>
          <t>무제한</t>
        </is>
      </c>
      <c r="D1801" s="47" t="inlineStr">
        <is>
          <t>무제한</t>
        </is>
      </c>
      <c r="E1801" s="47" t="inlineStr">
        <is>
          <t>월 10GB + 1Mbps</t>
        </is>
      </c>
      <c r="F1801" s="47" t="inlineStr">
        <is>
          <t>KT</t>
        </is>
      </c>
      <c r="G1801" s="47" t="inlineStr">
        <is>
          <t>LTE</t>
        </is>
      </c>
      <c r="H1801" s="48" t="n">
        <v>17000</v>
      </c>
      <c r="I1801" s="48" t="n"/>
      <c r="J1801" s="48" t="n"/>
      <c r="K1801" s="47">
        <f t="array" ref="K1801">_xlfn.XLOOKUP(1,(참조!$B$2:$B$15=E1801)*(참조!$D$2:$D$15=C1801)*(참조!$E$2:$E$15=D1801),참조!$C$2:$C$15,"")</f>
        <v/>
      </c>
    </row>
    <row r="1802" hidden="1" s="27">
      <c r="A1802" s="47" t="inlineStr">
        <is>
          <t>모빙</t>
        </is>
      </c>
      <c r="B1802" s="47" t="inlineStr">
        <is>
          <t>[K] 웨이브베이직 100GB+</t>
        </is>
      </c>
      <c r="C1802" s="47" t="inlineStr">
        <is>
          <t>무제한</t>
        </is>
      </c>
      <c r="D1802" s="47" t="inlineStr">
        <is>
          <t>무제한</t>
        </is>
      </c>
      <c r="E1802" s="47" t="inlineStr">
        <is>
          <t>월 100GB + 5Mbps</t>
        </is>
      </c>
      <c r="F1802" s="47" t="inlineStr">
        <is>
          <t>KT</t>
        </is>
      </c>
      <c r="G1802" s="47" t="inlineStr">
        <is>
          <t>LTE</t>
        </is>
      </c>
      <c r="H1802" s="48" t="n">
        <v>20900</v>
      </c>
      <c r="I1802" s="48" t="n">
        <v>7</v>
      </c>
      <c r="J1802" s="48" t="n">
        <v>56100</v>
      </c>
      <c r="K1802" s="47">
        <f t="array" ref="K1802">_xlfn.XLOOKUP(1,(참조!$B$2:$B$15=E1802)*(참조!$D$2:$D$15=C1802)*(참조!$E$2:$E$15=D1802),참조!$C$2:$C$15,"")</f>
        <v/>
      </c>
    </row>
    <row r="1803" hidden="1" s="27">
      <c r="A1803" s="47" t="inlineStr">
        <is>
          <t>스마텔</t>
        </is>
      </c>
      <c r="B1803" s="47" t="inlineStr">
        <is>
          <t>스마일플러스 (500분+2GB)</t>
        </is>
      </c>
      <c r="C1803" s="47" t="inlineStr">
        <is>
          <t>500분</t>
        </is>
      </c>
      <c r="D1803" s="47" t="inlineStr">
        <is>
          <t>100건</t>
        </is>
      </c>
      <c r="E1803" s="47" t="inlineStr">
        <is>
          <t>월 2GB</t>
        </is>
      </c>
      <c r="F1803" s="47" t="inlineStr">
        <is>
          <t>SKT</t>
        </is>
      </c>
      <c r="G1803" s="47" t="inlineStr">
        <is>
          <t>LTE</t>
        </is>
      </c>
      <c r="H1803" s="48" t="n">
        <v>3850</v>
      </c>
      <c r="I1803" s="48" t="n">
        <v>5</v>
      </c>
      <c r="J1803" s="48" t="n">
        <v>7700</v>
      </c>
      <c r="K1803" s="47">
        <f t="array" ref="K1803">_xlfn.XLOOKUP(1,(참조!$B$2:$B$15=E1803)*(참조!$D$2:$D$15=C1803)*(참조!$E$2:$E$15=D1803),참조!$C$2:$C$15,"")</f>
        <v/>
      </c>
    </row>
    <row r="1804" hidden="1" s="27">
      <c r="A1804" s="47" t="inlineStr">
        <is>
          <t>아이즈모바일</t>
        </is>
      </c>
      <c r="B1804" s="47" t="inlineStr">
        <is>
          <t>[S]스페셜100분/15GB+</t>
        </is>
      </c>
      <c r="C1804" s="47" t="inlineStr">
        <is>
          <t>100분</t>
        </is>
      </c>
      <c r="D1804" s="47" t="inlineStr">
        <is>
          <t>100건</t>
        </is>
      </c>
      <c r="E1804" s="47" t="inlineStr">
        <is>
          <t>월 15GB + 3Mbps</t>
        </is>
      </c>
      <c r="F1804" s="47" t="inlineStr">
        <is>
          <t>SKT</t>
        </is>
      </c>
      <c r="G1804" s="47" t="inlineStr">
        <is>
          <t>LTE</t>
        </is>
      </c>
      <c r="H1804" s="48" t="n">
        <v>30300</v>
      </c>
      <c r="I1804" s="48" t="n"/>
      <c r="J1804" s="48" t="n"/>
      <c r="K1804" s="47">
        <f t="array" ref="K1804">_xlfn.XLOOKUP(1,(참조!$B$2:$B$15=E1804)*(참조!$D$2:$D$15=C1804)*(참조!$E$2:$E$15=D1804),참조!$C$2:$C$15,"")</f>
        <v/>
      </c>
    </row>
    <row r="1805" hidden="1" s="27">
      <c r="A1805" s="47" t="inlineStr">
        <is>
          <t>스마텔</t>
        </is>
      </c>
      <c r="B1805" s="47" t="inlineStr">
        <is>
          <t>후후 스마일 (200분/3GB+)</t>
        </is>
      </c>
      <c r="C1805" s="47" t="inlineStr">
        <is>
          <t>200분</t>
        </is>
      </c>
      <c r="D1805" s="47" t="inlineStr">
        <is>
          <t>100건</t>
        </is>
      </c>
      <c r="E1805" s="47" t="inlineStr">
        <is>
          <t>월 3GB + 1Mbps</t>
        </is>
      </c>
      <c r="F1805" s="47" t="inlineStr">
        <is>
          <t>SKT</t>
        </is>
      </c>
      <c r="G1805" s="47" t="inlineStr">
        <is>
          <t>LTE</t>
        </is>
      </c>
      <c r="H1805" s="48" t="n">
        <v>13200</v>
      </c>
      <c r="I1805" s="48" t="n"/>
      <c r="J1805" s="48" t="n"/>
      <c r="K1805" s="47">
        <f t="array" ref="K1805">_xlfn.XLOOKUP(1,(참조!$B$2:$B$15=E1805)*(참조!$D$2:$D$15=C1805)*(참조!$E$2:$E$15=D1805),참조!$C$2:$C$15,"")</f>
        <v/>
      </c>
    </row>
    <row r="1806" hidden="1" s="27">
      <c r="A1806" s="47" t="inlineStr">
        <is>
          <t>아이즈모바일</t>
        </is>
      </c>
      <c r="B1806" s="47" t="inlineStr">
        <is>
          <t>[K]아이즈특판7GB+</t>
        </is>
      </c>
      <c r="C1806" s="47" t="inlineStr">
        <is>
          <t>무제한</t>
        </is>
      </c>
      <c r="D1806" s="47" t="inlineStr">
        <is>
          <t>무제한</t>
        </is>
      </c>
      <c r="E1806" s="47" t="inlineStr">
        <is>
          <t>월 7GB + 1Mbps</t>
        </is>
      </c>
      <c r="F1806" s="47" t="inlineStr">
        <is>
          <t>KT</t>
        </is>
      </c>
      <c r="G1806" s="47" t="inlineStr">
        <is>
          <t>LTE</t>
        </is>
      </c>
      <c r="H1806" s="48" t="n">
        <v>19800</v>
      </c>
      <c r="I1806" s="48" t="n"/>
      <c r="J1806" s="48" t="n"/>
      <c r="K1806" s="47">
        <f t="array" ref="K1806">_xlfn.XLOOKUP(1,(참조!$B$2:$B$15=E1806)*(참조!$D$2:$D$15=C1806)*(참조!$E$2:$E$15=D1806),참조!$C$2:$C$15,"")</f>
        <v/>
      </c>
    </row>
    <row r="1807" hidden="1" s="27">
      <c r="A1807" s="47" t="inlineStr">
        <is>
          <t>에이모바일</t>
        </is>
      </c>
      <c r="B1807" s="47" t="inlineStr">
        <is>
          <t>A 스페셜 10GB+ (24개월)</t>
        </is>
      </c>
      <c r="C1807" s="47" t="inlineStr">
        <is>
          <t>무제한</t>
        </is>
      </c>
      <c r="D1807" s="47" t="inlineStr">
        <is>
          <t>무제한</t>
        </is>
      </c>
      <c r="E1807" s="47" t="inlineStr">
        <is>
          <t>월 10GB + 1Mbps</t>
        </is>
      </c>
      <c r="F1807" s="47" t="inlineStr">
        <is>
          <t>LG U+</t>
        </is>
      </c>
      <c r="G1807" s="47" t="inlineStr">
        <is>
          <t>LTE</t>
        </is>
      </c>
      <c r="H1807" s="48" t="n">
        <v>19030</v>
      </c>
      <c r="I1807" s="48" t="n">
        <v>24</v>
      </c>
      <c r="J1807" s="48" t="n">
        <v>26400</v>
      </c>
      <c r="K1807" s="47">
        <f t="array" ref="K1807">_xlfn.XLOOKUP(1,(참조!$B$2:$B$15=E1807)*(참조!$D$2:$D$15=C1807)*(참조!$E$2:$E$15=D1807),참조!$C$2:$C$15,"")</f>
        <v/>
      </c>
    </row>
    <row r="1808" hidden="1" s="27">
      <c r="A1808" s="47" t="inlineStr">
        <is>
          <t>아이즈모바일</t>
        </is>
      </c>
      <c r="B1808" s="47" t="inlineStr">
        <is>
          <t>[S]무한10GB+</t>
        </is>
      </c>
      <c r="C1808" s="47" t="inlineStr">
        <is>
          <t>무제한</t>
        </is>
      </c>
      <c r="D1808" s="47" t="inlineStr">
        <is>
          <t>무제한</t>
        </is>
      </c>
      <c r="E1808" s="47" t="inlineStr">
        <is>
          <t>월 10GB + 1Mbps</t>
        </is>
      </c>
      <c r="F1808" s="47" t="inlineStr">
        <is>
          <t>SKT</t>
        </is>
      </c>
      <c r="G1808" s="47" t="inlineStr">
        <is>
          <t>LTE</t>
        </is>
      </c>
      <c r="H1808" s="48" t="n">
        <v>18900</v>
      </c>
      <c r="I1808" s="48" t="n">
        <v>36</v>
      </c>
      <c r="J1808" s="48" t="n">
        <v>35200</v>
      </c>
      <c r="K1808" s="47">
        <f t="array" ref="K1808">_xlfn.XLOOKUP(1,(참조!$B$2:$B$15=E1808)*(참조!$D$2:$D$15=C1808)*(참조!$E$2:$E$15=D1808),참조!$C$2:$C$15,"")</f>
        <v/>
      </c>
    </row>
    <row r="1809" hidden="1" s="27">
      <c r="A1809" s="47" t="inlineStr">
        <is>
          <t>리브모바일</t>
        </is>
      </c>
      <c r="B1809" s="47" t="inlineStr">
        <is>
          <t>5G무제한 110GB+</t>
        </is>
      </c>
      <c r="C1809" s="47" t="inlineStr">
        <is>
          <t>무제한</t>
        </is>
      </c>
      <c r="D1809" s="47" t="inlineStr">
        <is>
          <t>무제한</t>
        </is>
      </c>
      <c r="E1809" s="47" t="inlineStr">
        <is>
          <t>월 110GB + 5Mbps</t>
        </is>
      </c>
      <c r="F1809" s="47" t="inlineStr">
        <is>
          <t>KT</t>
        </is>
      </c>
      <c r="G1809" s="47" t="inlineStr">
        <is>
          <t>5G</t>
        </is>
      </c>
      <c r="H1809" s="48" t="n">
        <v>43100</v>
      </c>
      <c r="I1809" s="48" t="n">
        <v>12</v>
      </c>
      <c r="J1809" s="48" t="n">
        <v>47500</v>
      </c>
      <c r="K1809" s="47">
        <f t="array" ref="K1809">_xlfn.XLOOKUP(1,(참조!$B$2:$B$15=E1809)*(참조!$D$2:$D$15=C1809)*(참조!$E$2:$E$15=D1809),참조!$C$2:$C$15,"")</f>
        <v/>
      </c>
    </row>
    <row r="1810" hidden="1" s="27">
      <c r="A1810" s="47" t="inlineStr">
        <is>
          <t>스마텔</t>
        </is>
      </c>
      <c r="B1810" s="47" t="inlineStr">
        <is>
          <t>5G 스마일 24GB+</t>
        </is>
      </c>
      <c r="C1810" s="47" t="inlineStr">
        <is>
          <t>무제한</t>
        </is>
      </c>
      <c r="D1810" s="47" t="inlineStr">
        <is>
          <t>무제한</t>
        </is>
      </c>
      <c r="E1810" s="47" t="inlineStr">
        <is>
          <t>월 24GB + 1Mbps</t>
        </is>
      </c>
      <c r="F1810" s="47" t="inlineStr">
        <is>
          <t>SKT</t>
        </is>
      </c>
      <c r="G1810" s="47" t="inlineStr">
        <is>
          <t>5G</t>
        </is>
      </c>
      <c r="H1810" s="48" t="n">
        <v>39600</v>
      </c>
      <c r="I1810" s="48" t="n"/>
      <c r="J1810" s="48" t="n"/>
      <c r="K1810" s="47">
        <f t="array" ref="K1810">_xlfn.XLOOKUP(1,(참조!$B$2:$B$15=E1810)*(참조!$D$2:$D$15=C1810)*(참조!$E$2:$E$15=D1810),참조!$C$2:$C$15,"")</f>
        <v/>
      </c>
    </row>
    <row r="1811" hidden="1" s="27">
      <c r="A1811" s="47" t="inlineStr">
        <is>
          <t>이야기모바일</t>
        </is>
      </c>
      <c r="B1811" s="47" t="inlineStr">
        <is>
          <t>5G 이야기 무한 200GB</t>
        </is>
      </c>
      <c r="C1811" s="47" t="inlineStr">
        <is>
          <t>무제한</t>
        </is>
      </c>
      <c r="D1811" s="47" t="inlineStr">
        <is>
          <t>무제한</t>
        </is>
      </c>
      <c r="E1811" s="47" t="inlineStr">
        <is>
          <t>월 200GB + 5Mbps</t>
        </is>
      </c>
      <c r="F1811" s="47" t="inlineStr">
        <is>
          <t>SKT</t>
        </is>
      </c>
      <c r="G1811" s="47" t="inlineStr">
        <is>
          <t>5G</t>
        </is>
      </c>
      <c r="H1811" s="48" t="n">
        <v>49800</v>
      </c>
      <c r="I1811" s="48" t="n">
        <v>7</v>
      </c>
      <c r="J1811" s="48" t="n">
        <v>53100</v>
      </c>
      <c r="K1811" s="47">
        <f t="array" ref="K1811">_xlfn.XLOOKUP(1,(참조!$B$2:$B$15=E1811)*(참조!$D$2:$D$15=C1811)*(참조!$E$2:$E$15=D1811),참조!$C$2:$C$15,"")</f>
        <v/>
      </c>
    </row>
    <row r="1812" hidden="1" s="27">
      <c r="A1812" s="47" t="inlineStr">
        <is>
          <t>고고모바일</t>
        </is>
      </c>
      <c r="B1812" s="47" t="inlineStr">
        <is>
          <t>5G무제한 90GB+1Mbps</t>
        </is>
      </c>
      <c r="C1812" s="47" t="inlineStr">
        <is>
          <t>무제한</t>
        </is>
      </c>
      <c r="D1812" s="47" t="inlineStr">
        <is>
          <t>무제한</t>
        </is>
      </c>
      <c r="E1812" s="47" t="inlineStr">
        <is>
          <t>월 90GB + 1Mbps</t>
        </is>
      </c>
      <c r="F1812" s="47" t="inlineStr">
        <is>
          <t>KT</t>
        </is>
      </c>
      <c r="G1812" s="47" t="inlineStr">
        <is>
          <t>5G</t>
        </is>
      </c>
      <c r="H1812" s="48" t="n">
        <v>44000</v>
      </c>
      <c r="I1812" s="48" t="n"/>
      <c r="J1812" s="48" t="n"/>
      <c r="K1812" s="47">
        <f t="array" ref="K1812">_xlfn.XLOOKUP(1,(참조!$B$2:$B$15=E1812)*(참조!$D$2:$D$15=C1812)*(참조!$E$2:$E$15=D1812),참조!$C$2:$C$15,"")</f>
        <v/>
      </c>
    </row>
    <row r="1813" hidden="1" s="27">
      <c r="A1813" s="47" t="inlineStr">
        <is>
          <t>모빙</t>
        </is>
      </c>
      <c r="B1813" s="47" t="inlineStr">
        <is>
          <t>[K] 다이소 100분15GB+</t>
        </is>
      </c>
      <c r="C1813" s="47" t="inlineStr">
        <is>
          <t>100분</t>
        </is>
      </c>
      <c r="D1813" s="47" t="inlineStr">
        <is>
          <t>100건</t>
        </is>
      </c>
      <c r="E1813" s="47" t="inlineStr">
        <is>
          <t>월 15GB + 3Mbps</t>
        </is>
      </c>
      <c r="F1813" s="47" t="inlineStr">
        <is>
          <t>KT</t>
        </is>
      </c>
      <c r="G1813" s="47" t="inlineStr">
        <is>
          <t>LTE</t>
        </is>
      </c>
      <c r="H1813" s="48" t="n">
        <v>17710</v>
      </c>
      <c r="I1813" s="48" t="n">
        <v>7</v>
      </c>
      <c r="J1813" s="48" t="n">
        <v>41800</v>
      </c>
      <c r="K1813" s="47">
        <f t="array" ref="K1813">_xlfn.XLOOKUP(1,(참조!$B$2:$B$15=E1813)*(참조!$D$2:$D$15=C1813)*(참조!$E$2:$E$15=D1813),참조!$C$2:$C$15,"")</f>
        <v/>
      </c>
    </row>
    <row r="1814" hidden="1" s="27">
      <c r="A1814" s="47" t="inlineStr">
        <is>
          <t>스마텔</t>
        </is>
      </c>
      <c r="B1814" s="47" t="inlineStr">
        <is>
          <t>후후 플러스 (500분+2GB)</t>
        </is>
      </c>
      <c r="C1814" s="47" t="inlineStr">
        <is>
          <t>500분</t>
        </is>
      </c>
      <c r="D1814" s="47" t="inlineStr">
        <is>
          <t>100건</t>
        </is>
      </c>
      <c r="E1814" s="47" t="inlineStr">
        <is>
          <t>월 2GB</t>
        </is>
      </c>
      <c r="F1814" s="47" t="inlineStr">
        <is>
          <t>SKT</t>
        </is>
      </c>
      <c r="G1814" s="47" t="inlineStr">
        <is>
          <t>LTE</t>
        </is>
      </c>
      <c r="H1814" s="48" t="n">
        <v>4180</v>
      </c>
      <c r="I1814" s="48" t="n">
        <v>5</v>
      </c>
      <c r="J1814" s="48" t="n">
        <v>8030</v>
      </c>
      <c r="K1814" s="47">
        <f t="array" ref="K1814">_xlfn.XLOOKUP(1,(참조!$B$2:$B$15=E1814)*(참조!$D$2:$D$15=C1814)*(참조!$E$2:$E$15=D1814),참조!$C$2:$C$15,"")</f>
        <v/>
      </c>
    </row>
    <row r="1815" hidden="1" s="27">
      <c r="A1815" s="47" t="inlineStr">
        <is>
          <t>모빙</t>
        </is>
      </c>
      <c r="B1815" s="47" t="inlineStr">
        <is>
          <t>[K] 페이포인트 100분15GB+</t>
        </is>
      </c>
      <c r="C1815" s="47" t="inlineStr">
        <is>
          <t>100분</t>
        </is>
      </c>
      <c r="D1815" s="47" t="inlineStr">
        <is>
          <t>100건</t>
        </is>
      </c>
      <c r="E1815" s="47" t="inlineStr">
        <is>
          <t>월 15GB + 3Mbps</t>
        </is>
      </c>
      <c r="F1815" s="47" t="inlineStr">
        <is>
          <t>KT</t>
        </is>
      </c>
      <c r="G1815" s="47" t="inlineStr">
        <is>
          <t>LTE</t>
        </is>
      </c>
      <c r="H1815" s="48" t="n">
        <v>17710</v>
      </c>
      <c r="I1815" s="48" t="n">
        <v>7</v>
      </c>
      <c r="J1815" s="48" t="n">
        <v>41800</v>
      </c>
      <c r="K1815" s="47">
        <f t="array" ref="K1815">_xlfn.XLOOKUP(1,(참조!$B$2:$B$15=E1815)*(참조!$D$2:$D$15=C1815)*(참조!$E$2:$E$15=D1815),참조!$C$2:$C$15,"")</f>
        <v/>
      </c>
    </row>
    <row r="1816" hidden="1" s="27">
      <c r="A1816" s="47" t="inlineStr">
        <is>
          <t>스마텔</t>
        </is>
      </c>
      <c r="B1816" s="47" t="inlineStr">
        <is>
          <t>5G 스위트 30GB+</t>
        </is>
      </c>
      <c r="C1816" s="47" t="inlineStr">
        <is>
          <t>무제한</t>
        </is>
      </c>
      <c r="D1816" s="47" t="inlineStr">
        <is>
          <t>무제한</t>
        </is>
      </c>
      <c r="E1816" s="47" t="inlineStr">
        <is>
          <t>월 30GB + 1Mbps</t>
        </is>
      </c>
      <c r="F1816" s="47" t="inlineStr">
        <is>
          <t>KT</t>
        </is>
      </c>
      <c r="G1816" s="47" t="inlineStr">
        <is>
          <t>5G</t>
        </is>
      </c>
      <c r="H1816" s="48" t="n">
        <v>39600</v>
      </c>
      <c r="I1816" s="48" t="n">
        <v>36</v>
      </c>
      <c r="J1816" s="48" t="n">
        <v>45100</v>
      </c>
      <c r="K1816" s="47">
        <f t="array" ref="K1816">_xlfn.XLOOKUP(1,(참조!$B$2:$B$15=E1816)*(참조!$D$2:$D$15=C1816)*(참조!$E$2:$E$15=D1816),참조!$C$2:$C$15,"")</f>
        <v/>
      </c>
    </row>
    <row r="1817" hidden="1" s="27">
      <c r="A1817" s="47" t="inlineStr">
        <is>
          <t>시월모바일</t>
        </is>
      </c>
      <c r="B1817" s="47" t="inlineStr">
        <is>
          <t>시월5G 무제한 31GB+1Mbps</t>
        </is>
      </c>
      <c r="C1817" s="47" t="inlineStr">
        <is>
          <t>300분</t>
        </is>
      </c>
      <c r="D1817" s="47" t="inlineStr">
        <is>
          <t>300건</t>
        </is>
      </c>
      <c r="E1817" s="47" t="inlineStr">
        <is>
          <t>월 31GB + 1Mbps</t>
        </is>
      </c>
      <c r="F1817" s="47" t="inlineStr">
        <is>
          <t>LG U+</t>
        </is>
      </c>
      <c r="G1817" s="47" t="inlineStr">
        <is>
          <t>5G</t>
        </is>
      </c>
      <c r="H1817" s="48" t="n">
        <v>21300</v>
      </c>
      <c r="I1817" s="48" t="n">
        <v>7</v>
      </c>
      <c r="J1817" s="48" t="n">
        <v>40000</v>
      </c>
      <c r="K1817" s="47">
        <f t="array" ref="K1817">_xlfn.XLOOKUP(1,(참조!$B$2:$B$15=E1817)*(참조!$D$2:$D$15=C1817)*(참조!$E$2:$E$15=D1817),참조!$C$2:$C$15,"")</f>
        <v/>
      </c>
    </row>
    <row r="1818" hidden="1" s="27">
      <c r="A1818" s="47" t="inlineStr">
        <is>
          <t>고고모바일</t>
        </is>
      </c>
      <c r="B1818" s="47" t="inlineStr">
        <is>
          <t>5G200분/6GB-데이터소진후 자동차단</t>
        </is>
      </c>
      <c r="C1818" s="47" t="inlineStr">
        <is>
          <t>200분</t>
        </is>
      </c>
      <c r="D1818" s="47" t="inlineStr">
        <is>
          <t>200건</t>
        </is>
      </c>
      <c r="E1818" s="47" t="inlineStr">
        <is>
          <t>월 6GB</t>
        </is>
      </c>
      <c r="F1818" s="47" t="inlineStr">
        <is>
          <t>KT</t>
        </is>
      </c>
      <c r="G1818" s="47" t="inlineStr">
        <is>
          <t>5G</t>
        </is>
      </c>
      <c r="H1818" s="48" t="n">
        <v>13200</v>
      </c>
      <c r="I1818" s="48" t="n"/>
      <c r="J1818" s="48" t="n"/>
      <c r="K1818" s="47">
        <f t="array" ref="K1818">_xlfn.XLOOKUP(1,(참조!$B$2:$B$15=E1818)*(참조!$D$2:$D$15=C1818)*(참조!$E$2:$E$15=D1818),참조!$C$2:$C$15,"")</f>
        <v/>
      </c>
    </row>
    <row r="1819" hidden="1" s="27">
      <c r="A1819" s="47" t="inlineStr">
        <is>
          <t>에이모바일</t>
        </is>
      </c>
      <c r="B1819" s="47" t="inlineStr">
        <is>
          <t>A 올라잇 15GB+/100분 밀리의서재</t>
        </is>
      </c>
      <c r="C1819" s="47" t="inlineStr">
        <is>
          <t>100분</t>
        </is>
      </c>
      <c r="D1819" s="47" t="inlineStr">
        <is>
          <t>100건</t>
        </is>
      </c>
      <c r="E1819" s="47" t="inlineStr">
        <is>
          <t>월 15GB + 3Mbps</t>
        </is>
      </c>
      <c r="F1819" s="47" t="inlineStr">
        <is>
          <t>KT</t>
        </is>
      </c>
      <c r="G1819" s="47" t="inlineStr">
        <is>
          <t>LTE</t>
        </is>
      </c>
      <c r="H1819" s="48" t="n">
        <v>18000</v>
      </c>
      <c r="I1819" s="48" t="n">
        <v>7</v>
      </c>
      <c r="J1819" s="48" t="n">
        <v>35200</v>
      </c>
      <c r="K1819" s="47">
        <f t="array" ref="K1819">_xlfn.XLOOKUP(1,(참조!$B$2:$B$15=E1819)*(참조!$D$2:$D$15=C1819)*(참조!$E$2:$E$15=D1819),참조!$C$2:$C$15,"")</f>
        <v/>
      </c>
    </row>
    <row r="1820" hidden="1" s="27">
      <c r="A1820" s="47" t="inlineStr">
        <is>
          <t>아이즈모바일</t>
        </is>
      </c>
      <c r="B1820" s="47" t="inlineStr">
        <is>
          <t>[S]OK캐쉬백 7GB+</t>
        </is>
      </c>
      <c r="C1820" s="47" t="inlineStr">
        <is>
          <t>무제한</t>
        </is>
      </c>
      <c r="D1820" s="47" t="inlineStr">
        <is>
          <t>무제한</t>
        </is>
      </c>
      <c r="E1820" s="47" t="inlineStr">
        <is>
          <t>월 7GB + 1Mbps</t>
        </is>
      </c>
      <c r="F1820" s="47" t="inlineStr">
        <is>
          <t>SKT</t>
        </is>
      </c>
      <c r="G1820" s="47" t="inlineStr">
        <is>
          <t>LTE</t>
        </is>
      </c>
      <c r="H1820" s="48" t="n">
        <v>19900</v>
      </c>
      <c r="I1820" s="48" t="n">
        <v>12</v>
      </c>
      <c r="J1820" s="48" t="n">
        <v>28600</v>
      </c>
      <c r="K1820" s="47">
        <f t="array" ref="K1820">_xlfn.XLOOKUP(1,(참조!$B$2:$B$15=E1820)*(참조!$D$2:$D$15=C1820)*(참조!$E$2:$E$15=D1820),참조!$C$2:$C$15,"")</f>
        <v/>
      </c>
    </row>
    <row r="1821" hidden="1" s="27">
      <c r="A1821" s="47" t="inlineStr">
        <is>
          <t>티플러스</t>
        </is>
      </c>
      <c r="B1821" s="47" t="inlineStr">
        <is>
          <t>데이터안심 10GB＋(100분)</t>
        </is>
      </c>
      <c r="C1821" s="47" t="inlineStr">
        <is>
          <t>100분</t>
        </is>
      </c>
      <c r="D1821" s="47" t="inlineStr">
        <is>
          <t>100건</t>
        </is>
      </c>
      <c r="E1821" s="47" t="inlineStr">
        <is>
          <t>월 10GB + 400Kbps</t>
        </is>
      </c>
      <c r="F1821" s="47" t="inlineStr">
        <is>
          <t>SKT</t>
        </is>
      </c>
      <c r="G1821" s="47" t="inlineStr">
        <is>
          <t>LTE</t>
        </is>
      </c>
      <c r="H1821" s="48" t="n">
        <v>11000</v>
      </c>
      <c r="I1821" s="48" t="n">
        <v>7</v>
      </c>
      <c r="J1821" s="48" t="n">
        <v>19250</v>
      </c>
      <c r="K1821" s="47">
        <f t="array" ref="K1821">_xlfn.XLOOKUP(1,(참조!$B$2:$B$15=E1821)*(참조!$D$2:$D$15=C1821)*(참조!$E$2:$E$15=D1821),참조!$C$2:$C$15,"")</f>
        <v/>
      </c>
    </row>
    <row r="1822" hidden="1" s="27">
      <c r="A1822" s="47" t="inlineStr">
        <is>
          <t>KT스카이라이프</t>
        </is>
      </c>
      <c r="B1822" s="47" t="inlineStr">
        <is>
          <t>5G 모두 충분 90GB+</t>
        </is>
      </c>
      <c r="C1822" s="47" t="inlineStr">
        <is>
          <t>무제한</t>
        </is>
      </c>
      <c r="D1822" s="47" t="inlineStr">
        <is>
          <t>무제한</t>
        </is>
      </c>
      <c r="E1822" s="47" t="inlineStr">
        <is>
          <t>월 90GB + 1Mbps</t>
        </is>
      </c>
      <c r="F1822" s="47" t="inlineStr">
        <is>
          <t>KT</t>
        </is>
      </c>
      <c r="G1822" s="47" t="inlineStr">
        <is>
          <t>5G</t>
        </is>
      </c>
      <c r="H1822" s="48" t="n">
        <v>40900</v>
      </c>
      <c r="I1822" s="48" t="n"/>
      <c r="J1822" s="48" t="n"/>
      <c r="K1822" s="47">
        <f t="array" ref="K1822">_xlfn.XLOOKUP(1,(참조!$B$2:$B$15=E1822)*(참조!$D$2:$D$15=C1822)*(참조!$E$2:$E$15=D1822),참조!$C$2:$C$15,"")</f>
        <v/>
      </c>
    </row>
    <row r="1823" hidden="1" s="27">
      <c r="A1823" s="47" t="inlineStr">
        <is>
          <t>모빙</t>
        </is>
      </c>
      <c r="B1823" s="47" t="inlineStr">
        <is>
          <t>[S] 컬쳐랜드 100GB+</t>
        </is>
      </c>
      <c r="C1823" s="47" t="inlineStr">
        <is>
          <t>무제한</t>
        </is>
      </c>
      <c r="D1823" s="47" t="inlineStr">
        <is>
          <t>무제한</t>
        </is>
      </c>
      <c r="E1823" s="47" t="inlineStr">
        <is>
          <t>월 100GB + 5Mbps</t>
        </is>
      </c>
      <c r="F1823" s="47" t="inlineStr">
        <is>
          <t>SKT</t>
        </is>
      </c>
      <c r="G1823" s="47" t="inlineStr">
        <is>
          <t>LTE</t>
        </is>
      </c>
      <c r="H1823" s="48" t="n">
        <v>22000</v>
      </c>
      <c r="I1823" s="48" t="n">
        <v>7</v>
      </c>
      <c r="J1823" s="48" t="n">
        <v>67100</v>
      </c>
      <c r="K1823" s="47">
        <f t="array" ref="K1823">_xlfn.XLOOKUP(1,(참조!$B$2:$B$15=E1823)*(참조!$D$2:$D$15=C1823)*(참조!$E$2:$E$15=D1823),참조!$C$2:$C$15,"")</f>
        <v/>
      </c>
    </row>
    <row r="1824" hidden="1" s="27">
      <c r="A1824" s="47" t="inlineStr">
        <is>
          <t>모빙</t>
        </is>
      </c>
      <c r="B1824" s="47" t="inlineStr">
        <is>
          <t>[S] CU편의점 100GB+</t>
        </is>
      </c>
      <c r="C1824" s="47" t="inlineStr">
        <is>
          <t>무제한</t>
        </is>
      </c>
      <c r="D1824" s="47" t="inlineStr">
        <is>
          <t>무제한</t>
        </is>
      </c>
      <c r="E1824" s="47" t="inlineStr">
        <is>
          <t>월 100GB + 5Mbps</t>
        </is>
      </c>
      <c r="F1824" s="47" t="inlineStr">
        <is>
          <t>SKT</t>
        </is>
      </c>
      <c r="G1824" s="47" t="inlineStr">
        <is>
          <t>LTE</t>
        </is>
      </c>
      <c r="H1824" s="48" t="n">
        <v>22000</v>
      </c>
      <c r="I1824" s="48" t="n">
        <v>7</v>
      </c>
      <c r="J1824" s="48" t="n">
        <v>67100</v>
      </c>
      <c r="K1824" s="47">
        <f t="array" ref="K1824">_xlfn.XLOOKUP(1,(참조!$B$2:$B$15=E1824)*(참조!$D$2:$D$15=C1824)*(참조!$E$2:$E$15=D1824),참조!$C$2:$C$15,"")</f>
        <v/>
      </c>
    </row>
    <row r="1825" hidden="1" s="27">
      <c r="A1825" s="47" t="inlineStr">
        <is>
          <t>아이즈모바일</t>
        </is>
      </c>
      <c r="B1825" s="47" t="inlineStr">
        <is>
          <t>[K]벤티(200분/10GB)</t>
        </is>
      </c>
      <c r="C1825" s="47" t="inlineStr">
        <is>
          <t>200분</t>
        </is>
      </c>
      <c r="D1825" s="47" t="inlineStr">
        <is>
          <t>100건</t>
        </is>
      </c>
      <c r="E1825" s="47" t="inlineStr">
        <is>
          <t>월 10GB</t>
        </is>
      </c>
      <c r="F1825" s="47" t="inlineStr">
        <is>
          <t>KT</t>
        </is>
      </c>
      <c r="G1825" s="47" t="inlineStr">
        <is>
          <t>LTE</t>
        </is>
      </c>
      <c r="H1825" s="48" t="n">
        <v>23200</v>
      </c>
      <c r="I1825" s="48" t="n"/>
      <c r="J1825" s="48" t="n"/>
      <c r="K1825" s="47">
        <f t="array" ref="K1825">_xlfn.XLOOKUP(1,(참조!$B$2:$B$15=E1825)*(참조!$D$2:$D$15=C1825)*(참조!$E$2:$E$15=D1825),참조!$C$2:$C$15,"")</f>
        <v/>
      </c>
    </row>
    <row r="1826" hidden="1" s="27">
      <c r="A1826" s="47" t="inlineStr">
        <is>
          <t>이야기모바일</t>
        </is>
      </c>
      <c r="B1826" s="47" t="inlineStr">
        <is>
          <t>이야기 라이트S 100분 11GB+</t>
        </is>
      </c>
      <c r="C1826" s="47" t="inlineStr">
        <is>
          <t>100분</t>
        </is>
      </c>
      <c r="D1826" s="47" t="inlineStr">
        <is>
          <t>100건</t>
        </is>
      </c>
      <c r="E1826" s="47" t="inlineStr">
        <is>
          <t>월 11GB + 1Mbps</t>
        </is>
      </c>
      <c r="F1826" s="47" t="inlineStr">
        <is>
          <t>SKT</t>
        </is>
      </c>
      <c r="G1826" s="47" t="inlineStr">
        <is>
          <t>LTE</t>
        </is>
      </c>
      <c r="H1826" s="48" t="n">
        <v>23650</v>
      </c>
      <c r="I1826" s="48" t="n"/>
      <c r="J1826" s="48" t="n"/>
      <c r="K1826" s="47">
        <f t="array" ref="K1826">_xlfn.XLOOKUP(1,(참조!$B$2:$B$15=E1826)*(참조!$D$2:$D$15=C1826)*(참조!$E$2:$E$15=D1826),참조!$C$2:$C$15,"")</f>
        <v/>
      </c>
    </row>
    <row r="1827" hidden="1" s="27">
      <c r="A1827" s="47" t="inlineStr">
        <is>
          <t>모빙</t>
        </is>
      </c>
      <c r="B1827" s="47" t="inlineStr">
        <is>
          <t>[S] CU편의점 7GB+</t>
        </is>
      </c>
      <c r="C1827" s="47" t="inlineStr">
        <is>
          <t>무제한</t>
        </is>
      </c>
      <c r="D1827" s="47" t="inlineStr">
        <is>
          <t>무제한</t>
        </is>
      </c>
      <c r="E1827" s="47" t="inlineStr">
        <is>
          <t>월 7GB + 1Mbps</t>
        </is>
      </c>
      <c r="F1827" s="47" t="inlineStr">
        <is>
          <t>SKT</t>
        </is>
      </c>
      <c r="G1827" s="47" t="inlineStr">
        <is>
          <t>LTE</t>
        </is>
      </c>
      <c r="H1827" s="48" t="n">
        <v>9900</v>
      </c>
      <c r="I1827" s="48" t="n">
        <v>7</v>
      </c>
      <c r="J1827" s="48" t="n">
        <v>31900</v>
      </c>
      <c r="K1827" s="47">
        <f t="array" ref="K1827">_xlfn.XLOOKUP(1,(참조!$B$2:$B$15=E1827)*(참조!$D$2:$D$15=C1827)*(참조!$E$2:$E$15=D1827),참조!$C$2:$C$15,"")</f>
        <v/>
      </c>
    </row>
    <row r="1828" hidden="1" s="27">
      <c r="A1828" s="47" t="inlineStr">
        <is>
          <t>모빙</t>
        </is>
      </c>
      <c r="B1828" s="47" t="inlineStr">
        <is>
          <t>[K] 다이소 7GB+</t>
        </is>
      </c>
      <c r="C1828" s="47" t="inlineStr">
        <is>
          <t>무제한</t>
        </is>
      </c>
      <c r="D1828" s="47" t="inlineStr">
        <is>
          <t>무제한</t>
        </is>
      </c>
      <c r="E1828" s="47" t="inlineStr">
        <is>
          <t>월 7GB + 1Mbps</t>
        </is>
      </c>
      <c r="F1828" s="47" t="inlineStr">
        <is>
          <t>KT</t>
        </is>
      </c>
      <c r="G1828" s="47" t="inlineStr">
        <is>
          <t>LTE</t>
        </is>
      </c>
      <c r="H1828" s="48" t="n">
        <v>9900</v>
      </c>
      <c r="I1828" s="48" t="n">
        <v>7</v>
      </c>
      <c r="J1828" s="48" t="n">
        <v>27500</v>
      </c>
      <c r="K1828" s="47">
        <f t="array" ref="K1828">_xlfn.XLOOKUP(1,(참조!$B$2:$B$15=E1828)*(참조!$D$2:$D$15=C1828)*(참조!$E$2:$E$15=D1828),참조!$C$2:$C$15,"")</f>
        <v/>
      </c>
    </row>
    <row r="1829" hidden="1" s="27">
      <c r="A1829" s="47" t="inlineStr">
        <is>
          <t>아이즈모바일</t>
        </is>
      </c>
      <c r="B1829" s="47" t="inlineStr">
        <is>
          <t>[S]아이즈특판300분/15GB+</t>
        </is>
      </c>
      <c r="C1829" s="47" t="inlineStr">
        <is>
          <t>300분</t>
        </is>
      </c>
      <c r="D1829" s="47" t="inlineStr">
        <is>
          <t>300건</t>
        </is>
      </c>
      <c r="E1829" s="47" t="inlineStr">
        <is>
          <t>월 15GB + 3Mbps</t>
        </is>
      </c>
      <c r="F1829" s="47" t="inlineStr">
        <is>
          <t>SKT</t>
        </is>
      </c>
      <c r="G1829" s="47" t="inlineStr">
        <is>
          <t>LTE</t>
        </is>
      </c>
      <c r="H1829" s="48" t="n">
        <v>19000</v>
      </c>
      <c r="I1829" s="48" t="n">
        <v>7</v>
      </c>
      <c r="J1829" s="48" t="n">
        <v>29900</v>
      </c>
      <c r="K1829" s="47">
        <f t="array" ref="K1829">_xlfn.XLOOKUP(1,(참조!$B$2:$B$15=E1829)*(참조!$D$2:$D$15=C1829)*(참조!$E$2:$E$15=D1829),참조!$C$2:$C$15,"")</f>
        <v/>
      </c>
    </row>
    <row r="1830" hidden="1" s="27">
      <c r="A1830" s="47" t="inlineStr">
        <is>
          <t>아이즈모바일</t>
        </is>
      </c>
      <c r="B1830" s="47" t="inlineStr">
        <is>
          <t>[K]다이소 15GB+</t>
        </is>
      </c>
      <c r="C1830" s="47" t="inlineStr">
        <is>
          <t>무제한</t>
        </is>
      </c>
      <c r="D1830" s="47" t="inlineStr">
        <is>
          <t>무제한</t>
        </is>
      </c>
      <c r="E1830" s="47" t="inlineStr">
        <is>
          <t>월 15GB + 1Mbps</t>
        </is>
      </c>
      <c r="F1830" s="47" t="inlineStr">
        <is>
          <t>KT</t>
        </is>
      </c>
      <c r="G1830" s="47" t="inlineStr">
        <is>
          <t>LTE</t>
        </is>
      </c>
      <c r="H1830" s="48" t="n">
        <v>30800</v>
      </c>
      <c r="I1830" s="48" t="n"/>
      <c r="J1830" s="48" t="n"/>
      <c r="K1830" s="47">
        <f t="array" ref="K1830">_xlfn.XLOOKUP(1,(참조!$B$2:$B$15=E1830)*(참조!$D$2:$D$15=C1830)*(참조!$E$2:$E$15=D1830),참조!$C$2:$C$15,"")</f>
        <v/>
      </c>
    </row>
    <row r="1831" hidden="1" s="27">
      <c r="A1831" s="47" t="inlineStr">
        <is>
          <t>에이모바일</t>
        </is>
      </c>
      <c r="B1831" s="47" t="inlineStr">
        <is>
          <t>A 올라잇 15GB+/300분</t>
        </is>
      </c>
      <c r="C1831" s="47" t="inlineStr">
        <is>
          <t>300분</t>
        </is>
      </c>
      <c r="D1831" s="47" t="inlineStr">
        <is>
          <t>300건</t>
        </is>
      </c>
      <c r="E1831" s="47" t="inlineStr">
        <is>
          <t>월 15GB + 3Mbps</t>
        </is>
      </c>
      <c r="F1831" s="47" t="inlineStr">
        <is>
          <t>KT</t>
        </is>
      </c>
      <c r="G1831" s="47" t="inlineStr">
        <is>
          <t>LTE</t>
        </is>
      </c>
      <c r="H1831" s="48" t="n">
        <v>19000</v>
      </c>
      <c r="I1831" s="48" t="n">
        <v>7</v>
      </c>
      <c r="J1831" s="48" t="n">
        <v>37400</v>
      </c>
      <c r="K1831" s="47">
        <f t="array" ref="K1831">_xlfn.XLOOKUP(1,(참조!$B$2:$B$15=E1831)*(참조!$D$2:$D$15=C1831)*(참조!$E$2:$E$15=D1831),참조!$C$2:$C$15,"")</f>
        <v/>
      </c>
    </row>
    <row r="1832" hidden="1" s="27">
      <c r="A1832" s="47" t="inlineStr">
        <is>
          <t>아이즈모바일</t>
        </is>
      </c>
      <c r="B1832" s="47" t="inlineStr">
        <is>
          <t>[K]올리브영 15GB+</t>
        </is>
      </c>
      <c r="C1832" s="47" t="inlineStr">
        <is>
          <t>무제한</t>
        </is>
      </c>
      <c r="D1832" s="47" t="inlineStr">
        <is>
          <t>무제한</t>
        </is>
      </c>
      <c r="E1832" s="47" t="inlineStr">
        <is>
          <t>월 15GB + 1Mbps</t>
        </is>
      </c>
      <c r="F1832" s="47" t="inlineStr">
        <is>
          <t>KT</t>
        </is>
      </c>
      <c r="G1832" s="47" t="inlineStr">
        <is>
          <t>LTE</t>
        </is>
      </c>
      <c r="H1832" s="48" t="n">
        <v>30800</v>
      </c>
      <c r="I1832" s="48" t="n"/>
      <c r="J1832" s="48" t="n"/>
      <c r="K1832" s="47">
        <f t="array" ref="K1832">_xlfn.XLOOKUP(1,(참조!$B$2:$B$15=E1832)*(참조!$D$2:$D$15=C1832)*(참조!$E$2:$E$15=D1832),참조!$C$2:$C$15,"")</f>
        <v/>
      </c>
    </row>
    <row r="1833" hidden="1" s="27">
      <c r="A1833" s="47" t="inlineStr">
        <is>
          <t>인스모바일</t>
        </is>
      </c>
      <c r="B1833" s="47" t="inlineStr">
        <is>
          <t>인스 유심 올프리 6GB+</t>
        </is>
      </c>
      <c r="C1833" s="47" t="inlineStr">
        <is>
          <t>무제한</t>
        </is>
      </c>
      <c r="D1833" s="47" t="inlineStr">
        <is>
          <t>무제한</t>
        </is>
      </c>
      <c r="E1833" s="47" t="inlineStr">
        <is>
          <t>월 6GB + 1Mbps</t>
        </is>
      </c>
      <c r="F1833" s="47" t="inlineStr">
        <is>
          <t>LG U+</t>
        </is>
      </c>
      <c r="G1833" s="47" t="inlineStr">
        <is>
          <t>LTE</t>
        </is>
      </c>
      <c r="H1833" s="48" t="n">
        <v>5390</v>
      </c>
      <c r="I1833" s="48" t="n">
        <v>7</v>
      </c>
      <c r="J1833" s="48" t="n">
        <v>27500</v>
      </c>
      <c r="K1833" s="47">
        <f t="array" ref="K1833">_xlfn.XLOOKUP(1,(참조!$B$2:$B$15=E1833)*(참조!$D$2:$D$15=C1833)*(참조!$E$2:$E$15=D1833),참조!$C$2:$C$15,"")</f>
        <v/>
      </c>
    </row>
    <row r="1834" hidden="1" s="27">
      <c r="A1834" s="47" t="inlineStr">
        <is>
          <t>리브모바일</t>
        </is>
      </c>
      <c r="B1834" s="47" t="inlineStr">
        <is>
          <t>5G 든든 4GB</t>
        </is>
      </c>
      <c r="C1834" s="47" t="inlineStr">
        <is>
          <t>무제한</t>
        </is>
      </c>
      <c r="D1834" s="47" t="inlineStr">
        <is>
          <t>무제한</t>
        </is>
      </c>
      <c r="E1834" s="47" t="inlineStr">
        <is>
          <t>월 4GB</t>
        </is>
      </c>
      <c r="F1834" s="47" t="inlineStr">
        <is>
          <t>LG U+</t>
        </is>
      </c>
      <c r="G1834" s="47" t="inlineStr">
        <is>
          <t>5G</t>
        </is>
      </c>
      <c r="H1834" s="48" t="n">
        <v>10500</v>
      </c>
      <c r="I1834" s="48" t="n">
        <v>12</v>
      </c>
      <c r="J1834" s="48" t="n">
        <v>14900</v>
      </c>
      <c r="K1834" s="47">
        <f t="array" ref="K1834">_xlfn.XLOOKUP(1,(참조!$B$2:$B$15=E1834)*(참조!$D$2:$D$15=C1834)*(참조!$E$2:$E$15=D1834),참조!$C$2:$C$15,"")</f>
        <v/>
      </c>
    </row>
    <row r="1835" hidden="1" s="27">
      <c r="A1835" s="47" t="inlineStr">
        <is>
          <t>인스모바일</t>
        </is>
      </c>
      <c r="B1835" s="47" t="inlineStr">
        <is>
          <t>[평생할인]인스 유심 올프리 6GB+</t>
        </is>
      </c>
      <c r="C1835" s="47" t="inlineStr">
        <is>
          <t>무제한</t>
        </is>
      </c>
      <c r="D1835" s="47" t="inlineStr">
        <is>
          <t>무제한</t>
        </is>
      </c>
      <c r="E1835" s="47" t="inlineStr">
        <is>
          <t>월 6GB + 1Mbps</t>
        </is>
      </c>
      <c r="F1835" s="47" t="inlineStr">
        <is>
          <t>LG U+</t>
        </is>
      </c>
      <c r="G1835" s="47" t="inlineStr">
        <is>
          <t>LTE</t>
        </is>
      </c>
      <c r="H1835" s="48" t="n">
        <v>13750</v>
      </c>
      <c r="I1835" s="48" t="n"/>
      <c r="J1835" s="48" t="n"/>
      <c r="K1835" s="47">
        <f t="array" ref="K1835">_xlfn.XLOOKUP(1,(참조!$B$2:$B$15=E1835)*(참조!$D$2:$D$15=C1835)*(참조!$E$2:$E$15=D1835),참조!$C$2:$C$15,"")</f>
        <v/>
      </c>
    </row>
    <row r="1836" hidden="1" s="27">
      <c r="A1836" s="47" t="inlineStr">
        <is>
          <t>스마텔</t>
        </is>
      </c>
      <c r="B1836" s="47" t="inlineStr">
        <is>
          <t>5G 스위트 200GB+(지니뮤직)</t>
        </is>
      </c>
      <c r="C1836" s="47" t="inlineStr">
        <is>
          <t>무제한</t>
        </is>
      </c>
      <c r="D1836" s="47" t="inlineStr">
        <is>
          <t>무제한</t>
        </is>
      </c>
      <c r="E1836" s="47" t="inlineStr">
        <is>
          <t>월 200GB + 10Mbps</t>
        </is>
      </c>
      <c r="F1836" s="47" t="inlineStr">
        <is>
          <t>KT</t>
        </is>
      </c>
      <c r="G1836" s="47" t="inlineStr">
        <is>
          <t>5G</t>
        </is>
      </c>
      <c r="H1836" s="48" t="n">
        <v>53900</v>
      </c>
      <c r="I1836" s="48" t="n">
        <v>36</v>
      </c>
      <c r="J1836" s="48" t="n">
        <v>56100</v>
      </c>
      <c r="K1836" s="47">
        <f t="array" ref="K1836">_xlfn.XLOOKUP(1,(참조!$B$2:$B$15=E1836)*(참조!$D$2:$D$15=C1836)*(참조!$E$2:$E$15=D1836),참조!$C$2:$C$15,"")</f>
        <v/>
      </c>
    </row>
    <row r="1837" hidden="1" s="27">
      <c r="A1837" s="47" t="inlineStr">
        <is>
          <t>이야기모바일</t>
        </is>
      </c>
      <c r="B1837" s="47" t="inlineStr">
        <is>
          <t>5G 이야기 라이트 80GB+</t>
        </is>
      </c>
      <c r="C1837" s="47" t="inlineStr">
        <is>
          <t>무제한</t>
        </is>
      </c>
      <c r="D1837" s="47" t="inlineStr">
        <is>
          <t>무제한</t>
        </is>
      </c>
      <c r="E1837" s="47" t="inlineStr">
        <is>
          <t>월 80GB + 1Mbps</t>
        </is>
      </c>
      <c r="F1837" s="47" t="inlineStr">
        <is>
          <t>LG U+</t>
        </is>
      </c>
      <c r="G1837" s="47" t="inlineStr">
        <is>
          <t>5G</t>
        </is>
      </c>
      <c r="H1837" s="48" t="n">
        <v>34100</v>
      </c>
      <c r="I1837" s="48" t="n">
        <v>7</v>
      </c>
      <c r="J1837" s="48" t="n">
        <v>47300</v>
      </c>
      <c r="K1837" s="47">
        <f t="array" ref="K1837">_xlfn.XLOOKUP(1,(참조!$B$2:$B$15=E1837)*(참조!$D$2:$D$15=C1837)*(참조!$E$2:$E$15=D1837),참조!$C$2:$C$15,"")</f>
        <v/>
      </c>
    </row>
    <row r="1838" hidden="1" s="27">
      <c r="A1838" s="47" t="inlineStr">
        <is>
          <t>아이즈모바일</t>
        </is>
      </c>
      <c r="B1838" s="47" t="inlineStr">
        <is>
          <t>[S]OK캐쉬백 300분/15GB+</t>
        </is>
      </c>
      <c r="C1838" s="47" t="inlineStr">
        <is>
          <t>300분</t>
        </is>
      </c>
      <c r="D1838" s="47" t="inlineStr">
        <is>
          <t>300건</t>
        </is>
      </c>
      <c r="E1838" s="47" t="inlineStr">
        <is>
          <t>월 15GB + 3Mbps</t>
        </is>
      </c>
      <c r="F1838" s="47" t="inlineStr">
        <is>
          <t>SKT</t>
        </is>
      </c>
      <c r="G1838" s="47" t="inlineStr">
        <is>
          <t>LTE</t>
        </is>
      </c>
      <c r="H1838" s="48" t="n">
        <v>29500</v>
      </c>
      <c r="I1838" s="48" t="n">
        <v>12</v>
      </c>
      <c r="J1838" s="48" t="n">
        <v>41800</v>
      </c>
      <c r="K1838" s="47">
        <f t="array" ref="K1838">_xlfn.XLOOKUP(1,(참조!$B$2:$B$15=E1838)*(참조!$D$2:$D$15=C1838)*(참조!$E$2:$E$15=D1838),참조!$C$2:$C$15,"")</f>
        <v/>
      </c>
    </row>
    <row r="1839" hidden="1" s="27">
      <c r="A1839" s="47" t="inlineStr">
        <is>
          <t>찬스모바일</t>
        </is>
      </c>
      <c r="B1839" s="47" t="inlineStr">
        <is>
          <t>5G 음성기본 80GB+</t>
        </is>
      </c>
      <c r="C1839" s="47" t="inlineStr">
        <is>
          <t>무제한</t>
        </is>
      </c>
      <c r="D1839" s="47" t="inlineStr">
        <is>
          <t>무제한</t>
        </is>
      </c>
      <c r="E1839" s="47" t="inlineStr">
        <is>
          <t>월 80GB + 1Mbps</t>
        </is>
      </c>
      <c r="F1839" s="47" t="inlineStr">
        <is>
          <t>LG U+</t>
        </is>
      </c>
      <c r="G1839" s="47" t="inlineStr">
        <is>
          <t>5G</t>
        </is>
      </c>
      <c r="H1839" s="48" t="n">
        <v>30830</v>
      </c>
      <c r="I1839" s="48" t="n">
        <v>7</v>
      </c>
      <c r="J1839" s="48" t="n">
        <v>45100</v>
      </c>
      <c r="K1839" s="47">
        <f t="array" ref="K1839">_xlfn.XLOOKUP(1,(참조!$B$2:$B$15=E1839)*(참조!$D$2:$D$15=C1839)*(참조!$E$2:$E$15=D1839),참조!$C$2:$C$15,"")</f>
        <v/>
      </c>
    </row>
    <row r="1840" hidden="1" s="27">
      <c r="A1840" s="47" t="inlineStr">
        <is>
          <t>티플러스</t>
        </is>
      </c>
      <c r="B1840" s="47" t="inlineStr">
        <is>
          <t>5G 통화안심 25GB</t>
        </is>
      </c>
      <c r="C1840" s="47" t="inlineStr">
        <is>
          <t>무제한</t>
        </is>
      </c>
      <c r="D1840" s="47" t="inlineStr">
        <is>
          <t>100건</t>
        </is>
      </c>
      <c r="E1840" s="47" t="inlineStr">
        <is>
          <t>월 25GB</t>
        </is>
      </c>
      <c r="F1840" s="47" t="inlineStr">
        <is>
          <t>SKT</t>
        </is>
      </c>
      <c r="G1840" s="47" t="inlineStr">
        <is>
          <t>5G</t>
        </is>
      </c>
      <c r="H1840" s="48" t="n">
        <v>18900</v>
      </c>
      <c r="I1840" s="48" t="n">
        <v>4</v>
      </c>
      <c r="J1840" s="48" t="n">
        <v>34100</v>
      </c>
      <c r="K1840" s="47">
        <f t="array" ref="K1840">_xlfn.XLOOKUP(1,(참조!$B$2:$B$15=E1840)*(참조!$D$2:$D$15=C1840)*(참조!$E$2:$E$15=D1840),참조!$C$2:$C$15,"")</f>
        <v/>
      </c>
    </row>
    <row r="1841" hidden="1" s="27">
      <c r="A1841" s="47" t="inlineStr">
        <is>
          <t>이지모바일</t>
        </is>
      </c>
      <c r="B1841" s="47" t="inlineStr">
        <is>
          <t>EG-5G 24플러스 80G+</t>
        </is>
      </c>
      <c r="C1841" s="47" t="inlineStr">
        <is>
          <t>무제한</t>
        </is>
      </c>
      <c r="D1841" s="47" t="inlineStr">
        <is>
          <t>무제한</t>
        </is>
      </c>
      <c r="E1841" s="47" t="inlineStr">
        <is>
          <t>월 80GB + 1Mbps</t>
        </is>
      </c>
      <c r="F1841" s="47" t="inlineStr">
        <is>
          <t>LG U+</t>
        </is>
      </c>
      <c r="G1841" s="47" t="inlineStr">
        <is>
          <t>5G</t>
        </is>
      </c>
      <c r="H1841" s="48" t="n">
        <v>29150</v>
      </c>
      <c r="I1841" s="48" t="n">
        <v>7</v>
      </c>
      <c r="J1841" s="48" t="n">
        <v>49500</v>
      </c>
      <c r="K1841" s="47">
        <f t="array" ref="K1841">_xlfn.XLOOKUP(1,(참조!$B$2:$B$15=E1841)*(참조!$D$2:$D$15=C1841)*(참조!$E$2:$E$15=D1841),참조!$C$2:$C$15,"")</f>
        <v/>
      </c>
    </row>
    <row r="1842" hidden="1" s="27">
      <c r="A1842" s="47" t="inlineStr">
        <is>
          <t>모빙</t>
        </is>
      </c>
      <c r="B1842" s="47" t="inlineStr">
        <is>
          <t>5G 200GB+ 지니뮤직</t>
        </is>
      </c>
      <c r="C1842" s="47" t="inlineStr">
        <is>
          <t>무제한</t>
        </is>
      </c>
      <c r="D1842" s="47" t="inlineStr">
        <is>
          <t>무제한</t>
        </is>
      </c>
      <c r="E1842" s="47" t="inlineStr">
        <is>
          <t>월 200GB + 10Mbps</t>
        </is>
      </c>
      <c r="F1842" s="47" t="inlineStr">
        <is>
          <t>KT</t>
        </is>
      </c>
      <c r="G1842" s="47" t="inlineStr">
        <is>
          <t>5G</t>
        </is>
      </c>
      <c r="H1842" s="48" t="n">
        <v>44000</v>
      </c>
      <c r="I1842" s="48" t="n">
        <v>12</v>
      </c>
      <c r="J1842" s="48" t="n">
        <v>73700</v>
      </c>
      <c r="K1842" s="47">
        <f t="array" ref="K1842">_xlfn.XLOOKUP(1,(참조!$B$2:$B$15=E1842)*(참조!$D$2:$D$15=C1842)*(참조!$E$2:$E$15=D1842),참조!$C$2:$C$15,"")</f>
        <v/>
      </c>
    </row>
    <row r="1843" hidden="1" s="27">
      <c r="A1843" s="47" t="inlineStr">
        <is>
          <t>리브모바일</t>
        </is>
      </c>
      <c r="B1843" s="47" t="inlineStr">
        <is>
          <t>ESG LTE 3GB+(100분)</t>
        </is>
      </c>
      <c r="C1843" s="47" t="inlineStr">
        <is>
          <t>100분</t>
        </is>
      </c>
      <c r="D1843" s="47" t="inlineStr">
        <is>
          <t>100건</t>
        </is>
      </c>
      <c r="E1843" s="47" t="inlineStr">
        <is>
          <t>월 3GB + 1Mbps</t>
        </is>
      </c>
      <c r="F1843" s="47" t="inlineStr">
        <is>
          <t>LG U+</t>
        </is>
      </c>
      <c r="G1843" s="47" t="inlineStr">
        <is>
          <t>LTE</t>
        </is>
      </c>
      <c r="H1843" s="48" t="n">
        <v>7600</v>
      </c>
      <c r="I1843" s="48" t="n">
        <v>12</v>
      </c>
      <c r="J1843" s="48" t="n">
        <v>10900</v>
      </c>
      <c r="K1843" s="47">
        <f t="array" ref="K1843">_xlfn.XLOOKUP(1,(참조!$B$2:$B$15=E1843)*(참조!$D$2:$D$15=C1843)*(참조!$E$2:$E$15=D1843),참조!$C$2:$C$15,"")</f>
        <v/>
      </c>
    </row>
    <row r="1844" hidden="1" s="27">
      <c r="A1844" s="47" t="inlineStr">
        <is>
          <t>모빙</t>
        </is>
      </c>
      <c r="B1844" s="47" t="inlineStr">
        <is>
          <t>모두다 막힘없이 일5GB+ 왓챠</t>
        </is>
      </c>
      <c r="C1844" s="47" t="inlineStr">
        <is>
          <t>무제한</t>
        </is>
      </c>
      <c r="D1844" s="47" t="inlineStr">
        <is>
          <t>무제한</t>
        </is>
      </c>
      <c r="E1844" s="47" t="inlineStr">
        <is>
          <t>매일 5GB + 5Mbps</t>
        </is>
      </c>
      <c r="F1844" s="47" t="inlineStr">
        <is>
          <t>KT</t>
        </is>
      </c>
      <c r="G1844" s="47" t="inlineStr">
        <is>
          <t>LTE</t>
        </is>
      </c>
      <c r="H1844" s="48" t="n">
        <v>27500</v>
      </c>
      <c r="I1844" s="48" t="n">
        <v>7</v>
      </c>
      <c r="J1844" s="48" t="n">
        <v>58300</v>
      </c>
      <c r="K1844" s="47">
        <f t="array" ref="K1844">_xlfn.XLOOKUP(1,(참조!$B$2:$B$15=E1844)*(참조!$D$2:$D$15=C1844)*(참조!$E$2:$E$15=D1844),참조!$C$2:$C$15,"")</f>
        <v/>
      </c>
    </row>
    <row r="1845" hidden="1" s="27">
      <c r="A1845" s="47" t="inlineStr">
        <is>
          <t>티플러스</t>
        </is>
      </c>
      <c r="B1845" s="47" t="inlineStr">
        <is>
          <t>5G 통화안심 6GB</t>
        </is>
      </c>
      <c r="C1845" s="47" t="inlineStr">
        <is>
          <t>무제한</t>
        </is>
      </c>
      <c r="D1845" s="47" t="inlineStr">
        <is>
          <t>100건</t>
        </is>
      </c>
      <c r="E1845" s="47" t="inlineStr">
        <is>
          <t>월 6GB</t>
        </is>
      </c>
      <c r="F1845" s="47" t="inlineStr">
        <is>
          <t>SKT</t>
        </is>
      </c>
      <c r="G1845" s="47" t="inlineStr">
        <is>
          <t>5G</t>
        </is>
      </c>
      <c r="H1845" s="48" t="n">
        <v>4900</v>
      </c>
      <c r="I1845" s="48" t="n">
        <v>4</v>
      </c>
      <c r="J1845" s="48" t="n">
        <v>14300</v>
      </c>
      <c r="K1845" s="47">
        <f t="array" ref="K1845">_xlfn.XLOOKUP(1,(참조!$B$2:$B$15=E1845)*(참조!$D$2:$D$15=C1845)*(참조!$E$2:$E$15=D1845),참조!$C$2:$C$15,"")</f>
        <v/>
      </c>
    </row>
    <row r="1846" hidden="1" s="27">
      <c r="A1846" s="47" t="inlineStr">
        <is>
          <t>모빙</t>
        </is>
      </c>
      <c r="B1846" s="47" t="inlineStr">
        <is>
          <t>[L] 데이터 10GB+</t>
        </is>
      </c>
      <c r="C1846" s="47" t="inlineStr">
        <is>
          <t>무제한</t>
        </is>
      </c>
      <c r="D1846" s="47" t="inlineStr">
        <is>
          <t>무제한</t>
        </is>
      </c>
      <c r="E1846" s="47" t="inlineStr">
        <is>
          <t>월 10GB + 1Mbps</t>
        </is>
      </c>
      <c r="F1846" s="47" t="inlineStr">
        <is>
          <t>LG U+</t>
        </is>
      </c>
      <c r="G1846" s="47" t="inlineStr">
        <is>
          <t>LTE</t>
        </is>
      </c>
      <c r="H1846" s="48" t="n">
        <v>9900</v>
      </c>
      <c r="I1846" s="48" t="n">
        <v>7</v>
      </c>
      <c r="J1846" s="48" t="n">
        <v>30800</v>
      </c>
      <c r="K1846" s="47">
        <f t="array" ref="K1846">_xlfn.XLOOKUP(1,(참조!$B$2:$B$15=E1846)*(참조!$D$2:$D$15=C1846)*(참조!$E$2:$E$15=D1846),참조!$C$2:$C$15,"")</f>
        <v/>
      </c>
    </row>
    <row r="1847" hidden="1" s="27">
      <c r="A1847" s="47" t="inlineStr">
        <is>
          <t>아이즈모바일</t>
        </is>
      </c>
      <c r="B1847" s="47" t="inlineStr">
        <is>
          <t>[S]아이즈특판7GB+1Mbps</t>
        </is>
      </c>
      <c r="C1847" s="47" t="inlineStr">
        <is>
          <t>무제한</t>
        </is>
      </c>
      <c r="D1847" s="47" t="inlineStr">
        <is>
          <t>무제한</t>
        </is>
      </c>
      <c r="E1847" s="47" t="inlineStr">
        <is>
          <t>월 7GB + 1Mbps</t>
        </is>
      </c>
      <c r="F1847" s="47" t="inlineStr">
        <is>
          <t>SKT</t>
        </is>
      </c>
      <c r="G1847" s="47" t="inlineStr">
        <is>
          <t>LTE</t>
        </is>
      </c>
      <c r="H1847" s="48" t="n">
        <v>10000</v>
      </c>
      <c r="I1847" s="48" t="n">
        <v>7</v>
      </c>
      <c r="J1847" s="48" t="n">
        <v>18900</v>
      </c>
      <c r="K1847" s="47">
        <f t="array" ref="K1847">_xlfn.XLOOKUP(1,(참조!$B$2:$B$15=E1847)*(참조!$D$2:$D$15=C1847)*(참조!$E$2:$E$15=D1847),참조!$C$2:$C$15,"")</f>
        <v/>
      </c>
    </row>
    <row r="1848" hidden="1" s="27">
      <c r="A1848" s="47" t="inlineStr">
        <is>
          <t>모빙</t>
        </is>
      </c>
      <c r="B1848" s="47" t="inlineStr">
        <is>
          <t>[S] 컬쳐랜드 10GB+</t>
        </is>
      </c>
      <c r="C1848" s="47" t="inlineStr">
        <is>
          <t>무제한</t>
        </is>
      </c>
      <c r="D1848" s="47" t="inlineStr">
        <is>
          <t>무제한</t>
        </is>
      </c>
      <c r="E1848" s="47" t="inlineStr">
        <is>
          <t>월 10GB + 1Mbps</t>
        </is>
      </c>
      <c r="F1848" s="47" t="inlineStr">
        <is>
          <t>SKT</t>
        </is>
      </c>
      <c r="G1848" s="47" t="inlineStr">
        <is>
          <t>LTE</t>
        </is>
      </c>
      <c r="H1848" s="48" t="n">
        <v>11000</v>
      </c>
      <c r="I1848" s="48" t="n">
        <v>7</v>
      </c>
      <c r="J1848" s="48" t="n">
        <v>47300</v>
      </c>
      <c r="K1848" s="47">
        <f t="array" ref="K1848">_xlfn.XLOOKUP(1,(참조!$B$2:$B$15=E1848)*(참조!$D$2:$D$15=C1848)*(참조!$E$2:$E$15=D1848),참조!$C$2:$C$15,"")</f>
        <v/>
      </c>
    </row>
    <row r="1849" hidden="1" s="27">
      <c r="A1849" s="47" t="inlineStr">
        <is>
          <t>모빙</t>
        </is>
      </c>
      <c r="B1849" s="47" t="inlineStr">
        <is>
          <t>[K] CU편의점 10GB+</t>
        </is>
      </c>
      <c r="C1849" s="47" t="inlineStr">
        <is>
          <t>무제한</t>
        </is>
      </c>
      <c r="D1849" s="47" t="inlineStr">
        <is>
          <t>무제한</t>
        </is>
      </c>
      <c r="E1849" s="47" t="inlineStr">
        <is>
          <t>월 10GB + 1Mbps</t>
        </is>
      </c>
      <c r="F1849" s="47" t="inlineStr">
        <is>
          <t>KT</t>
        </is>
      </c>
      <c r="G1849" s="47" t="inlineStr">
        <is>
          <t>LTE</t>
        </is>
      </c>
      <c r="H1849" s="48" t="n">
        <v>11000</v>
      </c>
      <c r="I1849" s="48" t="n">
        <v>7</v>
      </c>
      <c r="J1849" s="48" t="n">
        <v>29700</v>
      </c>
      <c r="K1849" s="47">
        <f t="array" ref="K1849">_xlfn.XLOOKUP(1,(참조!$B$2:$B$15=E1849)*(참조!$D$2:$D$15=C1849)*(참조!$E$2:$E$15=D1849),참조!$C$2:$C$15,"")</f>
        <v/>
      </c>
    </row>
    <row r="1850" hidden="1" s="27">
      <c r="A1850" s="47" t="inlineStr">
        <is>
          <t>이야기모바일</t>
        </is>
      </c>
      <c r="B1850" s="47" t="inlineStr">
        <is>
          <t>5G 이야기 무한 74GB</t>
        </is>
      </c>
      <c r="C1850" s="47" t="inlineStr">
        <is>
          <t>무제한</t>
        </is>
      </c>
      <c r="D1850" s="47" t="inlineStr">
        <is>
          <t>무제한</t>
        </is>
      </c>
      <c r="E1850" s="47" t="inlineStr">
        <is>
          <t>월 74GB + 1Mbps</t>
        </is>
      </c>
      <c r="F1850" s="47" t="inlineStr">
        <is>
          <t>SKT</t>
        </is>
      </c>
      <c r="G1850" s="47" t="inlineStr">
        <is>
          <t>5G</t>
        </is>
      </c>
      <c r="H1850" s="48" t="n">
        <v>40700</v>
      </c>
      <c r="I1850" s="48" t="n">
        <v>7</v>
      </c>
      <c r="J1850" s="48" t="n">
        <v>46200</v>
      </c>
      <c r="K1850" s="47">
        <f t="array" ref="K1850">_xlfn.XLOOKUP(1,(참조!$B$2:$B$15=E1850)*(참조!$D$2:$D$15=C1850)*(참조!$E$2:$E$15=D1850),참조!$C$2:$C$15,"")</f>
        <v/>
      </c>
    </row>
    <row r="1851" hidden="1" s="27">
      <c r="A1851" s="47" t="inlineStr">
        <is>
          <t>모빙</t>
        </is>
      </c>
      <c r="B1851" s="47" t="inlineStr">
        <is>
          <t>[K] 다이소 10GB+</t>
        </is>
      </c>
      <c r="C1851" s="47" t="inlineStr">
        <is>
          <t>무제한</t>
        </is>
      </c>
      <c r="D1851" s="47" t="inlineStr">
        <is>
          <t>무제한</t>
        </is>
      </c>
      <c r="E1851" s="47" t="inlineStr">
        <is>
          <t>월 10GB + 1Mbps</t>
        </is>
      </c>
      <c r="F1851" s="47" t="inlineStr">
        <is>
          <t>KT</t>
        </is>
      </c>
      <c r="G1851" s="47" t="inlineStr">
        <is>
          <t>LTE</t>
        </is>
      </c>
      <c r="H1851" s="48" t="n">
        <v>11000</v>
      </c>
      <c r="I1851" s="48" t="n">
        <v>7</v>
      </c>
      <c r="J1851" s="48" t="n">
        <v>30800</v>
      </c>
      <c r="K1851" s="47">
        <f t="array" ref="K1851">_xlfn.XLOOKUP(1,(참조!$B$2:$B$15=E1851)*(참조!$D$2:$D$15=C1851)*(참조!$E$2:$E$15=D1851),참조!$C$2:$C$15,"")</f>
        <v/>
      </c>
    </row>
    <row r="1852" hidden="1" s="27">
      <c r="A1852" s="47" t="inlineStr">
        <is>
          <t>모빙</t>
        </is>
      </c>
      <c r="B1852" s="47" t="inlineStr">
        <is>
          <t>[K] 밀리의서재 10GB+</t>
        </is>
      </c>
      <c r="C1852" s="47" t="inlineStr">
        <is>
          <t>무제한</t>
        </is>
      </c>
      <c r="D1852" s="47" t="inlineStr">
        <is>
          <t>무제한</t>
        </is>
      </c>
      <c r="E1852" s="47" t="inlineStr">
        <is>
          <t>월 10GB + 1Mbps</t>
        </is>
      </c>
      <c r="F1852" s="47" t="inlineStr">
        <is>
          <t>KT</t>
        </is>
      </c>
      <c r="G1852" s="47" t="inlineStr">
        <is>
          <t>LTE</t>
        </is>
      </c>
      <c r="H1852" s="48" t="n">
        <v>11000</v>
      </c>
      <c r="I1852" s="48" t="n">
        <v>7</v>
      </c>
      <c r="J1852" s="48" t="n">
        <v>28600</v>
      </c>
      <c r="K1852" s="47">
        <f t="array" ref="K1852">_xlfn.XLOOKUP(1,(참조!$B$2:$B$15=E1852)*(참조!$D$2:$D$15=C1852)*(참조!$E$2:$E$15=D1852),참조!$C$2:$C$15,"")</f>
        <v/>
      </c>
    </row>
    <row r="1853" hidden="1" s="27">
      <c r="A1853" s="47" t="inlineStr">
        <is>
          <t>아이즈모바일</t>
        </is>
      </c>
      <c r="B1853" s="47" t="inlineStr">
        <is>
          <t>[K]다이소 100분/15GB+</t>
        </is>
      </c>
      <c r="C1853" s="47" t="inlineStr">
        <is>
          <t>100분</t>
        </is>
      </c>
      <c r="D1853" s="47" t="inlineStr">
        <is>
          <t>100건</t>
        </is>
      </c>
      <c r="E1853" s="47" t="inlineStr">
        <is>
          <t>월 15GB + 3Mbps</t>
        </is>
      </c>
      <c r="F1853" s="47" t="inlineStr">
        <is>
          <t>KT</t>
        </is>
      </c>
      <c r="G1853" s="47" t="inlineStr">
        <is>
          <t>LTE</t>
        </is>
      </c>
      <c r="H1853" s="48" t="n">
        <v>37400</v>
      </c>
      <c r="I1853" s="48" t="n"/>
      <c r="J1853" s="48" t="n"/>
      <c r="K1853" s="47">
        <f t="array" ref="K1853">_xlfn.XLOOKUP(1,(참조!$B$2:$B$15=E1853)*(참조!$D$2:$D$15=C1853)*(참조!$E$2:$E$15=D1853),참조!$C$2:$C$15,"")</f>
        <v/>
      </c>
    </row>
    <row r="1854" hidden="1" s="27">
      <c r="A1854" s="47" t="inlineStr">
        <is>
          <t>아이즈모바일</t>
        </is>
      </c>
      <c r="B1854" s="47" t="inlineStr">
        <is>
          <t>[K]올리브영 100분/15GB+</t>
        </is>
      </c>
      <c r="C1854" s="47" t="inlineStr">
        <is>
          <t>100분</t>
        </is>
      </c>
      <c r="D1854" s="47" t="inlineStr">
        <is>
          <t>100건</t>
        </is>
      </c>
      <c r="E1854" s="47" t="inlineStr">
        <is>
          <t>월 15GB + 3Mbps</t>
        </is>
      </c>
      <c r="F1854" s="47" t="inlineStr">
        <is>
          <t>KT</t>
        </is>
      </c>
      <c r="G1854" s="47" t="inlineStr">
        <is>
          <t>LTE</t>
        </is>
      </c>
      <c r="H1854" s="48" t="n">
        <v>37400</v>
      </c>
      <c r="I1854" s="48" t="n"/>
      <c r="J1854" s="48" t="n"/>
      <c r="K1854" s="47">
        <f t="array" ref="K1854">_xlfn.XLOOKUP(1,(참조!$B$2:$B$15=E1854)*(참조!$D$2:$D$15=C1854)*(참조!$E$2:$E$15=D1854),참조!$C$2:$C$15,"")</f>
        <v/>
      </c>
    </row>
    <row r="1855" hidden="1" s="27">
      <c r="A1855" s="47" t="inlineStr">
        <is>
          <t>KG모바일</t>
        </is>
      </c>
      <c r="B1855" s="47" t="inlineStr">
        <is>
          <t>[모빌카드 스페셜] 유심 5G 12GB+</t>
        </is>
      </c>
      <c r="C1855" s="47" t="inlineStr">
        <is>
          <t>무제한</t>
        </is>
      </c>
      <c r="D1855" s="47" t="inlineStr">
        <is>
          <t>무제한</t>
        </is>
      </c>
      <c r="E1855" s="47" t="inlineStr">
        <is>
          <t>월 12GB + 1Mbps</t>
        </is>
      </c>
      <c r="F1855" s="47" t="inlineStr">
        <is>
          <t>LG U+</t>
        </is>
      </c>
      <c r="G1855" s="47" t="inlineStr">
        <is>
          <t>5G</t>
        </is>
      </c>
      <c r="H1855" s="48" t="n">
        <v>22550</v>
      </c>
      <c r="I1855" s="48" t="n">
        <v>7</v>
      </c>
      <c r="J1855" s="48" t="n">
        <v>41800</v>
      </c>
      <c r="K1855" s="47">
        <f t="array" ref="K1855">_xlfn.XLOOKUP(1,(참조!$B$2:$B$15=E1855)*(참조!$D$2:$D$15=C1855)*(참조!$E$2:$E$15=D1855),참조!$C$2:$C$15,"")</f>
        <v/>
      </c>
    </row>
    <row r="1856" hidden="1" s="27">
      <c r="A1856" s="47" t="inlineStr">
        <is>
          <t>이야기모바일</t>
        </is>
      </c>
      <c r="B1856" s="47" t="inlineStr">
        <is>
          <t>5G 이야기 무한 15GB</t>
        </is>
      </c>
      <c r="C1856" s="47" t="inlineStr">
        <is>
          <t>무제한</t>
        </is>
      </c>
      <c r="D1856" s="47" t="inlineStr">
        <is>
          <t>무제한</t>
        </is>
      </c>
      <c r="E1856" s="47" t="inlineStr">
        <is>
          <t>월 15GB + 1Mbps</t>
        </is>
      </c>
      <c r="F1856" s="47" t="inlineStr">
        <is>
          <t>SKT</t>
        </is>
      </c>
      <c r="G1856" s="47" t="inlineStr">
        <is>
          <t>5G</t>
        </is>
      </c>
      <c r="H1856" s="48" t="n">
        <v>34500</v>
      </c>
      <c r="I1856" s="48" t="n">
        <v>7</v>
      </c>
      <c r="J1856" s="48" t="n">
        <v>36300</v>
      </c>
      <c r="K1856" s="47">
        <f t="array" ref="K1856">_xlfn.XLOOKUP(1,(참조!$B$2:$B$15=E1856)*(참조!$D$2:$D$15=C1856)*(참조!$E$2:$E$15=D1856),참조!$C$2:$C$15,"")</f>
        <v/>
      </c>
    </row>
    <row r="1857" hidden="1" s="27">
      <c r="A1857" s="47" t="inlineStr">
        <is>
          <t>KT스카이라이프</t>
        </is>
      </c>
      <c r="B1857" s="47" t="inlineStr">
        <is>
          <t>5G 모두 충분 14GB+</t>
        </is>
      </c>
      <c r="C1857" s="47" t="inlineStr">
        <is>
          <t>무제한</t>
        </is>
      </c>
      <c r="D1857" s="47" t="inlineStr">
        <is>
          <t>무제한</t>
        </is>
      </c>
      <c r="E1857" s="47" t="inlineStr">
        <is>
          <t>월 14GB + 1Mbps</t>
        </is>
      </c>
      <c r="F1857" s="47" t="inlineStr">
        <is>
          <t>KT</t>
        </is>
      </c>
      <c r="G1857" s="47" t="inlineStr">
        <is>
          <t>5G</t>
        </is>
      </c>
      <c r="H1857" s="48" t="n">
        <v>33100</v>
      </c>
      <c r="I1857" s="48" t="n"/>
      <c r="J1857" s="48" t="n"/>
      <c r="K1857" s="47">
        <f t="array" ref="K1857">_xlfn.XLOOKUP(1,(참조!$B$2:$B$15=E1857)*(참조!$D$2:$D$15=C1857)*(참조!$E$2:$E$15=D1857),참조!$C$2:$C$15,"")</f>
        <v/>
      </c>
    </row>
    <row r="1858" hidden="1" s="27">
      <c r="A1858" s="47" t="inlineStr">
        <is>
          <t>이야기모바일</t>
        </is>
      </c>
      <c r="B1858" s="47" t="inlineStr">
        <is>
          <t>5G 함께이야기해S (500분+50GB)</t>
        </is>
      </c>
      <c r="C1858" s="47" t="inlineStr">
        <is>
          <t>500분</t>
        </is>
      </c>
      <c r="D1858" s="47" t="inlineStr">
        <is>
          <t>200건</t>
        </is>
      </c>
      <c r="E1858" s="47" t="inlineStr">
        <is>
          <t>월 50GB</t>
        </is>
      </c>
      <c r="F1858" s="47" t="inlineStr">
        <is>
          <t>SKT</t>
        </is>
      </c>
      <c r="G1858" s="47" t="inlineStr">
        <is>
          <t>5G</t>
        </is>
      </c>
      <c r="H1858" s="48" t="n">
        <v>37400</v>
      </c>
      <c r="I1858" s="48" t="n">
        <v>12</v>
      </c>
      <c r="J1858" s="48" t="n">
        <v>49500</v>
      </c>
      <c r="K1858" s="47">
        <f t="array" ref="K1858">_xlfn.XLOOKUP(1,(참조!$B$2:$B$15=E1858)*(참조!$D$2:$D$15=C1858)*(참조!$E$2:$E$15=D1858),참조!$C$2:$C$15,"")</f>
        <v/>
      </c>
    </row>
    <row r="1859" hidden="1" s="27">
      <c r="A1859" s="47" t="inlineStr">
        <is>
          <t>위너스텔</t>
        </is>
      </c>
      <c r="B1859" s="47" t="inlineStr">
        <is>
          <t>WELL200분+5GB</t>
        </is>
      </c>
      <c r="C1859" s="47" t="inlineStr">
        <is>
          <t>200분</t>
        </is>
      </c>
      <c r="D1859" s="47" t="inlineStr">
        <is>
          <t>50건</t>
        </is>
      </c>
      <c r="E1859" s="47" t="inlineStr">
        <is>
          <t>월 5GB</t>
        </is>
      </c>
      <c r="F1859" s="47" t="inlineStr">
        <is>
          <t>KT</t>
        </is>
      </c>
      <c r="G1859" s="47" t="inlineStr">
        <is>
          <t>LTE</t>
        </is>
      </c>
      <c r="H1859" s="48" t="n">
        <v>11000</v>
      </c>
      <c r="I1859" s="48" t="n"/>
      <c r="J1859" s="48" t="n"/>
      <c r="K1859" s="47">
        <f t="array" ref="K1859">_xlfn.XLOOKUP(1,(참조!$B$2:$B$15=E1859)*(참조!$D$2:$D$15=C1859)*(참조!$E$2:$E$15=D1859),참조!$C$2:$C$15,"")</f>
        <v/>
      </c>
    </row>
    <row r="1860" hidden="1" s="27">
      <c r="A1860" s="47" t="inlineStr">
        <is>
          <t>모빙</t>
        </is>
      </c>
      <c r="B1860" s="47" t="inlineStr">
        <is>
          <t>[S] 데이터 100GB+_Y</t>
        </is>
      </c>
      <c r="C1860" s="47" t="inlineStr">
        <is>
          <t>무제한</t>
        </is>
      </c>
      <c r="D1860" s="47" t="inlineStr">
        <is>
          <t>무제한</t>
        </is>
      </c>
      <c r="E1860" s="47" t="inlineStr">
        <is>
          <t>월 100GB + 5Mbps</t>
        </is>
      </c>
      <c r="F1860" s="47" t="inlineStr">
        <is>
          <t>SKT</t>
        </is>
      </c>
      <c r="G1860" s="47" t="inlineStr">
        <is>
          <t>LTE</t>
        </is>
      </c>
      <c r="H1860" s="48" t="n">
        <v>29600</v>
      </c>
      <c r="I1860" s="48" t="n">
        <v>7</v>
      </c>
      <c r="J1860" s="48" t="n">
        <v>61600</v>
      </c>
      <c r="K1860" s="47">
        <f t="array" ref="K1860">_xlfn.XLOOKUP(1,(참조!$B$2:$B$15=E1860)*(참조!$D$2:$D$15=C1860)*(참조!$E$2:$E$15=D1860),참조!$C$2:$C$15,"")</f>
        <v/>
      </c>
    </row>
    <row r="1861" hidden="1" s="27">
      <c r="A1861" s="47" t="inlineStr">
        <is>
          <t>찬스모바일</t>
        </is>
      </c>
      <c r="B1861" s="47" t="inlineStr">
        <is>
          <t>5G 음성기본 12GB+1Mbps</t>
        </is>
      </c>
      <c r="C1861" s="47" t="inlineStr">
        <is>
          <t>무제한</t>
        </is>
      </c>
      <c r="D1861" s="47" t="inlineStr">
        <is>
          <t>무제한</t>
        </is>
      </c>
      <c r="E1861" s="47" t="inlineStr">
        <is>
          <t>월 12GB + 1Mbps</t>
        </is>
      </c>
      <c r="F1861" s="47" t="inlineStr">
        <is>
          <t>LG U+</t>
        </is>
      </c>
      <c r="G1861" s="47" t="inlineStr">
        <is>
          <t>5G</t>
        </is>
      </c>
      <c r="H1861" s="48" t="n">
        <v>20000</v>
      </c>
      <c r="I1861" s="48" t="n">
        <v>7</v>
      </c>
      <c r="J1861" s="48" t="n">
        <v>42301</v>
      </c>
      <c r="K1861" s="47">
        <f t="array" ref="K1861">_xlfn.XLOOKUP(1,(참조!$B$2:$B$15=E1861)*(참조!$D$2:$D$15=C1861)*(참조!$E$2:$E$15=D1861),참조!$C$2:$C$15,"")</f>
        <v/>
      </c>
    </row>
    <row r="1862" hidden="1" s="27">
      <c r="A1862" s="47" t="inlineStr">
        <is>
          <t>찬스모바일</t>
        </is>
      </c>
      <c r="B1862" s="47" t="inlineStr">
        <is>
          <t>5G 음성기본 9GB+1Mbps</t>
        </is>
      </c>
      <c r="C1862" s="47" t="inlineStr">
        <is>
          <t>무제한</t>
        </is>
      </c>
      <c r="D1862" s="47" t="inlineStr">
        <is>
          <t>무제한</t>
        </is>
      </c>
      <c r="E1862" s="47" t="inlineStr">
        <is>
          <t>월 9GB + 1Mbps</t>
        </is>
      </c>
      <c r="F1862" s="47" t="inlineStr">
        <is>
          <t>LG U+</t>
        </is>
      </c>
      <c r="G1862" s="47" t="inlineStr">
        <is>
          <t>5G</t>
        </is>
      </c>
      <c r="H1862" s="48" t="n">
        <v>20000</v>
      </c>
      <c r="I1862" s="48" t="n">
        <v>7</v>
      </c>
      <c r="J1862" s="48" t="n">
        <v>38500</v>
      </c>
      <c r="K1862" s="47">
        <f t="array" ref="K1862">_xlfn.XLOOKUP(1,(참조!$B$2:$B$15=E1862)*(참조!$D$2:$D$15=C1862)*(참조!$E$2:$E$15=D1862),참조!$C$2:$C$15,"")</f>
        <v/>
      </c>
    </row>
    <row r="1863" hidden="1" s="27">
      <c r="A1863" s="47" t="inlineStr">
        <is>
          <t>에이모바일</t>
        </is>
      </c>
      <c r="B1863" s="47" t="inlineStr">
        <is>
          <t>A 갓성비 6GB/200분 9</t>
        </is>
      </c>
      <c r="C1863" s="47" t="inlineStr">
        <is>
          <t>200분</t>
        </is>
      </c>
      <c r="D1863" s="47" t="inlineStr">
        <is>
          <t>100건</t>
        </is>
      </c>
      <c r="E1863" s="47" t="inlineStr">
        <is>
          <t>월 6GB</t>
        </is>
      </c>
      <c r="F1863" s="47" t="inlineStr">
        <is>
          <t>LG U+</t>
        </is>
      </c>
      <c r="G1863" s="47" t="inlineStr">
        <is>
          <t>LTE</t>
        </is>
      </c>
      <c r="H1863" s="48" t="n">
        <v>1100</v>
      </c>
      <c r="I1863" s="48" t="n">
        <v>9</v>
      </c>
      <c r="J1863" s="48" t="n">
        <v>9900</v>
      </c>
      <c r="K1863" s="47">
        <f t="array" ref="K1863">_xlfn.XLOOKUP(1,(참조!$B$2:$B$15=E1863)*(참조!$D$2:$D$15=C1863)*(참조!$E$2:$E$15=D1863),참조!$C$2:$C$15,"")</f>
        <v/>
      </c>
    </row>
    <row r="1864" hidden="1" s="27">
      <c r="A1864" s="47" t="inlineStr">
        <is>
          <t>에이모바일</t>
        </is>
      </c>
      <c r="B1864" s="47" t="inlineStr">
        <is>
          <t>A 올라잇 15GB+/100분 네이버페이</t>
        </is>
      </c>
      <c r="C1864" s="47" t="inlineStr">
        <is>
          <t>100분</t>
        </is>
      </c>
      <c r="D1864" s="47" t="inlineStr">
        <is>
          <t>100건</t>
        </is>
      </c>
      <c r="E1864" s="47" t="inlineStr">
        <is>
          <t>월 15GB + 3Mbps</t>
        </is>
      </c>
      <c r="F1864" s="47" t="inlineStr">
        <is>
          <t>KT</t>
        </is>
      </c>
      <c r="G1864" s="47" t="inlineStr">
        <is>
          <t>LTE</t>
        </is>
      </c>
      <c r="H1864" s="48" t="n">
        <v>19500</v>
      </c>
      <c r="I1864" s="48" t="n">
        <v>7</v>
      </c>
      <c r="J1864" s="48" t="n">
        <v>38500</v>
      </c>
      <c r="K1864" s="47">
        <f t="array" ref="K1864">_xlfn.XLOOKUP(1,(참조!$B$2:$B$15=E1864)*(참조!$D$2:$D$15=C1864)*(참조!$E$2:$E$15=D1864),참조!$C$2:$C$15,"")</f>
        <v/>
      </c>
    </row>
    <row r="1865" hidden="1" s="27">
      <c r="A1865" s="47" t="inlineStr">
        <is>
          <t>티플러스</t>
        </is>
      </c>
      <c r="B1865" s="47" t="inlineStr">
        <is>
          <t>티플 완전마음껏6G＋</t>
        </is>
      </c>
      <c r="C1865" s="47" t="inlineStr">
        <is>
          <t>무제한</t>
        </is>
      </c>
      <c r="D1865" s="47" t="inlineStr">
        <is>
          <t>무제한</t>
        </is>
      </c>
      <c r="E1865" s="47" t="inlineStr">
        <is>
          <t>월 6GB + 1Mbps</t>
        </is>
      </c>
      <c r="F1865" s="47" t="inlineStr">
        <is>
          <t>LG U+</t>
        </is>
      </c>
      <c r="G1865" s="47" t="inlineStr">
        <is>
          <t>LTE</t>
        </is>
      </c>
      <c r="H1865" s="48" t="n">
        <v>16500</v>
      </c>
      <c r="I1865" s="48" t="n"/>
      <c r="J1865" s="48" t="n"/>
      <c r="K1865" s="47">
        <f t="array" ref="K1865">_xlfn.XLOOKUP(1,(참조!$B$2:$B$15=E1865)*(참조!$D$2:$D$15=C1865)*(참조!$E$2:$E$15=D1865),참조!$C$2:$C$15,"")</f>
        <v/>
      </c>
    </row>
    <row r="1866" hidden="1" s="27">
      <c r="A1866" s="47" t="inlineStr">
        <is>
          <t>아이즈모바일</t>
        </is>
      </c>
      <c r="B1866" s="47" t="inlineStr">
        <is>
          <t>[K]그란데(300분/5GB)</t>
        </is>
      </c>
      <c r="C1866" s="47" t="inlineStr">
        <is>
          <t>300분</t>
        </is>
      </c>
      <c r="D1866" s="47" t="inlineStr">
        <is>
          <t>100건</t>
        </is>
      </c>
      <c r="E1866" s="47" t="inlineStr">
        <is>
          <t>월 5GB</t>
        </is>
      </c>
      <c r="F1866" s="47" t="inlineStr">
        <is>
          <t>KT</t>
        </is>
      </c>
      <c r="G1866" s="47" t="inlineStr">
        <is>
          <t>LTE</t>
        </is>
      </c>
      <c r="H1866" s="48" t="n">
        <v>14900</v>
      </c>
      <c r="I1866" s="48" t="n"/>
      <c r="J1866" s="48" t="n"/>
      <c r="K1866" s="47">
        <f t="array" ref="K1866">_xlfn.XLOOKUP(1,(참조!$B$2:$B$15=E1866)*(참조!$D$2:$D$15=C1866)*(참조!$E$2:$E$15=D1866),참조!$C$2:$C$15,"")</f>
        <v/>
      </c>
    </row>
    <row r="1867" hidden="1" s="27">
      <c r="A1867" s="47" t="inlineStr">
        <is>
          <t>스마텔</t>
        </is>
      </c>
      <c r="B1867" s="47" t="inlineStr">
        <is>
          <t>후후 플러스 (500분+1GB)</t>
        </is>
      </c>
      <c r="C1867" s="47" t="inlineStr">
        <is>
          <t>500분</t>
        </is>
      </c>
      <c r="D1867" s="47" t="inlineStr">
        <is>
          <t>100건</t>
        </is>
      </c>
      <c r="E1867" s="47" t="inlineStr">
        <is>
          <t>월 1GB</t>
        </is>
      </c>
      <c r="F1867" s="47" t="inlineStr">
        <is>
          <t>SKT</t>
        </is>
      </c>
      <c r="G1867" s="47" t="inlineStr">
        <is>
          <t>LTE</t>
        </is>
      </c>
      <c r="H1867" s="48" t="n">
        <v>3300</v>
      </c>
      <c r="I1867" s="48" t="n">
        <v>5</v>
      </c>
      <c r="J1867" s="48" t="n">
        <v>6930</v>
      </c>
      <c r="K1867" s="47">
        <f t="array" ref="K1867">_xlfn.XLOOKUP(1,(참조!$B$2:$B$15=E1867)*(참조!$D$2:$D$15=C1867)*(참조!$E$2:$E$15=D1867),참조!$C$2:$C$15,"")</f>
        <v/>
      </c>
    </row>
    <row r="1868" hidden="1" s="27">
      <c r="A1868" s="47" t="inlineStr">
        <is>
          <t>KG모바일</t>
        </is>
      </c>
      <c r="B1868" s="47" t="inlineStr">
        <is>
          <t>[일반] 유심 5G 12GB+</t>
        </is>
      </c>
      <c r="C1868" s="47" t="inlineStr">
        <is>
          <t>무제한</t>
        </is>
      </c>
      <c r="D1868" s="47" t="inlineStr">
        <is>
          <t>무제한</t>
        </is>
      </c>
      <c r="E1868" s="47" t="inlineStr">
        <is>
          <t>월 12GB + 1Mbps</t>
        </is>
      </c>
      <c r="F1868" s="47" t="inlineStr">
        <is>
          <t>LG U+</t>
        </is>
      </c>
      <c r="G1868" s="47" t="inlineStr">
        <is>
          <t>5G</t>
        </is>
      </c>
      <c r="H1868" s="48" t="n">
        <v>30800</v>
      </c>
      <c r="I1868" s="48" t="n">
        <v>12</v>
      </c>
      <c r="J1868" s="48" t="n">
        <v>41800</v>
      </c>
      <c r="K1868" s="47">
        <f t="array" ref="K1868">_xlfn.XLOOKUP(1,(참조!$B$2:$B$15=E1868)*(참조!$D$2:$D$15=C1868)*(참조!$E$2:$E$15=D1868),참조!$C$2:$C$15,"")</f>
        <v/>
      </c>
    </row>
    <row r="1869" hidden="1" s="27">
      <c r="A1869" s="47" t="inlineStr">
        <is>
          <t>모빙</t>
        </is>
      </c>
      <c r="B1869" s="47" t="inlineStr">
        <is>
          <t>모두다 막힘없이 11GB+ 왓챠</t>
        </is>
      </c>
      <c r="C1869" s="47" t="inlineStr">
        <is>
          <t>무제한</t>
        </is>
      </c>
      <c r="D1869" s="47" t="inlineStr">
        <is>
          <t>무제한</t>
        </is>
      </c>
      <c r="E1869" s="47" t="inlineStr">
        <is>
          <t>월 11GB + 매일 2GB + 3Mbps</t>
        </is>
      </c>
      <c r="F1869" s="47" t="inlineStr">
        <is>
          <t>KT</t>
        </is>
      </c>
      <c r="G1869" s="47" t="inlineStr">
        <is>
          <t>LTE</t>
        </is>
      </c>
      <c r="H1869" s="48" t="n">
        <v>25080</v>
      </c>
      <c r="I1869" s="48" t="n">
        <v>7</v>
      </c>
      <c r="J1869" s="48" t="n">
        <v>49500</v>
      </c>
      <c r="K1869" s="47">
        <f t="array" ref="K1869">_xlfn.XLOOKUP(1,(참조!$B$2:$B$15=E1869)*(참조!$D$2:$D$15=C1869)*(참조!$E$2:$E$15=D1869),참조!$C$2:$C$15,"")</f>
        <v/>
      </c>
    </row>
    <row r="1870" hidden="1" s="27">
      <c r="A1870" s="47" t="inlineStr">
        <is>
          <t>에이모바일</t>
        </is>
      </c>
      <c r="B1870" s="47" t="inlineStr">
        <is>
          <t>A 올라잇 15GB+/300분 네이버페이</t>
        </is>
      </c>
      <c r="C1870" s="47" t="inlineStr">
        <is>
          <t>300분</t>
        </is>
      </c>
      <c r="D1870" s="47" t="inlineStr">
        <is>
          <t>300건</t>
        </is>
      </c>
      <c r="E1870" s="47" t="inlineStr">
        <is>
          <t>월 15GB + 3Mbps</t>
        </is>
      </c>
      <c r="F1870" s="47" t="inlineStr">
        <is>
          <t>KT</t>
        </is>
      </c>
      <c r="G1870" s="47" t="inlineStr">
        <is>
          <t>LTE</t>
        </is>
      </c>
      <c r="H1870" s="48" t="n">
        <v>20500</v>
      </c>
      <c r="I1870" s="48" t="n">
        <v>7</v>
      </c>
      <c r="J1870" s="48" t="n">
        <v>40700</v>
      </c>
      <c r="K1870" s="47">
        <f t="array" ref="K1870">_xlfn.XLOOKUP(1,(참조!$B$2:$B$15=E1870)*(참조!$D$2:$D$15=C1870)*(참조!$E$2:$E$15=D1870),참조!$C$2:$C$15,"")</f>
        <v/>
      </c>
    </row>
    <row r="1871" hidden="1" s="27">
      <c r="A1871" s="47" t="inlineStr">
        <is>
          <t>리브모바일</t>
        </is>
      </c>
      <c r="B1871" s="47" t="inlineStr">
        <is>
          <t>LTE 실속 15GB+(100분)(SKT망)</t>
        </is>
      </c>
      <c r="C1871" s="47" t="inlineStr">
        <is>
          <t>100분</t>
        </is>
      </c>
      <c r="D1871" s="47" t="inlineStr">
        <is>
          <t>100건</t>
        </is>
      </c>
      <c r="E1871" s="47" t="inlineStr">
        <is>
          <t>월 15GB + 3Mbps</t>
        </is>
      </c>
      <c r="F1871" s="47" t="inlineStr">
        <is>
          <t>SKT</t>
        </is>
      </c>
      <c r="G1871" s="47" t="inlineStr">
        <is>
          <t>LTE</t>
        </is>
      </c>
      <c r="H1871" s="48" t="n">
        <v>29700</v>
      </c>
      <c r="I1871" s="48" t="n"/>
      <c r="J1871" s="48" t="n"/>
      <c r="K1871" s="47">
        <f t="array" ref="K1871">_xlfn.XLOOKUP(1,(참조!$B$2:$B$15=E1871)*(참조!$D$2:$D$15=C1871)*(참조!$E$2:$E$15=D1871),참조!$C$2:$C$15,"")</f>
        <v/>
      </c>
    </row>
    <row r="1872" hidden="1" s="27">
      <c r="A1872" s="47" t="inlineStr">
        <is>
          <t>리브모바일</t>
        </is>
      </c>
      <c r="B1872" s="47" t="inlineStr">
        <is>
          <t>LTE 든든 5GB</t>
        </is>
      </c>
      <c r="C1872" s="47" t="inlineStr">
        <is>
          <t>무제한</t>
        </is>
      </c>
      <c r="D1872" s="47" t="inlineStr">
        <is>
          <t>무제한</t>
        </is>
      </c>
      <c r="E1872" s="47" t="inlineStr">
        <is>
          <t>월 5GB</t>
        </is>
      </c>
      <c r="F1872" s="47" t="inlineStr">
        <is>
          <t>LG U+</t>
        </is>
      </c>
      <c r="G1872" s="47" t="inlineStr">
        <is>
          <t>LTE</t>
        </is>
      </c>
      <c r="H1872" s="48" t="n">
        <v>10500</v>
      </c>
      <c r="I1872" s="48" t="n">
        <v>12</v>
      </c>
      <c r="J1872" s="48" t="n">
        <v>14900</v>
      </c>
      <c r="K1872" s="47">
        <f t="array" ref="K1872">_xlfn.XLOOKUP(1,(참조!$B$2:$B$15=E1872)*(참조!$D$2:$D$15=C1872)*(참조!$E$2:$E$15=D1872),참조!$C$2:$C$15,"")</f>
        <v/>
      </c>
    </row>
    <row r="1873" hidden="1" s="27">
      <c r="A1873" s="47" t="inlineStr">
        <is>
          <t>모나</t>
        </is>
      </c>
      <c r="B1873" s="47" t="inlineStr">
        <is>
          <t>5G_모나데이터12G안심1</t>
        </is>
      </c>
      <c r="C1873" s="47" t="inlineStr">
        <is>
          <t>무제한</t>
        </is>
      </c>
      <c r="D1873" s="47" t="inlineStr">
        <is>
          <t>무제한</t>
        </is>
      </c>
      <c r="E1873" s="47" t="inlineStr">
        <is>
          <t>월 12GB + 1Mbps</t>
        </is>
      </c>
      <c r="F1873" s="47" t="inlineStr">
        <is>
          <t>LG U+</t>
        </is>
      </c>
      <c r="G1873" s="47" t="inlineStr">
        <is>
          <t>5G</t>
        </is>
      </c>
      <c r="H1873" s="48" t="n">
        <v>25900</v>
      </c>
      <c r="I1873" s="48" t="n">
        <v>12</v>
      </c>
      <c r="J1873" s="48" t="n">
        <v>47300</v>
      </c>
      <c r="K1873" s="47">
        <f t="array" ref="K1873">_xlfn.XLOOKUP(1,(참조!$B$2:$B$15=E1873)*(참조!$D$2:$D$15=C1873)*(참조!$E$2:$E$15=D1873),참조!$C$2:$C$15,"")</f>
        <v/>
      </c>
    </row>
    <row r="1874" hidden="1" s="27">
      <c r="A1874" s="47" t="inlineStr">
        <is>
          <t>아이즈모바일</t>
        </is>
      </c>
      <c r="B1874" s="47" t="inlineStr">
        <is>
          <t>[K]올리브영 300분/15GB+</t>
        </is>
      </c>
      <c r="C1874" s="47" t="inlineStr">
        <is>
          <t>300분</t>
        </is>
      </c>
      <c r="D1874" s="47" t="inlineStr">
        <is>
          <t>300건</t>
        </is>
      </c>
      <c r="E1874" s="47" t="inlineStr">
        <is>
          <t>월 15GB + 3Mbps</t>
        </is>
      </c>
      <c r="F1874" s="47" t="inlineStr">
        <is>
          <t>KT</t>
        </is>
      </c>
      <c r="G1874" s="47" t="inlineStr">
        <is>
          <t>LTE</t>
        </is>
      </c>
      <c r="H1874" s="48" t="n">
        <v>39600</v>
      </c>
      <c r="I1874" s="48" t="n"/>
      <c r="J1874" s="48" t="n"/>
      <c r="K1874" s="47">
        <f t="array" ref="K1874">_xlfn.XLOOKUP(1,(참조!$B$2:$B$15=E1874)*(참조!$D$2:$D$15=C1874)*(참조!$E$2:$E$15=D1874),참조!$C$2:$C$15,"")</f>
        <v/>
      </c>
    </row>
    <row r="1875" hidden="1" s="27">
      <c r="A1875" s="47" t="inlineStr">
        <is>
          <t>티플러스</t>
        </is>
      </c>
      <c r="B1875" s="47" t="inlineStr">
        <is>
          <t>The 데이터마음껏 3GB＋(200분)</t>
        </is>
      </c>
      <c r="C1875" s="47" t="inlineStr">
        <is>
          <t>200분</t>
        </is>
      </c>
      <c r="D1875" s="47" t="inlineStr">
        <is>
          <t>100건</t>
        </is>
      </c>
      <c r="E1875" s="47" t="inlineStr">
        <is>
          <t>월 3GB + 1Mbps</t>
        </is>
      </c>
      <c r="F1875" s="47" t="inlineStr">
        <is>
          <t>SKT</t>
        </is>
      </c>
      <c r="G1875" s="47" t="inlineStr">
        <is>
          <t>LTE</t>
        </is>
      </c>
      <c r="H1875" s="48" t="n">
        <v>17600</v>
      </c>
      <c r="I1875" s="48" t="n"/>
      <c r="J1875" s="48" t="n"/>
      <c r="K1875" s="47">
        <f t="array" ref="K1875">_xlfn.XLOOKUP(1,(참조!$B$2:$B$15=E1875)*(참조!$D$2:$D$15=C1875)*(참조!$E$2:$E$15=D1875),참조!$C$2:$C$15,"")</f>
        <v/>
      </c>
    </row>
    <row r="1876" hidden="1" s="27">
      <c r="A1876" s="47" t="inlineStr">
        <is>
          <t>아이즈모바일</t>
        </is>
      </c>
      <c r="B1876" s="47" t="inlineStr">
        <is>
          <t>[K]다이소 300분/15GB+</t>
        </is>
      </c>
      <c r="C1876" s="47" t="inlineStr">
        <is>
          <t>300분</t>
        </is>
      </c>
      <c r="D1876" s="47" t="inlineStr">
        <is>
          <t>300건</t>
        </is>
      </c>
      <c r="E1876" s="47" t="inlineStr">
        <is>
          <t>월 15GB + 3Mbps</t>
        </is>
      </c>
      <c r="F1876" s="47" t="inlineStr">
        <is>
          <t>KT</t>
        </is>
      </c>
      <c r="G1876" s="47" t="inlineStr">
        <is>
          <t>LTE</t>
        </is>
      </c>
      <c r="H1876" s="48" t="n">
        <v>39600</v>
      </c>
      <c r="I1876" s="48" t="n"/>
      <c r="J1876" s="48" t="n"/>
      <c r="K1876" s="47">
        <f t="array" ref="K1876">_xlfn.XLOOKUP(1,(참조!$B$2:$B$15=E1876)*(참조!$D$2:$D$15=C1876)*(참조!$E$2:$E$15=D1876),참조!$C$2:$C$15,"")</f>
        <v/>
      </c>
    </row>
    <row r="1877" hidden="1" s="27">
      <c r="A1877" s="47" t="inlineStr">
        <is>
          <t>리브모바일</t>
        </is>
      </c>
      <c r="B1877" s="47" t="inlineStr">
        <is>
          <t>LTE 실속 15GB+ (100분)(SKT망)</t>
        </is>
      </c>
      <c r="C1877" s="47" t="inlineStr">
        <is>
          <t>100분</t>
        </is>
      </c>
      <c r="D1877" s="47" t="inlineStr">
        <is>
          <t>100건</t>
        </is>
      </c>
      <c r="E1877" s="47" t="inlineStr">
        <is>
          <t>월 15GB + 3Mbps</t>
        </is>
      </c>
      <c r="F1877" s="47" t="inlineStr">
        <is>
          <t>SKT</t>
        </is>
      </c>
      <c r="G1877" s="47" t="inlineStr">
        <is>
          <t>LTE</t>
        </is>
      </c>
      <c r="H1877" s="48" t="n">
        <v>29700</v>
      </c>
      <c r="I1877" s="48" t="n"/>
      <c r="J1877" s="48" t="n"/>
      <c r="K1877" s="47">
        <f t="array" ref="K1877">_xlfn.XLOOKUP(1,(참조!$B$2:$B$15=E1877)*(참조!$D$2:$D$15=C1877)*(참조!$E$2:$E$15=D1877),참조!$C$2:$C$15,"")</f>
        <v/>
      </c>
    </row>
    <row r="1878" hidden="1" s="27">
      <c r="A1878" s="47" t="inlineStr">
        <is>
          <t>모빙</t>
        </is>
      </c>
      <c r="B1878" s="47" t="inlineStr">
        <is>
          <t>[S] 데이터 11GB+_Y</t>
        </is>
      </c>
      <c r="C1878" s="47" t="inlineStr">
        <is>
          <t>무제한</t>
        </is>
      </c>
      <c r="D1878" s="47" t="inlineStr">
        <is>
          <t>무제한</t>
        </is>
      </c>
      <c r="E1878" s="47" t="inlineStr">
        <is>
          <t>월 11GB + 매일 2GB + 3Mbps</t>
        </is>
      </c>
      <c r="F1878" s="47" t="inlineStr">
        <is>
          <t>SKT</t>
        </is>
      </c>
      <c r="G1878" s="47" t="inlineStr">
        <is>
          <t>LTE</t>
        </is>
      </c>
      <c r="H1878" s="48" t="n">
        <v>25900</v>
      </c>
      <c r="I1878" s="48" t="n">
        <v>7</v>
      </c>
      <c r="J1878" s="48" t="n">
        <v>49500</v>
      </c>
      <c r="K1878" s="47">
        <f t="array" ref="K1878">_xlfn.XLOOKUP(1,(참조!$B$2:$B$15=E1878)*(참조!$D$2:$D$15=C1878)*(참조!$E$2:$E$15=D1878),참조!$C$2:$C$15,"")</f>
        <v/>
      </c>
    </row>
    <row r="1879" hidden="1" s="27">
      <c r="A1879" s="47" t="inlineStr">
        <is>
          <t>스마텔</t>
        </is>
      </c>
      <c r="B1879" s="47" t="inlineStr">
        <is>
          <t>5G 스위트 90GB+</t>
        </is>
      </c>
      <c r="C1879" s="47" t="inlineStr">
        <is>
          <t>무제한</t>
        </is>
      </c>
      <c r="D1879" s="47" t="inlineStr">
        <is>
          <t>무제한</t>
        </is>
      </c>
      <c r="E1879" s="47" t="inlineStr">
        <is>
          <t>월 90GB + 1Mbps</t>
        </is>
      </c>
      <c r="F1879" s="47" t="inlineStr">
        <is>
          <t>KT</t>
        </is>
      </c>
      <c r="G1879" s="47" t="inlineStr">
        <is>
          <t>5G</t>
        </is>
      </c>
      <c r="H1879" s="48" t="n">
        <v>44000</v>
      </c>
      <c r="I1879" s="48" t="n">
        <v>36</v>
      </c>
      <c r="J1879" s="48" t="n">
        <v>49500</v>
      </c>
      <c r="K1879" s="47">
        <f t="array" ref="K1879">_xlfn.XLOOKUP(1,(참조!$B$2:$B$15=E1879)*(참조!$D$2:$D$15=C1879)*(참조!$E$2:$E$15=D1879),참조!$C$2:$C$15,"")</f>
        <v/>
      </c>
    </row>
    <row r="1880" hidden="1" s="27">
      <c r="A1880" s="47" t="inlineStr">
        <is>
          <t>인스모바일</t>
        </is>
      </c>
      <c r="B1880" s="47" t="inlineStr">
        <is>
          <t>인스 유심 스피드(5G) 12GB+</t>
        </is>
      </c>
      <c r="C1880" s="47" t="inlineStr">
        <is>
          <t>무제한</t>
        </is>
      </c>
      <c r="D1880" s="47" t="inlineStr">
        <is>
          <t>무제한</t>
        </is>
      </c>
      <c r="E1880" s="47" t="inlineStr">
        <is>
          <t>월 12GB + 1Mbps</t>
        </is>
      </c>
      <c r="F1880" s="47" t="inlineStr">
        <is>
          <t>LG U+</t>
        </is>
      </c>
      <c r="G1880" s="47" t="inlineStr">
        <is>
          <t>5G</t>
        </is>
      </c>
      <c r="H1880" s="48" t="n">
        <v>17050</v>
      </c>
      <c r="I1880" s="48" t="n">
        <v>7</v>
      </c>
      <c r="J1880" s="48" t="n">
        <v>50600</v>
      </c>
      <c r="K1880" s="47">
        <f t="array" ref="K1880">_xlfn.XLOOKUP(1,(참조!$B$2:$B$15=E1880)*(참조!$D$2:$D$15=C1880)*(참조!$E$2:$E$15=D1880),참조!$C$2:$C$15,"")</f>
        <v/>
      </c>
    </row>
    <row r="1881" hidden="1" s="27">
      <c r="A1881" s="47" t="inlineStr">
        <is>
          <t>이야기모바일</t>
        </is>
      </c>
      <c r="B1881" s="47" t="inlineStr">
        <is>
          <t>5G 이야기 무한 24GB</t>
        </is>
      </c>
      <c r="C1881" s="47" t="inlineStr">
        <is>
          <t>무제한</t>
        </is>
      </c>
      <c r="D1881" s="47" t="inlineStr">
        <is>
          <t>무제한</t>
        </is>
      </c>
      <c r="E1881" s="47" t="inlineStr">
        <is>
          <t>월 24GB + 1Mbps</t>
        </is>
      </c>
      <c r="F1881" s="47" t="inlineStr">
        <is>
          <t>SKT</t>
        </is>
      </c>
      <c r="G1881" s="47" t="inlineStr">
        <is>
          <t>5G</t>
        </is>
      </c>
      <c r="H1881" s="48" t="n">
        <v>37400</v>
      </c>
      <c r="I1881" s="48" t="n">
        <v>7</v>
      </c>
      <c r="J1881" s="48" t="n">
        <v>44000</v>
      </c>
      <c r="K1881" s="47">
        <f t="array" ref="K1881">_xlfn.XLOOKUP(1,(참조!$B$2:$B$15=E1881)*(참조!$D$2:$D$15=C1881)*(참조!$E$2:$E$15=D1881),참조!$C$2:$C$15,"")</f>
        <v/>
      </c>
    </row>
    <row r="1882" hidden="1" s="27">
      <c r="A1882" s="47" t="inlineStr">
        <is>
          <t>리브모바일</t>
        </is>
      </c>
      <c r="B1882" s="47" t="inlineStr">
        <is>
          <t>LTE 15GB+(CU)</t>
        </is>
      </c>
      <c r="C1882" s="47" t="inlineStr">
        <is>
          <t>무제한</t>
        </is>
      </c>
      <c r="D1882" s="47" t="inlineStr">
        <is>
          <t>무제한</t>
        </is>
      </c>
      <c r="E1882" s="47" t="inlineStr">
        <is>
          <t>월 15GB + 1Mbps</t>
        </is>
      </c>
      <c r="F1882" s="47" t="inlineStr">
        <is>
          <t>KT</t>
        </is>
      </c>
      <c r="G1882" s="47" t="inlineStr">
        <is>
          <t>LTE</t>
        </is>
      </c>
      <c r="H1882" s="48" t="n">
        <v>28900</v>
      </c>
      <c r="I1882" s="48" t="n"/>
      <c r="J1882" s="48" t="n"/>
      <c r="K1882" s="47">
        <f t="array" ref="K1882">_xlfn.XLOOKUP(1,(참조!$B$2:$B$15=E1882)*(참조!$D$2:$D$15=C1882)*(참조!$E$2:$E$15=D1882),참조!$C$2:$C$15,"")</f>
        <v/>
      </c>
    </row>
    <row r="1883" hidden="1" s="27">
      <c r="A1883" s="47" t="inlineStr">
        <is>
          <t>이야기모바일</t>
        </is>
      </c>
      <c r="B1883" s="47" t="inlineStr">
        <is>
          <t>5G 이야기 라이트 9GB+</t>
        </is>
      </c>
      <c r="C1883" s="47" t="inlineStr">
        <is>
          <t>무제한</t>
        </is>
      </c>
      <c r="D1883" s="47" t="inlineStr">
        <is>
          <t>무제한</t>
        </is>
      </c>
      <c r="E1883" s="47" t="inlineStr">
        <is>
          <t>월 9GB + 1Mbps</t>
        </is>
      </c>
      <c r="F1883" s="47" t="inlineStr">
        <is>
          <t>LG U+</t>
        </is>
      </c>
      <c r="G1883" s="47" t="inlineStr">
        <is>
          <t>5G</t>
        </is>
      </c>
      <c r="H1883" s="48" t="n">
        <v>28600</v>
      </c>
      <c r="I1883" s="48" t="n">
        <v>7</v>
      </c>
      <c r="J1883" s="48" t="n">
        <v>40700</v>
      </c>
      <c r="K1883" s="47">
        <f t="array" ref="K1883">_xlfn.XLOOKUP(1,(참조!$B$2:$B$15=E1883)*(참조!$D$2:$D$15=C1883)*(참조!$E$2:$E$15=D1883),참조!$C$2:$C$15,"")</f>
        <v/>
      </c>
    </row>
    <row r="1884" hidden="1" s="27">
      <c r="A1884" s="47" t="inlineStr">
        <is>
          <t>리브모바일</t>
        </is>
      </c>
      <c r="B1884" s="47" t="inlineStr">
        <is>
          <t>LTE 15GB+(밀리의서재)</t>
        </is>
      </c>
      <c r="C1884" s="47" t="inlineStr">
        <is>
          <t>무제한</t>
        </is>
      </c>
      <c r="D1884" s="47" t="inlineStr">
        <is>
          <t>무제한</t>
        </is>
      </c>
      <c r="E1884" s="47" t="inlineStr">
        <is>
          <t>월 15GB + 1Mbps</t>
        </is>
      </c>
      <c r="F1884" s="47" t="inlineStr">
        <is>
          <t>KT</t>
        </is>
      </c>
      <c r="G1884" s="47" t="inlineStr">
        <is>
          <t>LTE</t>
        </is>
      </c>
      <c r="H1884" s="48" t="n">
        <v>28900</v>
      </c>
      <c r="I1884" s="48" t="n"/>
      <c r="J1884" s="48" t="n"/>
      <c r="K1884" s="47">
        <f t="array" ref="K1884">_xlfn.XLOOKUP(1,(참조!$B$2:$B$15=E1884)*(참조!$D$2:$D$15=C1884)*(참조!$E$2:$E$15=D1884),참조!$C$2:$C$15,"")</f>
        <v/>
      </c>
    </row>
    <row r="1885" hidden="1" s="27">
      <c r="A1885" s="47" t="inlineStr">
        <is>
          <t>리브모바일</t>
        </is>
      </c>
      <c r="B1885" s="47" t="inlineStr">
        <is>
          <t>LTE 무제한 11GB+</t>
        </is>
      </c>
      <c r="C1885" s="47" t="inlineStr">
        <is>
          <t>무제한</t>
        </is>
      </c>
      <c r="D1885" s="47" t="inlineStr">
        <is>
          <t>무제한</t>
        </is>
      </c>
      <c r="E1885" s="47" t="inlineStr">
        <is>
          <t>월 11GB + 매일 2GB + 3Mbps</t>
        </is>
      </c>
      <c r="F1885" s="47" t="inlineStr">
        <is>
          <t>SKT</t>
        </is>
      </c>
      <c r="G1885" s="47" t="inlineStr">
        <is>
          <t>LTE</t>
        </is>
      </c>
      <c r="H1885" s="48" t="n">
        <v>38500</v>
      </c>
      <c r="I1885" s="48" t="n"/>
      <c r="J1885" s="48" t="n"/>
      <c r="K1885" s="47">
        <f t="array" ref="K1885">_xlfn.XLOOKUP(1,(참조!$B$2:$B$15=E1885)*(참조!$D$2:$D$15=C1885)*(참조!$E$2:$E$15=D1885),참조!$C$2:$C$15,"")</f>
        <v/>
      </c>
    </row>
    <row r="1886" hidden="1" s="27">
      <c r="A1886" s="47" t="inlineStr">
        <is>
          <t>아이즈모바일</t>
        </is>
      </c>
      <c r="B1886" s="47" t="inlineStr">
        <is>
          <t>[K]그란데(100분/6GB)</t>
        </is>
      </c>
      <c r="C1886" s="47" t="inlineStr">
        <is>
          <t>100분</t>
        </is>
      </c>
      <c r="D1886" s="47" t="inlineStr">
        <is>
          <t>100건</t>
        </is>
      </c>
      <c r="E1886" s="47" t="inlineStr">
        <is>
          <t>월 6GB</t>
        </is>
      </c>
      <c r="F1886" s="47" t="inlineStr">
        <is>
          <t>KT</t>
        </is>
      </c>
      <c r="G1886" s="47" t="inlineStr">
        <is>
          <t>LTE</t>
        </is>
      </c>
      <c r="H1886" s="48" t="n">
        <v>15100</v>
      </c>
      <c r="I1886" s="48" t="n"/>
      <c r="J1886" s="48" t="n"/>
      <c r="K1886" s="47">
        <f t="array" ref="K1886">_xlfn.XLOOKUP(1,(참조!$B$2:$B$15=E1886)*(참조!$D$2:$D$15=C1886)*(참조!$E$2:$E$15=D1886),참조!$C$2:$C$15,"")</f>
        <v/>
      </c>
    </row>
    <row r="1887" hidden="1" s="27">
      <c r="A1887" s="47" t="inlineStr">
        <is>
          <t>에이모바일</t>
        </is>
      </c>
      <c r="B1887" s="47" t="inlineStr">
        <is>
          <t>A 갓성비 7GB/100분 9</t>
        </is>
      </c>
      <c r="C1887" s="47" t="inlineStr">
        <is>
          <t>100분</t>
        </is>
      </c>
      <c r="D1887" s="47" t="inlineStr">
        <is>
          <t>100건</t>
        </is>
      </c>
      <c r="E1887" s="47" t="inlineStr">
        <is>
          <t>월 7GB</t>
        </is>
      </c>
      <c r="F1887" s="47" t="inlineStr">
        <is>
          <t>LG U+</t>
        </is>
      </c>
      <c r="G1887" s="47" t="inlineStr">
        <is>
          <t>LTE</t>
        </is>
      </c>
      <c r="H1887" s="48" t="n">
        <v>2200</v>
      </c>
      <c r="I1887" s="48" t="n">
        <v>9</v>
      </c>
      <c r="J1887" s="48" t="n">
        <v>9900</v>
      </c>
      <c r="K1887" s="47">
        <f t="array" ref="K1887">_xlfn.XLOOKUP(1,(참조!$B$2:$B$15=E1887)*(참조!$D$2:$D$15=C1887)*(참조!$E$2:$E$15=D1887),참조!$C$2:$C$15,"")</f>
        <v/>
      </c>
    </row>
    <row r="1888" hidden="1" s="27">
      <c r="A1888" s="47" t="inlineStr">
        <is>
          <t>이야기모바일</t>
        </is>
      </c>
      <c r="B1888" s="47" t="inlineStr">
        <is>
          <t>이야기 라이트 6GB+</t>
        </is>
      </c>
      <c r="C1888" s="47" t="inlineStr">
        <is>
          <t>무제한</t>
        </is>
      </c>
      <c r="D1888" s="47" t="inlineStr">
        <is>
          <t>무제한</t>
        </is>
      </c>
      <c r="E1888" s="47" t="inlineStr">
        <is>
          <t>월 6GB + 1Mbps</t>
        </is>
      </c>
      <c r="F1888" s="47" t="inlineStr">
        <is>
          <t>LG U+</t>
        </is>
      </c>
      <c r="G1888" s="47" t="inlineStr">
        <is>
          <t>LTE</t>
        </is>
      </c>
      <c r="H1888" s="48" t="n">
        <v>22000</v>
      </c>
      <c r="I1888" s="48" t="n"/>
      <c r="J1888" s="48" t="n"/>
      <c r="K1888" s="47">
        <f t="array" ref="K1888">_xlfn.XLOOKUP(1,(참조!$B$2:$B$15=E1888)*(참조!$D$2:$D$15=C1888)*(참조!$E$2:$E$15=D1888),참조!$C$2:$C$15,"")</f>
        <v/>
      </c>
    </row>
    <row r="1889" hidden="1" s="27">
      <c r="A1889" s="47" t="inlineStr">
        <is>
          <t>이야기모바일</t>
        </is>
      </c>
      <c r="B1889" s="47" t="inlineStr">
        <is>
          <t>5G 이야기 라이트 12GB+</t>
        </is>
      </c>
      <c r="C1889" s="47" t="inlineStr">
        <is>
          <t>무제한</t>
        </is>
      </c>
      <c r="D1889" s="47" t="inlineStr">
        <is>
          <t>무제한</t>
        </is>
      </c>
      <c r="E1889" s="47" t="inlineStr">
        <is>
          <t>월 12GB + 1Mbps</t>
        </is>
      </c>
      <c r="F1889" s="47" t="inlineStr">
        <is>
          <t>LG U+</t>
        </is>
      </c>
      <c r="G1889" s="47" t="inlineStr">
        <is>
          <t>5G</t>
        </is>
      </c>
      <c r="H1889" s="48" t="n">
        <v>29700</v>
      </c>
      <c r="I1889" s="48" t="n">
        <v>7</v>
      </c>
      <c r="J1889" s="48" t="n">
        <v>41800</v>
      </c>
      <c r="K1889" s="47">
        <f t="array" ref="K1889">_xlfn.XLOOKUP(1,(참조!$B$2:$B$15=E1889)*(참조!$D$2:$D$15=C1889)*(참조!$E$2:$E$15=D1889),참조!$C$2:$C$15,"")</f>
        <v/>
      </c>
    </row>
    <row r="1890" hidden="1" s="27">
      <c r="A1890" s="47" t="inlineStr">
        <is>
          <t>아이즈모바일</t>
        </is>
      </c>
      <c r="B1890" s="47" t="inlineStr">
        <is>
          <t>[S]OK캐쉬백 10GB+</t>
        </is>
      </c>
      <c r="C1890" s="47" t="inlineStr">
        <is>
          <t>무제한</t>
        </is>
      </c>
      <c r="D1890" s="47" t="inlineStr">
        <is>
          <t>무제한</t>
        </is>
      </c>
      <c r="E1890" s="47" t="inlineStr">
        <is>
          <t>월 10GB + 1Mbps</t>
        </is>
      </c>
      <c r="F1890" s="47" t="inlineStr">
        <is>
          <t>SKT</t>
        </is>
      </c>
      <c r="G1890" s="47" t="inlineStr">
        <is>
          <t>LTE</t>
        </is>
      </c>
      <c r="H1890" s="48" t="n">
        <v>21900</v>
      </c>
      <c r="I1890" s="48" t="n">
        <v>12</v>
      </c>
      <c r="J1890" s="48" t="n">
        <v>31900</v>
      </c>
      <c r="K1890" s="47">
        <f t="array" ref="K1890">_xlfn.XLOOKUP(1,(참조!$B$2:$B$15=E1890)*(참조!$D$2:$D$15=C1890)*(참조!$E$2:$E$15=D1890),참조!$C$2:$C$15,"")</f>
        <v/>
      </c>
    </row>
    <row r="1891" hidden="1" s="27">
      <c r="A1891" s="47" t="inlineStr">
        <is>
          <t>아이즈모바일</t>
        </is>
      </c>
      <c r="B1891" s="47" t="inlineStr">
        <is>
          <t>[K]아이즈특판10GB+</t>
        </is>
      </c>
      <c r="C1891" s="47" t="inlineStr">
        <is>
          <t>무제한</t>
        </is>
      </c>
      <c r="D1891" s="47" t="inlineStr">
        <is>
          <t>무제한</t>
        </is>
      </c>
      <c r="E1891" s="47" t="inlineStr">
        <is>
          <t>월 10GB + 1Mbps</t>
        </is>
      </c>
      <c r="F1891" s="47" t="inlineStr">
        <is>
          <t>KT</t>
        </is>
      </c>
      <c r="G1891" s="47" t="inlineStr">
        <is>
          <t>LTE</t>
        </is>
      </c>
      <c r="H1891" s="48" t="n">
        <v>22000</v>
      </c>
      <c r="I1891" s="48" t="n"/>
      <c r="J1891" s="48" t="n"/>
      <c r="K1891" s="47">
        <f t="array" ref="K1891">_xlfn.XLOOKUP(1,(참조!$B$2:$B$15=E1891)*(참조!$D$2:$D$15=C1891)*(참조!$E$2:$E$15=D1891),참조!$C$2:$C$15,"")</f>
        <v/>
      </c>
    </row>
    <row r="1892" hidden="1" s="27">
      <c r="A1892" s="47" t="inlineStr">
        <is>
          <t>에이모바일</t>
        </is>
      </c>
      <c r="B1892" s="47" t="inlineStr">
        <is>
          <t>A 갓성비 10GB+/200분</t>
        </is>
      </c>
      <c r="C1892" s="47" t="inlineStr">
        <is>
          <t>200분</t>
        </is>
      </c>
      <c r="D1892" s="47" t="inlineStr">
        <is>
          <t>100건</t>
        </is>
      </c>
      <c r="E1892" s="47" t="inlineStr">
        <is>
          <t>월 10GB + 1Mbps</t>
        </is>
      </c>
      <c r="F1892" s="47" t="inlineStr">
        <is>
          <t>LG U+</t>
        </is>
      </c>
      <c r="G1892" s="47" t="inlineStr">
        <is>
          <t>LTE</t>
        </is>
      </c>
      <c r="H1892" s="48" t="n">
        <v>8800</v>
      </c>
      <c r="I1892" s="48" t="n">
        <v>7</v>
      </c>
      <c r="J1892" s="48" t="n">
        <v>25300</v>
      </c>
      <c r="K1892" s="47">
        <f t="array" ref="K1892">_xlfn.XLOOKUP(1,(참조!$B$2:$B$15=E1892)*(참조!$D$2:$D$15=C1892)*(참조!$E$2:$E$15=D1892),참조!$C$2:$C$15,"")</f>
        <v/>
      </c>
    </row>
    <row r="1893" hidden="1" s="27">
      <c r="A1893" s="47" t="inlineStr">
        <is>
          <t>아이즈모바일</t>
        </is>
      </c>
      <c r="B1893" s="47" t="inlineStr">
        <is>
          <t>[S]스페셜11GB+</t>
        </is>
      </c>
      <c r="C1893" s="47" t="inlineStr">
        <is>
          <t>무제한</t>
        </is>
      </c>
      <c r="D1893" s="47" t="inlineStr">
        <is>
          <t>무제한</t>
        </is>
      </c>
      <c r="E1893" s="47" t="inlineStr">
        <is>
          <t>월 11GB + 매일 2GB + 3Mbps</t>
        </is>
      </c>
      <c r="F1893" s="47" t="inlineStr">
        <is>
          <t>SKT</t>
        </is>
      </c>
      <c r="G1893" s="47" t="inlineStr">
        <is>
          <t>LTE</t>
        </is>
      </c>
      <c r="H1893" s="48" t="n">
        <v>38600</v>
      </c>
      <c r="I1893" s="48" t="n"/>
      <c r="J1893" s="48" t="n"/>
      <c r="K1893" s="47">
        <f t="array" ref="K1893">_xlfn.XLOOKUP(1,(참조!$B$2:$B$15=E1893)*(참조!$D$2:$D$15=C1893)*(참조!$E$2:$E$15=D1893),참조!$C$2:$C$15,"")</f>
        <v/>
      </c>
    </row>
    <row r="1894" hidden="1" s="27">
      <c r="A1894" s="47" t="inlineStr">
        <is>
          <t>이야기모바일</t>
        </is>
      </c>
      <c r="B1894" s="47" t="inlineStr">
        <is>
          <t>5G 이야기 무한 11GB</t>
        </is>
      </c>
      <c r="C1894" s="47" t="inlineStr">
        <is>
          <t>무제한</t>
        </is>
      </c>
      <c r="D1894" s="47" t="inlineStr">
        <is>
          <t>무제한</t>
        </is>
      </c>
      <c r="E1894" s="47" t="inlineStr">
        <is>
          <t>월 11GB + 400Kbps</t>
        </is>
      </c>
      <c r="F1894" s="47" t="inlineStr">
        <is>
          <t>SKT</t>
        </is>
      </c>
      <c r="G1894" s="47" t="inlineStr">
        <is>
          <t>5G</t>
        </is>
      </c>
      <c r="H1894" s="48" t="n">
        <v>31500</v>
      </c>
      <c r="I1894" s="48" t="n">
        <v>7</v>
      </c>
      <c r="J1894" s="48" t="n">
        <v>34100</v>
      </c>
      <c r="K1894" s="47">
        <f t="array" ref="K1894">_xlfn.XLOOKUP(1,(참조!$B$2:$B$15=E1894)*(참조!$D$2:$D$15=C1894)*(참조!$E$2:$E$15=D1894),참조!$C$2:$C$15,"")</f>
        <v/>
      </c>
    </row>
    <row r="1895" hidden="1" s="27">
      <c r="A1895" s="47" t="inlineStr">
        <is>
          <t>인스모바일</t>
        </is>
      </c>
      <c r="B1895" s="47" t="inlineStr">
        <is>
          <t>데이터 안심 2.5GB+(USIM)</t>
        </is>
      </c>
      <c r="C1895" s="47" t="inlineStr">
        <is>
          <t>200분</t>
        </is>
      </c>
      <c r="D1895" s="47" t="inlineStr">
        <is>
          <t>100건</t>
        </is>
      </c>
      <c r="E1895" s="47" t="inlineStr">
        <is>
          <t>월 2.5GB + 1Mbps</t>
        </is>
      </c>
      <c r="F1895" s="47" t="inlineStr">
        <is>
          <t>LG U+</t>
        </is>
      </c>
      <c r="G1895" s="47" t="inlineStr">
        <is>
          <t>LTE</t>
        </is>
      </c>
      <c r="H1895" s="48" t="n">
        <v>5280</v>
      </c>
      <c r="I1895" s="48" t="n">
        <v>6</v>
      </c>
      <c r="J1895" s="48" t="n">
        <v>16500</v>
      </c>
      <c r="K1895" s="47">
        <f t="array" ref="K1895">_xlfn.XLOOKUP(1,(참조!$B$2:$B$15=E1895)*(참조!$D$2:$D$15=C1895)*(참조!$E$2:$E$15=D1895),참조!$C$2:$C$15,"")</f>
        <v/>
      </c>
    </row>
    <row r="1896" hidden="1" s="27">
      <c r="A1896" s="47" t="inlineStr">
        <is>
          <t>이야기모바일</t>
        </is>
      </c>
      <c r="B1896" s="47" t="inlineStr">
        <is>
          <t>내맘대로 차단형 (200분+1GB)</t>
        </is>
      </c>
      <c r="C1896" s="47" t="inlineStr">
        <is>
          <t>200분</t>
        </is>
      </c>
      <c r="D1896" s="47" t="inlineStr">
        <is>
          <t>50건</t>
        </is>
      </c>
      <c r="E1896" s="47" t="inlineStr">
        <is>
          <t>월 1GB</t>
        </is>
      </c>
      <c r="F1896" s="47" t="inlineStr">
        <is>
          <t>LG U+</t>
        </is>
      </c>
      <c r="G1896" s="47" t="inlineStr">
        <is>
          <t>LTE</t>
        </is>
      </c>
      <c r="H1896" s="48" t="n">
        <v>11000</v>
      </c>
      <c r="I1896" s="48" t="n"/>
      <c r="J1896" s="48" t="n"/>
      <c r="K1896" s="47">
        <f t="array" ref="K1896">_xlfn.XLOOKUP(1,(참조!$B$2:$B$15=E1896)*(참조!$D$2:$D$15=C1896)*(참조!$E$2:$E$15=D1896),참조!$C$2:$C$15,"")</f>
        <v/>
      </c>
    </row>
    <row r="1897" hidden="1" s="27">
      <c r="A1897" s="47" t="inlineStr">
        <is>
          <t>모빙</t>
        </is>
      </c>
      <c r="B1897" s="47" t="inlineStr">
        <is>
          <t>[L] 5G 데이터 3GB+</t>
        </is>
      </c>
      <c r="C1897" s="47" t="inlineStr">
        <is>
          <t>무제한</t>
        </is>
      </c>
      <c r="D1897" s="47" t="inlineStr">
        <is>
          <t>100건</t>
        </is>
      </c>
      <c r="E1897" s="47" t="inlineStr">
        <is>
          <t>월 3GB + 1Mbps</t>
        </is>
      </c>
      <c r="F1897" s="47" t="inlineStr">
        <is>
          <t>LG U+</t>
        </is>
      </c>
      <c r="G1897" s="47" t="inlineStr">
        <is>
          <t>5G</t>
        </is>
      </c>
      <c r="H1897" s="48" t="n">
        <v>7700</v>
      </c>
      <c r="I1897" s="48" t="n"/>
      <c r="J1897" s="48" t="n"/>
      <c r="K1897" s="47">
        <f t="array" ref="K1897">_xlfn.XLOOKUP(1,(참조!$B$2:$B$15=E1897)*(참조!$D$2:$D$15=C1897)*(참조!$E$2:$E$15=D1897),참조!$C$2:$C$15,"")</f>
        <v/>
      </c>
    </row>
    <row r="1898" hidden="1" s="27">
      <c r="A1898" s="47" t="inlineStr">
        <is>
          <t>이야기모바일</t>
        </is>
      </c>
      <c r="B1898" s="47" t="inlineStr">
        <is>
          <t>이야기 라이트 3.5GB+</t>
        </is>
      </c>
      <c r="C1898" s="47" t="inlineStr">
        <is>
          <t>무제한</t>
        </is>
      </c>
      <c r="D1898" s="47" t="inlineStr">
        <is>
          <t>무제한</t>
        </is>
      </c>
      <c r="E1898" s="47" t="inlineStr">
        <is>
          <t>월 3.5GB + 1Mbps</t>
        </is>
      </c>
      <c r="F1898" s="47" t="inlineStr">
        <is>
          <t>LG U+</t>
        </is>
      </c>
      <c r="G1898" s="47" t="inlineStr">
        <is>
          <t>LTE</t>
        </is>
      </c>
      <c r="H1898" s="48" t="n">
        <v>31900</v>
      </c>
      <c r="I1898" s="48" t="n"/>
      <c r="J1898" s="48" t="n"/>
      <c r="K1898" s="47">
        <f t="array" ref="K1898">_xlfn.XLOOKUP(1,(참조!$B$2:$B$15=E1898)*(참조!$D$2:$D$15=C1898)*(참조!$E$2:$E$15=D1898),참조!$C$2:$C$15,"")</f>
        <v/>
      </c>
    </row>
    <row r="1899" hidden="1" s="27">
      <c r="A1899" s="47" t="inlineStr">
        <is>
          <t>스마텔</t>
        </is>
      </c>
      <c r="B1899" s="47" t="inlineStr">
        <is>
          <t>5G 스마트 12GB</t>
        </is>
      </c>
      <c r="C1899" s="47" t="inlineStr">
        <is>
          <t>무제한</t>
        </is>
      </c>
      <c r="D1899" s="47" t="inlineStr">
        <is>
          <t>무제한</t>
        </is>
      </c>
      <c r="E1899" s="47" t="inlineStr">
        <is>
          <t>월 12GB + 1Mbps</t>
        </is>
      </c>
      <c r="F1899" s="47" t="inlineStr">
        <is>
          <t>LG U+</t>
        </is>
      </c>
      <c r="G1899" s="47" t="inlineStr">
        <is>
          <t>5G</t>
        </is>
      </c>
      <c r="H1899" s="48" t="n">
        <v>36300</v>
      </c>
      <c r="I1899" s="48" t="n"/>
      <c r="J1899" s="48" t="n"/>
      <c r="K1899" s="47">
        <f t="array" ref="K1899">_xlfn.XLOOKUP(1,(참조!$B$2:$B$15=E1899)*(참조!$D$2:$D$15=C1899)*(참조!$E$2:$E$15=D1899),참조!$C$2:$C$15,"")</f>
        <v/>
      </c>
    </row>
    <row r="1900" hidden="1" s="27">
      <c r="A1900" s="47" t="inlineStr">
        <is>
          <t>아이즈모바일</t>
        </is>
      </c>
      <c r="B1900" s="47" t="inlineStr">
        <is>
          <t>아이즈(100분/1GB+)</t>
        </is>
      </c>
      <c r="C1900" s="47" t="inlineStr">
        <is>
          <t>100분</t>
        </is>
      </c>
      <c r="D1900" s="47" t="inlineStr">
        <is>
          <t>100건</t>
        </is>
      </c>
      <c r="E1900" s="47" t="inlineStr">
        <is>
          <t>월 1GB + 1Mbps</t>
        </is>
      </c>
      <c r="F1900" s="47" t="inlineStr">
        <is>
          <t>LG U+</t>
        </is>
      </c>
      <c r="G1900" s="47" t="inlineStr">
        <is>
          <t>LTE</t>
        </is>
      </c>
      <c r="H1900" s="48" t="n">
        <v>8200</v>
      </c>
      <c r="I1900" s="48" t="n"/>
      <c r="J1900" s="48" t="n"/>
      <c r="K1900" s="47">
        <f t="array" ref="K1900">_xlfn.XLOOKUP(1,(참조!$B$2:$B$15=E1900)*(참조!$D$2:$D$15=C1900)*(참조!$E$2:$E$15=D1900),참조!$C$2:$C$15,"")</f>
        <v/>
      </c>
    </row>
    <row r="1901" hidden="1" s="27">
      <c r="A1901" s="47" t="inlineStr">
        <is>
          <t>리브모바일</t>
        </is>
      </c>
      <c r="B1901" s="47" t="inlineStr">
        <is>
          <t>5G 무제한 50GB+(LGU+망)</t>
        </is>
      </c>
      <c r="C1901" s="47" t="inlineStr">
        <is>
          <t>무제한</t>
        </is>
      </c>
      <c r="D1901" s="47" t="inlineStr">
        <is>
          <t>무제한</t>
        </is>
      </c>
      <c r="E1901" s="47" t="inlineStr">
        <is>
          <t>월 50GB + 1Mbps</t>
        </is>
      </c>
      <c r="F1901" s="47" t="inlineStr">
        <is>
          <t>LG U+</t>
        </is>
      </c>
      <c r="G1901" s="47" t="inlineStr">
        <is>
          <t>5G</t>
        </is>
      </c>
      <c r="H1901" s="48" t="n">
        <v>38000</v>
      </c>
      <c r="I1901" s="48" t="n">
        <v>12</v>
      </c>
      <c r="J1901" s="48" t="n">
        <v>42400</v>
      </c>
      <c r="K1901" s="47">
        <f t="array" ref="K1901">_xlfn.XLOOKUP(1,(참조!$B$2:$B$15=E1901)*(참조!$D$2:$D$15=C1901)*(참조!$E$2:$E$15=D1901),참조!$C$2:$C$15,"")</f>
        <v/>
      </c>
    </row>
    <row r="1902" hidden="1" s="27">
      <c r="A1902" s="47" t="inlineStr">
        <is>
          <t>아이즈모바일</t>
        </is>
      </c>
      <c r="B1902" s="47" t="inlineStr">
        <is>
          <t>[S]스페셜7GB+</t>
        </is>
      </c>
      <c r="C1902" s="47" t="inlineStr">
        <is>
          <t>무제한</t>
        </is>
      </c>
      <c r="D1902" s="47" t="inlineStr">
        <is>
          <t>무제한</t>
        </is>
      </c>
      <c r="E1902" s="47" t="inlineStr">
        <is>
          <t>월 7GB + 1Mbps</t>
        </is>
      </c>
      <c r="F1902" s="47" t="inlineStr">
        <is>
          <t>SKT</t>
        </is>
      </c>
      <c r="G1902" s="47" t="inlineStr">
        <is>
          <t>LTE</t>
        </is>
      </c>
      <c r="H1902" s="48" t="n">
        <v>23600</v>
      </c>
      <c r="I1902" s="48" t="n"/>
      <c r="J1902" s="48" t="n"/>
      <c r="K1902" s="47">
        <f t="array" ref="K1902">_xlfn.XLOOKUP(1,(참조!$B$2:$B$15=E1902)*(참조!$D$2:$D$15=C1902)*(참조!$E$2:$E$15=D1902),참조!$C$2:$C$15,"")</f>
        <v/>
      </c>
    </row>
    <row r="1903" hidden="1" s="27">
      <c r="A1903" s="47" t="inlineStr">
        <is>
          <t>모빙</t>
        </is>
      </c>
      <c r="B1903" s="47" t="inlineStr">
        <is>
          <t>[S] 컬쳐랜드 7GB+</t>
        </is>
      </c>
      <c r="C1903" s="47" t="inlineStr">
        <is>
          <t>무제한</t>
        </is>
      </c>
      <c r="D1903" s="47" t="inlineStr">
        <is>
          <t>무제한</t>
        </is>
      </c>
      <c r="E1903" s="47" t="inlineStr">
        <is>
          <t>월 7GB + 1Mbps</t>
        </is>
      </c>
      <c r="F1903" s="47" t="inlineStr">
        <is>
          <t>SKT</t>
        </is>
      </c>
      <c r="G1903" s="47" t="inlineStr">
        <is>
          <t>LTE</t>
        </is>
      </c>
      <c r="H1903" s="48" t="n">
        <v>9900</v>
      </c>
      <c r="I1903" s="48" t="n">
        <v>7</v>
      </c>
      <c r="J1903" s="48" t="n">
        <v>31900</v>
      </c>
      <c r="K1903" s="47">
        <f t="array" ref="K1903">_xlfn.XLOOKUP(1,(참조!$B$2:$B$15=E1903)*(참조!$D$2:$D$15=C1903)*(참조!$E$2:$E$15=D1903),참조!$C$2:$C$15,"")</f>
        <v/>
      </c>
    </row>
    <row r="1904" hidden="1" s="27">
      <c r="A1904" s="47" t="inlineStr">
        <is>
          <t>모빙</t>
        </is>
      </c>
      <c r="B1904" s="47" t="inlineStr">
        <is>
          <t>모빙 데이터 1.5GB</t>
        </is>
      </c>
      <c r="C1904" s="47" t="inlineStr">
        <is>
          <t>무제한</t>
        </is>
      </c>
      <c r="D1904" s="47" t="inlineStr">
        <is>
          <t>무제한</t>
        </is>
      </c>
      <c r="E1904" s="47" t="inlineStr">
        <is>
          <t>월 1.5GB + 400Kbps</t>
        </is>
      </c>
      <c r="F1904" s="47" t="inlineStr">
        <is>
          <t>SKT</t>
        </is>
      </c>
      <c r="G1904" s="47" t="inlineStr">
        <is>
          <t>LTE</t>
        </is>
      </c>
      <c r="H1904" s="48" t="n">
        <v>15000</v>
      </c>
      <c r="I1904" s="48" t="n"/>
      <c r="J1904" s="48" t="n"/>
      <c r="K1904" s="47">
        <f t="array" ref="K1904">_xlfn.XLOOKUP(1,(참조!$B$2:$B$15=E1904)*(참조!$D$2:$D$15=C1904)*(참조!$E$2:$E$15=D1904),참조!$C$2:$C$15,"")</f>
        <v/>
      </c>
    </row>
    <row r="1905" hidden="1" s="27">
      <c r="A1905" s="47" t="inlineStr">
        <is>
          <t>에이모바일</t>
        </is>
      </c>
      <c r="B1905" s="47" t="inlineStr">
        <is>
          <t>A 넥스트 7GB+(네이버페이 1만x7개월)</t>
        </is>
      </c>
      <c r="C1905" s="47" t="inlineStr">
        <is>
          <t>무제한</t>
        </is>
      </c>
      <c r="D1905" s="47" t="inlineStr">
        <is>
          <t>무제한</t>
        </is>
      </c>
      <c r="E1905" s="47" t="inlineStr">
        <is>
          <t>월 7GB + 1Mbps</t>
        </is>
      </c>
      <c r="F1905" s="47" t="inlineStr">
        <is>
          <t>SKT</t>
        </is>
      </c>
      <c r="G1905" s="47" t="inlineStr">
        <is>
          <t>LTE</t>
        </is>
      </c>
      <c r="H1905" s="48" t="n">
        <v>11000</v>
      </c>
      <c r="I1905" s="48" t="n">
        <v>7</v>
      </c>
      <c r="J1905" s="48" t="n">
        <v>18900</v>
      </c>
      <c r="K1905" s="47">
        <f t="array" ref="K1905">_xlfn.XLOOKUP(1,(참조!$B$2:$B$15=E1905)*(참조!$D$2:$D$15=C1905)*(참조!$E$2:$E$15=D1905),참조!$C$2:$C$15,"")</f>
        <v/>
      </c>
    </row>
    <row r="1906" hidden="1" s="27">
      <c r="A1906" s="47" t="inlineStr">
        <is>
          <t>아이즈모바일</t>
        </is>
      </c>
      <c r="B1906" s="47" t="inlineStr">
        <is>
          <t>[S]아이즈팩 10GB+</t>
        </is>
      </c>
      <c r="C1906" s="47" t="inlineStr">
        <is>
          <t>무제한</t>
        </is>
      </c>
      <c r="D1906" s="47" t="inlineStr">
        <is>
          <t>무제한</t>
        </is>
      </c>
      <c r="E1906" s="47" t="inlineStr">
        <is>
          <t>월 10GB + 1Mbps</t>
        </is>
      </c>
      <c r="F1906" s="47" t="inlineStr">
        <is>
          <t>SKT</t>
        </is>
      </c>
      <c r="G1906" s="47" t="inlineStr">
        <is>
          <t>LTE</t>
        </is>
      </c>
      <c r="H1906" s="48" t="n">
        <v>9500</v>
      </c>
      <c r="I1906" s="48" t="n">
        <v>7</v>
      </c>
      <c r="J1906" s="48" t="n">
        <v>30800</v>
      </c>
      <c r="K1906" s="47">
        <f t="array" ref="K1906">_xlfn.XLOOKUP(1,(참조!$B$2:$B$15=E1906)*(참조!$D$2:$D$15=C1906)*(참조!$E$2:$E$15=D1906),참조!$C$2:$C$15,"")</f>
        <v/>
      </c>
    </row>
    <row r="1907" hidden="1" s="27">
      <c r="A1907" s="47" t="inlineStr">
        <is>
          <t>이지모바일</t>
        </is>
      </c>
      <c r="B1907" s="47" t="inlineStr">
        <is>
          <t>[5G]이지 무제한 14G+1</t>
        </is>
      </c>
      <c r="C1907" s="47" t="inlineStr">
        <is>
          <t>무제한</t>
        </is>
      </c>
      <c r="D1907" s="47" t="inlineStr">
        <is>
          <t>무제한</t>
        </is>
      </c>
      <c r="E1907" s="47" t="inlineStr">
        <is>
          <t>월 14GB + 1Mbps</t>
        </is>
      </c>
      <c r="F1907" s="47" t="inlineStr">
        <is>
          <t>LG U+</t>
        </is>
      </c>
      <c r="G1907" s="47" t="inlineStr">
        <is>
          <t>5G</t>
        </is>
      </c>
      <c r="H1907" s="48" t="n">
        <v>26950</v>
      </c>
      <c r="I1907" s="48" t="n">
        <v>7</v>
      </c>
      <c r="J1907" s="48" t="n">
        <v>37400</v>
      </c>
      <c r="K1907" s="47">
        <f t="array" ref="K1907">_xlfn.XLOOKUP(1,(참조!$B$2:$B$15=E1907)*(참조!$D$2:$D$15=C1907)*(참조!$E$2:$E$15=D1907),참조!$C$2:$C$15,"")</f>
        <v/>
      </c>
    </row>
    <row r="1908" hidden="1" s="27">
      <c r="A1908" s="47" t="inlineStr">
        <is>
          <t>아이즈모바일</t>
        </is>
      </c>
      <c r="B1908" s="47" t="inlineStr">
        <is>
          <t>[K]다이소 7GB+</t>
        </is>
      </c>
      <c r="C1908" s="47" t="inlineStr">
        <is>
          <t>무제한</t>
        </is>
      </c>
      <c r="D1908" s="47" t="inlineStr">
        <is>
          <t>무제한</t>
        </is>
      </c>
      <c r="E1908" s="47" t="inlineStr">
        <is>
          <t>월 7GB + 1Mbps</t>
        </is>
      </c>
      <c r="F1908" s="47" t="inlineStr">
        <is>
          <t>KT</t>
        </is>
      </c>
      <c r="G1908" s="47" t="inlineStr">
        <is>
          <t>LTE</t>
        </is>
      </c>
      <c r="H1908" s="48" t="n">
        <v>25300</v>
      </c>
      <c r="I1908" s="48" t="n"/>
      <c r="J1908" s="48" t="n"/>
      <c r="K1908" s="47">
        <f t="array" ref="K1908">_xlfn.XLOOKUP(1,(참조!$B$2:$B$15=E1908)*(참조!$D$2:$D$15=C1908)*(참조!$E$2:$E$15=D1908),참조!$C$2:$C$15,"")</f>
        <v/>
      </c>
    </row>
    <row r="1909" hidden="1" s="27">
      <c r="A1909" s="47" t="inlineStr">
        <is>
          <t>이지모바일</t>
        </is>
      </c>
      <c r="B1909" s="47" t="inlineStr">
        <is>
          <t>EG 5G 심플 90GB+</t>
        </is>
      </c>
      <c r="C1909" s="47" t="inlineStr">
        <is>
          <t>무제한</t>
        </is>
      </c>
      <c r="D1909" s="47" t="inlineStr">
        <is>
          <t>무제한</t>
        </is>
      </c>
      <c r="E1909" s="47" t="inlineStr">
        <is>
          <t>월 90GB + 1Mbps</t>
        </is>
      </c>
      <c r="F1909" s="47" t="inlineStr">
        <is>
          <t>KT</t>
        </is>
      </c>
      <c r="G1909" s="47" t="inlineStr">
        <is>
          <t>5G</t>
        </is>
      </c>
      <c r="H1909" s="48" t="n">
        <v>24750</v>
      </c>
      <c r="I1909" s="48" t="n">
        <v>7</v>
      </c>
      <c r="J1909" s="48" t="n">
        <v>49500</v>
      </c>
      <c r="K1909" s="47">
        <f t="array" ref="K1909">_xlfn.XLOOKUP(1,(참조!$B$2:$B$15=E1909)*(참조!$D$2:$D$15=C1909)*(참조!$E$2:$E$15=D1909),참조!$C$2:$C$15,"")</f>
        <v/>
      </c>
    </row>
    <row r="1910" hidden="1" s="27">
      <c r="A1910" s="47" t="inlineStr">
        <is>
          <t>아이즈모바일</t>
        </is>
      </c>
      <c r="B1910" s="47" t="inlineStr">
        <is>
          <t>[L]5G 무한125GB+5Mbps</t>
        </is>
      </c>
      <c r="C1910" s="47" t="inlineStr">
        <is>
          <t>무제한</t>
        </is>
      </c>
      <c r="D1910" s="47" t="inlineStr">
        <is>
          <t>무제한</t>
        </is>
      </c>
      <c r="E1910" s="47" t="inlineStr">
        <is>
          <t>월 125GB + 5Mbps</t>
        </is>
      </c>
      <c r="F1910" s="47" t="inlineStr">
        <is>
          <t>LG U+</t>
        </is>
      </c>
      <c r="G1910" s="47" t="inlineStr">
        <is>
          <t>5G</t>
        </is>
      </c>
      <c r="H1910" s="48" t="n">
        <v>64900</v>
      </c>
      <c r="I1910" s="48" t="n"/>
      <c r="J1910" s="48" t="n"/>
      <c r="K1910" s="47">
        <f t="array" ref="K1910">_xlfn.XLOOKUP(1,(참조!$B$2:$B$15=E1910)*(참조!$D$2:$D$15=C1910)*(참조!$E$2:$E$15=D1910),참조!$C$2:$C$15,"")</f>
        <v/>
      </c>
    </row>
    <row r="1911" hidden="1" s="27">
      <c r="A1911" s="47" t="inlineStr">
        <is>
          <t>에이모바일</t>
        </is>
      </c>
      <c r="B1911" s="47" t="inlineStr">
        <is>
          <t>A 5G 스페셜</t>
        </is>
      </c>
      <c r="C1911" s="47" t="inlineStr">
        <is>
          <t>무제한</t>
        </is>
      </c>
      <c r="D1911" s="47" t="inlineStr">
        <is>
          <t>무제한</t>
        </is>
      </c>
      <c r="E1911" s="47" t="inlineStr">
        <is>
          <t>월 200GB + 10Mbps</t>
        </is>
      </c>
      <c r="F1911" s="47" t="inlineStr">
        <is>
          <t>KT</t>
        </is>
      </c>
      <c r="G1911" s="47" t="inlineStr">
        <is>
          <t>5G</t>
        </is>
      </c>
      <c r="H1911" s="48" t="n">
        <v>39600</v>
      </c>
      <c r="I1911" s="48" t="n">
        <v>7</v>
      </c>
      <c r="J1911" s="48" t="n">
        <v>55000</v>
      </c>
      <c r="K1911" s="47">
        <f t="array" ref="K1911">_xlfn.XLOOKUP(1,(참조!$B$2:$B$15=E1911)*(참조!$D$2:$D$15=C1911)*(참조!$E$2:$E$15=D1911),참조!$C$2:$C$15,"")</f>
        <v/>
      </c>
    </row>
    <row r="1912" hidden="1" s="27">
      <c r="A1912" s="47" t="inlineStr">
        <is>
          <t>인스모바일</t>
        </is>
      </c>
      <c r="B1912" s="47" t="inlineStr">
        <is>
          <t>데이터 안심 250분+2.5GB+(USIM)</t>
        </is>
      </c>
      <c r="C1912" s="47" t="inlineStr">
        <is>
          <t>250분</t>
        </is>
      </c>
      <c r="D1912" s="47" t="inlineStr">
        <is>
          <t>250건</t>
        </is>
      </c>
      <c r="E1912" s="47" t="inlineStr">
        <is>
          <t>월 2.5GB + 1Mbps</t>
        </is>
      </c>
      <c r="F1912" s="47" t="inlineStr">
        <is>
          <t>LG U+</t>
        </is>
      </c>
      <c r="G1912" s="47" t="inlineStr">
        <is>
          <t>LTE</t>
        </is>
      </c>
      <c r="H1912" s="48" t="n">
        <v>6050</v>
      </c>
      <c r="I1912" s="48" t="n">
        <v>6</v>
      </c>
      <c r="J1912" s="48" t="n">
        <v>17600</v>
      </c>
      <c r="K1912" s="47">
        <f t="array" ref="K1912">_xlfn.XLOOKUP(1,(참조!$B$2:$B$15=E1912)*(참조!$D$2:$D$15=C1912)*(참조!$E$2:$E$15=D1912),참조!$C$2:$C$15,"")</f>
        <v/>
      </c>
    </row>
    <row r="1913" hidden="1" s="27">
      <c r="A1913" s="47" t="inlineStr">
        <is>
          <t>에이모바일</t>
        </is>
      </c>
      <c r="B1913" s="47" t="inlineStr">
        <is>
          <t>A 갓성비 5GB/230분 9</t>
        </is>
      </c>
      <c r="C1913" s="47" t="inlineStr">
        <is>
          <t>230분</t>
        </is>
      </c>
      <c r="D1913" s="47" t="inlineStr">
        <is>
          <t>100건</t>
        </is>
      </c>
      <c r="E1913" s="47" t="inlineStr">
        <is>
          <t>월 5GB</t>
        </is>
      </c>
      <c r="F1913" s="47" t="inlineStr">
        <is>
          <t>LG U+</t>
        </is>
      </c>
      <c r="G1913" s="47" t="inlineStr">
        <is>
          <t>LTE</t>
        </is>
      </c>
      <c r="H1913" s="48" t="n">
        <v>990</v>
      </c>
      <c r="I1913" s="48" t="n">
        <v>9</v>
      </c>
      <c r="J1913" s="48" t="n">
        <v>9350</v>
      </c>
      <c r="K1913" s="47">
        <f t="array" ref="K1913">_xlfn.XLOOKUP(1,(참조!$B$2:$B$15=E1913)*(참조!$D$2:$D$15=C1913)*(참조!$E$2:$E$15=D1913),참조!$C$2:$C$15,"")</f>
        <v/>
      </c>
    </row>
    <row r="1914" hidden="1" s="27">
      <c r="A1914" s="47" t="inlineStr">
        <is>
          <t>모빙</t>
        </is>
      </c>
      <c r="B1914" s="47" t="inlineStr">
        <is>
          <t>[S] CU편의점 10GB+</t>
        </is>
      </c>
      <c r="C1914" s="47" t="inlineStr">
        <is>
          <t>무제한</t>
        </is>
      </c>
      <c r="D1914" s="47" t="inlineStr">
        <is>
          <t>무제한</t>
        </is>
      </c>
      <c r="E1914" s="47" t="inlineStr">
        <is>
          <t>월 10GB + 1Mbps</t>
        </is>
      </c>
      <c r="F1914" s="47" t="inlineStr">
        <is>
          <t>SKT</t>
        </is>
      </c>
      <c r="G1914" s="47" t="inlineStr">
        <is>
          <t>LTE</t>
        </is>
      </c>
      <c r="H1914" s="48" t="n">
        <v>11000</v>
      </c>
      <c r="I1914" s="48" t="n">
        <v>7</v>
      </c>
      <c r="J1914" s="48" t="n">
        <v>47300</v>
      </c>
      <c r="K1914" s="47">
        <f t="array" ref="K1914">_xlfn.XLOOKUP(1,(참조!$B$2:$B$15=E1914)*(참조!$D$2:$D$15=C1914)*(참조!$E$2:$E$15=D1914),참조!$C$2:$C$15,"")</f>
        <v/>
      </c>
    </row>
    <row r="1915" hidden="1" s="27">
      <c r="A1915" s="47" t="inlineStr">
        <is>
          <t>에이모바일</t>
        </is>
      </c>
      <c r="B1915" s="47" t="inlineStr">
        <is>
          <t>더 빠른 110GB+</t>
        </is>
      </c>
      <c r="C1915" s="47" t="inlineStr">
        <is>
          <t>무제한</t>
        </is>
      </c>
      <c r="D1915" s="47" t="inlineStr">
        <is>
          <t>무제한</t>
        </is>
      </c>
      <c r="E1915" s="47" t="inlineStr">
        <is>
          <t>월 110GB + 5Mbps</t>
        </is>
      </c>
      <c r="F1915" s="47" t="inlineStr">
        <is>
          <t>KT</t>
        </is>
      </c>
      <c r="G1915" s="47" t="inlineStr">
        <is>
          <t>5G</t>
        </is>
      </c>
      <c r="H1915" s="48" t="n">
        <v>34100</v>
      </c>
      <c r="I1915" s="48" t="n">
        <v>7</v>
      </c>
      <c r="J1915" s="48" t="n">
        <v>49500</v>
      </c>
      <c r="K1915" s="47">
        <f t="array" ref="K1915">_xlfn.XLOOKUP(1,(참조!$B$2:$B$15=E1915)*(참조!$D$2:$D$15=C1915)*(참조!$E$2:$E$15=D1915),참조!$C$2:$C$15,"")</f>
        <v/>
      </c>
    </row>
    <row r="1916" hidden="1" s="27">
      <c r="A1916" s="47" t="inlineStr">
        <is>
          <t>리브모바일</t>
        </is>
      </c>
      <c r="B1916" s="47" t="inlineStr">
        <is>
          <t>LTE 실속 10GB(100분)</t>
        </is>
      </c>
      <c r="C1916" s="47" t="inlineStr">
        <is>
          <t>100분</t>
        </is>
      </c>
      <c r="D1916" s="47" t="inlineStr">
        <is>
          <t>100건</t>
        </is>
      </c>
      <c r="E1916" s="47" t="inlineStr">
        <is>
          <t>월 10GB</t>
        </is>
      </c>
      <c r="F1916" s="47" t="inlineStr">
        <is>
          <t>SKT</t>
        </is>
      </c>
      <c r="G1916" s="47" t="inlineStr">
        <is>
          <t>LTE</t>
        </is>
      </c>
      <c r="H1916" s="48" t="n">
        <v>19800</v>
      </c>
      <c r="I1916" s="48" t="n"/>
      <c r="J1916" s="48" t="n"/>
      <c r="K1916" s="47">
        <f t="array" ref="K1916">_xlfn.XLOOKUP(1,(참조!$B$2:$B$15=E1916)*(참조!$D$2:$D$15=C1916)*(참조!$E$2:$E$15=D1916),참조!$C$2:$C$15,"")</f>
        <v/>
      </c>
    </row>
    <row r="1917" hidden="1" s="27">
      <c r="A1917" s="47" t="inlineStr">
        <is>
          <t>리브모바일</t>
        </is>
      </c>
      <c r="B1917" s="47" t="inlineStr">
        <is>
          <t>5G무제한 200GB+</t>
        </is>
      </c>
      <c r="C1917" s="47" t="inlineStr">
        <is>
          <t>무제한</t>
        </is>
      </c>
      <c r="D1917" s="47" t="inlineStr">
        <is>
          <t>무제한</t>
        </is>
      </c>
      <c r="E1917" s="47" t="inlineStr">
        <is>
          <t>월 200GB + 10Mbps</t>
        </is>
      </c>
      <c r="F1917" s="47" t="inlineStr">
        <is>
          <t>KT</t>
        </is>
      </c>
      <c r="G1917" s="47" t="inlineStr">
        <is>
          <t>5G</t>
        </is>
      </c>
      <c r="H1917" s="48" t="n">
        <v>50500</v>
      </c>
      <c r="I1917" s="48" t="n">
        <v>12</v>
      </c>
      <c r="J1917" s="48" t="n">
        <v>54900</v>
      </c>
      <c r="K1917" s="47">
        <f t="array" ref="K1917">_xlfn.XLOOKUP(1,(참조!$B$2:$B$15=E1917)*(참조!$D$2:$D$15=C1917)*(참조!$E$2:$E$15=D1917),참조!$C$2:$C$15,"")</f>
        <v/>
      </c>
    </row>
    <row r="1918" hidden="1" s="27">
      <c r="A1918" s="47" t="inlineStr">
        <is>
          <t>에이모바일</t>
        </is>
      </c>
      <c r="B1918" s="47" t="inlineStr">
        <is>
          <t>A 올라잇 10GB+ 밀리의서재</t>
        </is>
      </c>
      <c r="C1918" s="47" t="inlineStr">
        <is>
          <t>무제한</t>
        </is>
      </c>
      <c r="D1918" s="47" t="inlineStr">
        <is>
          <t>무제한</t>
        </is>
      </c>
      <c r="E1918" s="47" t="inlineStr">
        <is>
          <t>월 10GB + 1Mbps</t>
        </is>
      </c>
      <c r="F1918" s="47" t="inlineStr">
        <is>
          <t>KT</t>
        </is>
      </c>
      <c r="G1918" s="47" t="inlineStr">
        <is>
          <t>LTE</t>
        </is>
      </c>
      <c r="H1918" s="48" t="n">
        <v>16001</v>
      </c>
      <c r="I1918" s="48" t="n">
        <v>7</v>
      </c>
      <c r="J1918" s="48" t="n">
        <v>23100</v>
      </c>
      <c r="K1918" s="47">
        <f t="array" ref="K1918">_xlfn.XLOOKUP(1,(참조!$B$2:$B$15=E1918)*(참조!$D$2:$D$15=C1918)*(참조!$E$2:$E$15=D1918),참조!$C$2:$C$15,"")</f>
        <v/>
      </c>
    </row>
    <row r="1919" hidden="1" s="27">
      <c r="A1919" s="47" t="inlineStr">
        <is>
          <t>리브모바일</t>
        </is>
      </c>
      <c r="B1919" s="47" t="inlineStr">
        <is>
          <t>LTE 71GB+(CU)</t>
        </is>
      </c>
      <c r="C1919" s="47" t="inlineStr">
        <is>
          <t>무제한</t>
        </is>
      </c>
      <c r="D1919" s="47" t="inlineStr">
        <is>
          <t>무제한</t>
        </is>
      </c>
      <c r="E1919" s="47" t="inlineStr">
        <is>
          <t>월 11GB + 매일 2GB + 3Mbps</t>
        </is>
      </c>
      <c r="F1919" s="47" t="inlineStr">
        <is>
          <t>KT</t>
        </is>
      </c>
      <c r="G1919" s="47" t="inlineStr">
        <is>
          <t>LTE</t>
        </is>
      </c>
      <c r="H1919" s="48" t="n">
        <v>39900</v>
      </c>
      <c r="I1919" s="48" t="n"/>
      <c r="J1919" s="48" t="n"/>
      <c r="K1919" s="47">
        <f t="array" ref="K1919">_xlfn.XLOOKUP(1,(참조!$B$2:$B$15=E1919)*(참조!$D$2:$D$15=C1919)*(참조!$E$2:$E$15=D1919),참조!$C$2:$C$15,"")</f>
        <v/>
      </c>
    </row>
    <row r="1920" hidden="1" s="27">
      <c r="A1920" s="47" t="inlineStr">
        <is>
          <t>리브모바일</t>
        </is>
      </c>
      <c r="B1920" s="47" t="inlineStr">
        <is>
          <t>홈쇼핑 스페셜 71GB+</t>
        </is>
      </c>
      <c r="C1920" s="47" t="inlineStr">
        <is>
          <t>무제한</t>
        </is>
      </c>
      <c r="D1920" s="47" t="inlineStr">
        <is>
          <t>무제한</t>
        </is>
      </c>
      <c r="E1920" s="47" t="inlineStr">
        <is>
          <t>월 11GB + 매일 2GB + 3Mbps</t>
        </is>
      </c>
      <c r="F1920" s="47" t="inlineStr">
        <is>
          <t>LG U+</t>
        </is>
      </c>
      <c r="G1920" s="47" t="inlineStr">
        <is>
          <t>LTE</t>
        </is>
      </c>
      <c r="H1920" s="48" t="n">
        <v>39900</v>
      </c>
      <c r="I1920" s="48" t="n"/>
      <c r="J1920" s="48" t="n"/>
      <c r="K1920" s="47">
        <f t="array" ref="K1920">_xlfn.XLOOKUP(1,(참조!$B$2:$B$15=E1920)*(참조!$D$2:$D$15=C1920)*(참조!$E$2:$E$15=D1920),참조!$C$2:$C$15,"")</f>
        <v/>
      </c>
    </row>
    <row r="1921" hidden="1" s="27">
      <c r="A1921" s="47" t="inlineStr">
        <is>
          <t>아이즈모바일</t>
        </is>
      </c>
      <c r="B1921" s="47" t="inlineStr">
        <is>
          <t>[S]스페셜100GB+</t>
        </is>
      </c>
      <c r="C1921" s="47" t="inlineStr">
        <is>
          <t>무제한</t>
        </is>
      </c>
      <c r="D1921" s="47" t="inlineStr">
        <is>
          <t>무제한</t>
        </is>
      </c>
      <c r="E1921" s="47" t="inlineStr">
        <is>
          <t>월 100GB + 5Mbps</t>
        </is>
      </c>
      <c r="F1921" s="47" t="inlineStr">
        <is>
          <t>SKT</t>
        </is>
      </c>
      <c r="G1921" s="47" t="inlineStr">
        <is>
          <t>LTE</t>
        </is>
      </c>
      <c r="H1921" s="48" t="n">
        <v>53000</v>
      </c>
      <c r="I1921" s="48" t="n"/>
      <c r="J1921" s="48" t="n"/>
      <c r="K1921" s="47">
        <f t="array" ref="K1921">_xlfn.XLOOKUP(1,(참조!$B$2:$B$15=E1921)*(참조!$D$2:$D$15=C1921)*(참조!$E$2:$E$15=D1921),참조!$C$2:$C$15,"")</f>
        <v/>
      </c>
    </row>
    <row r="1922" hidden="1" s="27">
      <c r="A1922" s="47" t="inlineStr">
        <is>
          <t>리브모바일</t>
        </is>
      </c>
      <c r="B1922" s="47" t="inlineStr">
        <is>
          <t>LTE 71GB+(초알뜰)</t>
        </is>
      </c>
      <c r="C1922" s="47" t="inlineStr">
        <is>
          <t>무제한</t>
        </is>
      </c>
      <c r="D1922" s="47" t="inlineStr">
        <is>
          <t>무제한</t>
        </is>
      </c>
      <c r="E1922" s="47" t="inlineStr">
        <is>
          <t>월 11GB + 매일 2GB + 3Mbps</t>
        </is>
      </c>
      <c r="F1922" s="47" t="inlineStr">
        <is>
          <t>LG U+</t>
        </is>
      </c>
      <c r="G1922" s="47" t="inlineStr">
        <is>
          <t>LTE</t>
        </is>
      </c>
      <c r="H1922" s="48" t="n">
        <v>39900</v>
      </c>
      <c r="I1922" s="48" t="n"/>
      <c r="J1922" s="48" t="n"/>
      <c r="K1922" s="47">
        <f t="array" ref="K1922">_xlfn.XLOOKUP(1,(참조!$B$2:$B$15=E1922)*(참조!$D$2:$D$15=C1922)*(참조!$E$2:$E$15=D1922),참조!$C$2:$C$15,"")</f>
        <v/>
      </c>
    </row>
    <row r="1923" hidden="1" s="27">
      <c r="A1923" s="47" t="inlineStr">
        <is>
          <t>아이즈모바일</t>
        </is>
      </c>
      <c r="B1923" s="47" t="inlineStr">
        <is>
          <t>[L]벤티(300분/8GB)</t>
        </is>
      </c>
      <c r="C1923" s="47" t="inlineStr">
        <is>
          <t>300분</t>
        </is>
      </c>
      <c r="D1923" s="47" t="inlineStr">
        <is>
          <t>100건</t>
        </is>
      </c>
      <c r="E1923" s="47" t="inlineStr">
        <is>
          <t>월 8GB</t>
        </is>
      </c>
      <c r="F1923" s="47" t="inlineStr">
        <is>
          <t>LG U+</t>
        </is>
      </c>
      <c r="G1923" s="47" t="inlineStr">
        <is>
          <t>LTE</t>
        </is>
      </c>
      <c r="H1923" s="48" t="n">
        <v>20300</v>
      </c>
      <c r="I1923" s="48" t="n"/>
      <c r="J1923" s="48" t="n"/>
      <c r="K1923" s="47">
        <f t="array" ref="K1923">_xlfn.XLOOKUP(1,(참조!$B$2:$B$15=E1923)*(참조!$D$2:$D$15=C1923)*(참조!$E$2:$E$15=D1923),참조!$C$2:$C$15,"")</f>
        <v/>
      </c>
    </row>
    <row r="1924" hidden="1" s="27">
      <c r="A1924" s="47" t="inlineStr">
        <is>
          <t>리브모바일</t>
        </is>
      </c>
      <c r="B1924" s="47" t="inlineStr">
        <is>
          <t>5G 무제한 15GB+</t>
        </is>
      </c>
      <c r="C1924" s="47" t="inlineStr">
        <is>
          <t>무제한</t>
        </is>
      </c>
      <c r="D1924" s="47" t="inlineStr">
        <is>
          <t>무제한</t>
        </is>
      </c>
      <c r="E1924" s="47" t="inlineStr">
        <is>
          <t>월 15GB + 1Mbps</t>
        </is>
      </c>
      <c r="F1924" s="47" t="inlineStr">
        <is>
          <t>SKT</t>
        </is>
      </c>
      <c r="G1924" s="47" t="inlineStr">
        <is>
          <t>5G</t>
        </is>
      </c>
      <c r="H1924" s="48" t="n">
        <v>39600</v>
      </c>
      <c r="I1924" s="48" t="n"/>
      <c r="J1924" s="48" t="n"/>
      <c r="K1924" s="47">
        <f t="array" ref="K1924">_xlfn.XLOOKUP(1,(참조!$B$2:$B$15=E1924)*(참조!$D$2:$D$15=C1924)*(참조!$E$2:$E$15=D1924),참조!$C$2:$C$15,"")</f>
        <v/>
      </c>
    </row>
    <row r="1925" hidden="1" s="27">
      <c r="A1925" s="47" t="inlineStr">
        <is>
          <t>리브모바일</t>
        </is>
      </c>
      <c r="B1925" s="47" t="inlineStr">
        <is>
          <t>LTE 무제한 100GB+</t>
        </is>
      </c>
      <c r="C1925" s="47" t="inlineStr">
        <is>
          <t>무제한</t>
        </is>
      </c>
      <c r="D1925" s="47" t="inlineStr">
        <is>
          <t>무제한</t>
        </is>
      </c>
      <c r="E1925" s="47" t="inlineStr">
        <is>
          <t>월 100GB + 5Mbps</t>
        </is>
      </c>
      <c r="F1925" s="47" t="inlineStr">
        <is>
          <t>SKT</t>
        </is>
      </c>
      <c r="G1925" s="47" t="inlineStr">
        <is>
          <t>LTE</t>
        </is>
      </c>
      <c r="H1925" s="48" t="n">
        <v>47300</v>
      </c>
      <c r="I1925" s="48" t="n"/>
      <c r="J1925" s="48" t="n"/>
      <c r="K1925" s="47">
        <f t="array" ref="K1925">_xlfn.XLOOKUP(1,(참조!$B$2:$B$15=E1925)*(참조!$D$2:$D$15=C1925)*(참조!$E$2:$E$15=D1925),참조!$C$2:$C$15,"")</f>
        <v/>
      </c>
    </row>
    <row r="1926" hidden="1" s="27">
      <c r="A1926" s="47" t="inlineStr">
        <is>
          <t>에이모바일</t>
        </is>
      </c>
      <c r="B1926" s="47" t="inlineStr">
        <is>
          <t>A 5G 스페셜 레귤러</t>
        </is>
      </c>
      <c r="C1926" s="47" t="inlineStr">
        <is>
          <t>무제한</t>
        </is>
      </c>
      <c r="D1926" s="47" t="inlineStr">
        <is>
          <t>무제한</t>
        </is>
      </c>
      <c r="E1926" s="47" t="inlineStr">
        <is>
          <t>월 50GB + 1Mbps</t>
        </is>
      </c>
      <c r="F1926" s="47" t="inlineStr">
        <is>
          <t>LG U+</t>
        </is>
      </c>
      <c r="G1926" s="47" t="inlineStr">
        <is>
          <t>5G</t>
        </is>
      </c>
      <c r="H1926" s="48" t="n">
        <v>27800</v>
      </c>
      <c r="I1926" s="48" t="n">
        <v>7</v>
      </c>
      <c r="J1926" s="48" t="n">
        <v>43200</v>
      </c>
      <c r="K1926" s="47">
        <f t="array" ref="K1926">_xlfn.XLOOKUP(1,(참조!$B$2:$B$15=E1926)*(참조!$D$2:$D$15=C1926)*(참조!$E$2:$E$15=D1926),참조!$C$2:$C$15,"")</f>
        <v/>
      </c>
    </row>
    <row r="1927" hidden="1" s="27">
      <c r="A1927" s="47" t="inlineStr">
        <is>
          <t>에이모바일</t>
        </is>
      </c>
      <c r="B1927" s="47" t="inlineStr">
        <is>
          <t>A 갓성비 6GB/300분 9</t>
        </is>
      </c>
      <c r="C1927" s="47" t="inlineStr">
        <is>
          <t>300분</t>
        </is>
      </c>
      <c r="D1927" s="47" t="inlineStr">
        <is>
          <t>100건</t>
        </is>
      </c>
      <c r="E1927" s="47" t="inlineStr">
        <is>
          <t>월 6GB</t>
        </is>
      </c>
      <c r="F1927" s="47" t="inlineStr">
        <is>
          <t>LG U+</t>
        </is>
      </c>
      <c r="G1927" s="47" t="inlineStr">
        <is>
          <t>LTE</t>
        </is>
      </c>
      <c r="H1927" s="48" t="n">
        <v>1100</v>
      </c>
      <c r="I1927" s="48" t="n">
        <v>9</v>
      </c>
      <c r="J1927" s="48" t="n">
        <v>11000</v>
      </c>
      <c r="K1927" s="47">
        <f t="array" ref="K1927">_xlfn.XLOOKUP(1,(참조!$B$2:$B$15=E1927)*(참조!$D$2:$D$15=C1927)*(참조!$E$2:$E$15=D1927),참조!$C$2:$C$15,"")</f>
        <v/>
      </c>
    </row>
    <row r="1928" hidden="1" s="27">
      <c r="A1928" s="47" t="inlineStr">
        <is>
          <t>아이즈모바일</t>
        </is>
      </c>
      <c r="B1928" s="47" t="inlineStr">
        <is>
          <t>[K]다이소 10GB+</t>
        </is>
      </c>
      <c r="C1928" s="47" t="inlineStr">
        <is>
          <t>무제한</t>
        </is>
      </c>
      <c r="D1928" s="47" t="inlineStr">
        <is>
          <t>무제한</t>
        </is>
      </c>
      <c r="E1928" s="47" t="inlineStr">
        <is>
          <t>월 10GB + 1Mbps</t>
        </is>
      </c>
      <c r="F1928" s="47" t="inlineStr">
        <is>
          <t>KT</t>
        </is>
      </c>
      <c r="G1928" s="47" t="inlineStr">
        <is>
          <t>LTE</t>
        </is>
      </c>
      <c r="H1928" s="48" t="n">
        <v>28600</v>
      </c>
      <c r="I1928" s="48" t="n"/>
      <c r="J1928" s="48" t="n"/>
      <c r="K1928" s="47">
        <f t="array" ref="K1928">_xlfn.XLOOKUP(1,(참조!$B$2:$B$15=E1928)*(참조!$D$2:$D$15=C1928)*(참조!$E$2:$E$15=D1928),참조!$C$2:$C$15,"")</f>
        <v/>
      </c>
    </row>
    <row r="1929" hidden="1" s="27">
      <c r="A1929" s="47" t="inlineStr">
        <is>
          <t>아이즈모바일</t>
        </is>
      </c>
      <c r="B1929" s="47" t="inlineStr">
        <is>
          <t>[K]올리브영 10GB+</t>
        </is>
      </c>
      <c r="C1929" s="47" t="inlineStr">
        <is>
          <t>무제한</t>
        </is>
      </c>
      <c r="D1929" s="47" t="inlineStr">
        <is>
          <t>무제한</t>
        </is>
      </c>
      <c r="E1929" s="47" t="inlineStr">
        <is>
          <t>월 10GB + 1Mbps</t>
        </is>
      </c>
      <c r="F1929" s="47" t="inlineStr">
        <is>
          <t>KT</t>
        </is>
      </c>
      <c r="G1929" s="47" t="inlineStr">
        <is>
          <t>LTE</t>
        </is>
      </c>
      <c r="H1929" s="48" t="n">
        <v>28600</v>
      </c>
      <c r="I1929" s="48" t="n"/>
      <c r="J1929" s="48" t="n"/>
      <c r="K1929" s="47">
        <f t="array" ref="K1929">_xlfn.XLOOKUP(1,(참조!$B$2:$B$15=E1929)*(참조!$D$2:$D$15=C1929)*(참조!$E$2:$E$15=D1929),참조!$C$2:$C$15,"")</f>
        <v/>
      </c>
    </row>
    <row r="1930" hidden="1" s="27">
      <c r="A1930" s="47" t="inlineStr">
        <is>
          <t>리브모바일</t>
        </is>
      </c>
      <c r="B1930" s="47" t="inlineStr">
        <is>
          <t>5G 든든 8GB</t>
        </is>
      </c>
      <c r="C1930" s="47" t="inlineStr">
        <is>
          <t>무제한</t>
        </is>
      </c>
      <c r="D1930" s="47" t="inlineStr">
        <is>
          <t>무제한</t>
        </is>
      </c>
      <c r="E1930" s="47" t="inlineStr">
        <is>
          <t>월 8GB</t>
        </is>
      </c>
      <c r="F1930" s="47" t="inlineStr">
        <is>
          <t>LG U+</t>
        </is>
      </c>
      <c r="G1930" s="47" t="inlineStr">
        <is>
          <t>5G</t>
        </is>
      </c>
      <c r="H1930" s="48" t="n">
        <v>20500</v>
      </c>
      <c r="I1930" s="48" t="n">
        <v>12</v>
      </c>
      <c r="J1930" s="48" t="n">
        <v>24900</v>
      </c>
      <c r="K1930" s="47">
        <f t="array" ref="K1930">_xlfn.XLOOKUP(1,(참조!$B$2:$B$15=E1930)*(참조!$D$2:$D$15=C1930)*(참조!$E$2:$E$15=D1930),참조!$C$2:$C$15,"")</f>
        <v/>
      </c>
    </row>
    <row r="1931" hidden="1" s="27">
      <c r="A1931" s="47" t="inlineStr">
        <is>
          <t>리브모바일</t>
        </is>
      </c>
      <c r="B1931" s="47" t="inlineStr">
        <is>
          <t>5G 95GB+(혜택형)</t>
        </is>
      </c>
      <c r="C1931" s="47" t="inlineStr">
        <is>
          <t>무제한</t>
        </is>
      </c>
      <c r="D1931" s="47" t="inlineStr">
        <is>
          <t>무제한</t>
        </is>
      </c>
      <c r="E1931" s="47" t="inlineStr">
        <is>
          <t>월 95GB + 3Mbps</t>
        </is>
      </c>
      <c r="F1931" s="47" t="inlineStr">
        <is>
          <t>LG U+</t>
        </is>
      </c>
      <c r="G1931" s="47" t="inlineStr">
        <is>
          <t>5G</t>
        </is>
      </c>
      <c r="H1931" s="48" t="n">
        <v>40900</v>
      </c>
      <c r="I1931" s="48" t="n"/>
      <c r="J1931" s="48" t="n"/>
      <c r="K1931" s="47">
        <f t="array" ref="K1931">_xlfn.XLOOKUP(1,(참조!$B$2:$B$15=E1931)*(참조!$D$2:$D$15=C1931)*(참조!$E$2:$E$15=D1931),참조!$C$2:$C$15,"")</f>
        <v/>
      </c>
    </row>
    <row r="1932" hidden="1" s="27">
      <c r="A1932" s="47" t="inlineStr">
        <is>
          <t>리브모바일</t>
        </is>
      </c>
      <c r="B1932" s="47" t="inlineStr">
        <is>
          <t>LTE 무제한 7GB+</t>
        </is>
      </c>
      <c r="C1932" s="47" t="inlineStr">
        <is>
          <t>무제한</t>
        </is>
      </c>
      <c r="D1932" s="47" t="inlineStr">
        <is>
          <t>무제한</t>
        </is>
      </c>
      <c r="E1932" s="47" t="inlineStr">
        <is>
          <t>월 7GB + 1Mbps</t>
        </is>
      </c>
      <c r="F1932" s="47" t="inlineStr">
        <is>
          <t>SKT</t>
        </is>
      </c>
      <c r="G1932" s="47" t="inlineStr">
        <is>
          <t>LTE</t>
        </is>
      </c>
      <c r="H1932" s="48" t="n">
        <v>22000</v>
      </c>
      <c r="I1932" s="48" t="n"/>
      <c r="J1932" s="48" t="n"/>
      <c r="K1932" s="47">
        <f t="array" ref="K1932">_xlfn.XLOOKUP(1,(참조!$B$2:$B$15=E1932)*(참조!$D$2:$D$15=C1932)*(참조!$E$2:$E$15=D1932),참조!$C$2:$C$15,"")</f>
        <v/>
      </c>
    </row>
    <row r="1933" hidden="1" s="27">
      <c r="A1933" s="47" t="inlineStr">
        <is>
          <t>리브모바일</t>
        </is>
      </c>
      <c r="B1933" s="47" t="inlineStr">
        <is>
          <t>5G 95GB+(평생)</t>
        </is>
      </c>
      <c r="C1933" s="47" t="inlineStr">
        <is>
          <t>무제한</t>
        </is>
      </c>
      <c r="D1933" s="47" t="inlineStr">
        <is>
          <t>무제한</t>
        </is>
      </c>
      <c r="E1933" s="47" t="inlineStr">
        <is>
          <t>월 95GB + 3Mbps</t>
        </is>
      </c>
      <c r="F1933" s="47" t="inlineStr">
        <is>
          <t>LG U+</t>
        </is>
      </c>
      <c r="G1933" s="47" t="inlineStr">
        <is>
          <t>5G</t>
        </is>
      </c>
      <c r="H1933" s="48" t="n">
        <v>40900</v>
      </c>
      <c r="I1933" s="48" t="n"/>
      <c r="J1933" s="48" t="n"/>
      <c r="K1933" s="47">
        <f t="array" ref="K1933">_xlfn.XLOOKUP(1,(참조!$B$2:$B$15=E1933)*(참조!$D$2:$D$15=C1933)*(참조!$E$2:$E$15=D1933),참조!$C$2:$C$15,"")</f>
        <v/>
      </c>
    </row>
    <row r="1934" hidden="1" s="27">
      <c r="A1934" s="47" t="inlineStr">
        <is>
          <t>에이모바일</t>
        </is>
      </c>
      <c r="B1934" s="47" t="inlineStr">
        <is>
          <t>5G 슬림</t>
        </is>
      </c>
      <c r="C1934" s="47" t="inlineStr">
        <is>
          <t>무제한</t>
        </is>
      </c>
      <c r="D1934" s="47" t="inlineStr">
        <is>
          <t>무제한</t>
        </is>
      </c>
      <c r="E1934" s="47" t="inlineStr">
        <is>
          <t>월 10GB + 1Mbps</t>
        </is>
      </c>
      <c r="F1934" s="47" t="inlineStr">
        <is>
          <t>KT</t>
        </is>
      </c>
      <c r="G1934" s="47" t="inlineStr">
        <is>
          <t>5G</t>
        </is>
      </c>
      <c r="H1934" s="48" t="n">
        <v>24200</v>
      </c>
      <c r="I1934" s="48" t="n">
        <v>7</v>
      </c>
      <c r="J1934" s="48" t="n">
        <v>39600</v>
      </c>
      <c r="K1934" s="47">
        <f t="array" ref="K1934">_xlfn.XLOOKUP(1,(참조!$B$2:$B$15=E1934)*(참조!$D$2:$D$15=C1934)*(참조!$E$2:$E$15=D1934),참조!$C$2:$C$15,"")</f>
        <v/>
      </c>
    </row>
    <row r="1935">
      <c r="A1935" s="47" t="inlineStr">
        <is>
          <t>리브모바일</t>
        </is>
      </c>
      <c r="B1935" s="47" t="inlineStr">
        <is>
          <t>LTE 무제한 11GB+(SKT망)</t>
        </is>
      </c>
      <c r="C1935" s="47" t="inlineStr">
        <is>
          <t>무제한</t>
        </is>
      </c>
      <c r="D1935" s="47" t="inlineStr">
        <is>
          <t>무제한</t>
        </is>
      </c>
      <c r="E1935" s="47" t="inlineStr">
        <is>
          <t>월 11GB + 매일 2GB + 3Mbps</t>
        </is>
      </c>
      <c r="F1935" s="47" t="inlineStr">
        <is>
          <t>SKT</t>
        </is>
      </c>
      <c r="G1935" s="47" t="inlineStr">
        <is>
          <t>LTE</t>
        </is>
      </c>
      <c r="H1935" s="48" t="n">
        <v>38500</v>
      </c>
      <c r="I1935" s="48" t="n"/>
      <c r="J1935" s="48" t="n"/>
      <c r="K1935" s="47">
        <f t="array" ref="K1935">_xlfn.XLOOKUP(1,(참조!$B$2:$B$15=E1935)*(참조!$D$2:$D$15=C1935)*(참조!$E$2:$E$15=D1935),참조!$C$2:$C$15,"")</f>
        <v/>
      </c>
    </row>
    <row r="1936" hidden="1" s="27">
      <c r="A1936" s="47" t="inlineStr">
        <is>
          <t>리브모바일</t>
        </is>
      </c>
      <c r="B1936" s="47" t="inlineStr">
        <is>
          <t>5G 든든 6GB</t>
        </is>
      </c>
      <c r="C1936" s="47" t="inlineStr">
        <is>
          <t>무제한</t>
        </is>
      </c>
      <c r="D1936" s="47" t="inlineStr">
        <is>
          <t>무제한</t>
        </is>
      </c>
      <c r="E1936" s="47" t="inlineStr">
        <is>
          <t>월 6GB</t>
        </is>
      </c>
      <c r="F1936" s="47" t="inlineStr">
        <is>
          <t>LG U+</t>
        </is>
      </c>
      <c r="G1936" s="47" t="inlineStr">
        <is>
          <t>5G</t>
        </is>
      </c>
      <c r="H1936" s="48" t="n">
        <v>15500</v>
      </c>
      <c r="I1936" s="48" t="n">
        <v>12</v>
      </c>
      <c r="J1936" s="48" t="n">
        <v>19900</v>
      </c>
      <c r="K1936" s="47">
        <f t="array" ref="K1936">_xlfn.XLOOKUP(1,(참조!$B$2:$B$15=E1936)*(참조!$D$2:$D$15=C1936)*(참조!$E$2:$E$15=D1936),참조!$C$2:$C$15,"")</f>
        <v/>
      </c>
    </row>
    <row r="1937" hidden="1" s="27">
      <c r="A1937" s="47" t="inlineStr">
        <is>
          <t>모빙</t>
        </is>
      </c>
      <c r="B1937" s="47" t="inlineStr">
        <is>
          <t>5G U모빙 200GB+</t>
        </is>
      </c>
      <c r="C1937" s="47" t="inlineStr">
        <is>
          <t>무제한</t>
        </is>
      </c>
      <c r="D1937" s="47" t="inlineStr">
        <is>
          <t>무제한</t>
        </is>
      </c>
      <c r="E1937" s="47" t="inlineStr">
        <is>
          <t>월 200GB + 5Mbps</t>
        </is>
      </c>
      <c r="F1937" s="47" t="inlineStr">
        <is>
          <t>SKT</t>
        </is>
      </c>
      <c r="G1937" s="47" t="inlineStr">
        <is>
          <t>5G</t>
        </is>
      </c>
      <c r="H1937" s="48" t="n">
        <v>47700</v>
      </c>
      <c r="I1937" s="48" t="n">
        <v>24</v>
      </c>
      <c r="J1937" s="48" t="n">
        <v>60100</v>
      </c>
      <c r="K1937" s="47">
        <f t="array" ref="K1937">_xlfn.XLOOKUP(1,(참조!$B$2:$B$15=E1937)*(참조!$D$2:$D$15=C1937)*(참조!$E$2:$E$15=D1937),참조!$C$2:$C$15,"")</f>
        <v/>
      </c>
    </row>
    <row r="1938" hidden="1" s="27">
      <c r="A1938" s="47" t="inlineStr">
        <is>
          <t>리브모바일</t>
        </is>
      </c>
      <c r="B1938" s="47" t="inlineStr">
        <is>
          <t>5G 95GB+(라이더)</t>
        </is>
      </c>
      <c r="C1938" s="47" t="inlineStr">
        <is>
          <t>무제한</t>
        </is>
      </c>
      <c r="D1938" s="47" t="inlineStr">
        <is>
          <t>무제한</t>
        </is>
      </c>
      <c r="E1938" s="47" t="inlineStr">
        <is>
          <t>월 95GB + 3Mbps</t>
        </is>
      </c>
      <c r="F1938" s="47" t="inlineStr">
        <is>
          <t>LG U+</t>
        </is>
      </c>
      <c r="G1938" s="47" t="inlineStr">
        <is>
          <t>5G</t>
        </is>
      </c>
      <c r="H1938" s="48" t="n">
        <v>40900</v>
      </c>
      <c r="I1938" s="48" t="n"/>
      <c r="J1938" s="48" t="n"/>
      <c r="K1938" s="47">
        <f t="array" ref="K1938">_xlfn.XLOOKUP(1,(참조!$B$2:$B$15=E1938)*(참조!$D$2:$D$15=C1938)*(참조!$E$2:$E$15=D1938),참조!$C$2:$C$15,"")</f>
        <v/>
      </c>
    </row>
    <row r="1939" hidden="1" s="27">
      <c r="A1939" s="47" t="inlineStr">
        <is>
          <t>이야기모바일</t>
        </is>
      </c>
      <c r="B1939" s="47" t="inlineStr">
        <is>
          <t>5G 이야기 무한 99GB</t>
        </is>
      </c>
      <c r="C1939" s="47" t="inlineStr">
        <is>
          <t>무제한</t>
        </is>
      </c>
      <c r="D1939" s="47" t="inlineStr">
        <is>
          <t>무제한</t>
        </is>
      </c>
      <c r="E1939" s="47" t="inlineStr">
        <is>
          <t>월 99GB + 1Mbps</t>
        </is>
      </c>
      <c r="F1939" s="47" t="inlineStr">
        <is>
          <t>SKT</t>
        </is>
      </c>
      <c r="G1939" s="47" t="inlineStr">
        <is>
          <t>5G</t>
        </is>
      </c>
      <c r="H1939" s="48" t="n">
        <v>41800</v>
      </c>
      <c r="I1939" s="48" t="n">
        <v>7</v>
      </c>
      <c r="J1939" s="48" t="n">
        <v>47300</v>
      </c>
      <c r="K1939" s="47">
        <f t="array" ref="K1939">_xlfn.XLOOKUP(1,(참조!$B$2:$B$15=E1939)*(참조!$D$2:$D$15=C1939)*(참조!$E$2:$E$15=D1939),참조!$C$2:$C$15,"")</f>
        <v/>
      </c>
    </row>
    <row r="1940" hidden="1" s="27">
      <c r="A1940" s="47" t="inlineStr">
        <is>
          <t>리브모바일</t>
        </is>
      </c>
      <c r="B1940" s="47" t="inlineStr">
        <is>
          <t>5G 무제한 31GB+(LGU+망)</t>
        </is>
      </c>
      <c r="C1940" s="47" t="inlineStr">
        <is>
          <t>무제한</t>
        </is>
      </c>
      <c r="D1940" s="47" t="inlineStr">
        <is>
          <t>무제한</t>
        </is>
      </c>
      <c r="E1940" s="47" t="inlineStr">
        <is>
          <t>월 31GB + 1Mbps</t>
        </is>
      </c>
      <c r="F1940" s="47" t="inlineStr">
        <is>
          <t>LG U+</t>
        </is>
      </c>
      <c r="G1940" s="47" t="inlineStr">
        <is>
          <t>5G</t>
        </is>
      </c>
      <c r="H1940" s="48" t="n">
        <v>36500</v>
      </c>
      <c r="I1940" s="48" t="n">
        <v>12</v>
      </c>
      <c r="J1940" s="48" t="n">
        <v>40900</v>
      </c>
      <c r="K1940" s="47">
        <f t="array" ref="K1940">_xlfn.XLOOKUP(1,(참조!$B$2:$B$15=E1940)*(참조!$D$2:$D$15=C1940)*(참조!$E$2:$E$15=D1940),참조!$C$2:$C$15,"")</f>
        <v/>
      </c>
    </row>
    <row r="1941" hidden="1" s="27">
      <c r="A1941" s="47" t="inlineStr">
        <is>
          <t>모빙</t>
        </is>
      </c>
      <c r="B1941" s="47" t="inlineStr">
        <is>
          <t>5G 모빙 데이터 24GB+</t>
        </is>
      </c>
      <c r="C1941" s="47" t="inlineStr">
        <is>
          <t>무제한</t>
        </is>
      </c>
      <c r="D1941" s="47" t="inlineStr">
        <is>
          <t>무제한</t>
        </is>
      </c>
      <c r="E1941" s="47" t="inlineStr">
        <is>
          <t>월 24GB + 1Mbps</t>
        </is>
      </c>
      <c r="F1941" s="47" t="inlineStr">
        <is>
          <t>SKT</t>
        </is>
      </c>
      <c r="G1941" s="47" t="inlineStr">
        <is>
          <t>5G</t>
        </is>
      </c>
      <c r="H1941" s="48" t="n">
        <v>36600</v>
      </c>
      <c r="I1941" s="48" t="n">
        <v>24</v>
      </c>
      <c r="J1941" s="48" t="n">
        <v>49500</v>
      </c>
      <c r="K1941" s="47">
        <f t="array" ref="K1941">_xlfn.XLOOKUP(1,(참조!$B$2:$B$15=E1941)*(참조!$D$2:$D$15=C1941)*(참조!$E$2:$E$15=D1941),참조!$C$2:$C$15,"")</f>
        <v/>
      </c>
    </row>
    <row r="1942" hidden="1" s="27">
      <c r="A1942" s="47" t="inlineStr">
        <is>
          <t>리브모바일</t>
        </is>
      </c>
      <c r="B1942" s="47" t="inlineStr">
        <is>
          <t>LTE 7GB+(CU)</t>
        </is>
      </c>
      <c r="C1942" s="47" t="inlineStr">
        <is>
          <t>무제한</t>
        </is>
      </c>
      <c r="D1942" s="47" t="inlineStr">
        <is>
          <t>무제한</t>
        </is>
      </c>
      <c r="E1942" s="47" t="inlineStr">
        <is>
          <t>월 7GB + 1Mbps</t>
        </is>
      </c>
      <c r="F1942" s="47" t="inlineStr">
        <is>
          <t>KT</t>
        </is>
      </c>
      <c r="G1942" s="47" t="inlineStr">
        <is>
          <t>LTE</t>
        </is>
      </c>
      <c r="H1942" s="48" t="n">
        <v>22900</v>
      </c>
      <c r="I1942" s="48" t="n"/>
      <c r="J1942" s="48" t="n"/>
      <c r="K1942" s="47">
        <f t="array" ref="K1942">_xlfn.XLOOKUP(1,(참조!$B$2:$B$15=E1942)*(참조!$D$2:$D$15=C1942)*(참조!$E$2:$E$15=D1942),참조!$C$2:$C$15,"")</f>
        <v/>
      </c>
    </row>
    <row r="1943" hidden="1" s="27">
      <c r="A1943" s="47" t="inlineStr">
        <is>
          <t>모빙</t>
        </is>
      </c>
      <c r="B1943" s="47" t="inlineStr">
        <is>
          <t>쏙쏙 청소년 300분 1GB+</t>
        </is>
      </c>
      <c r="C1943" s="47" t="inlineStr">
        <is>
          <t>300분</t>
        </is>
      </c>
      <c r="D1943" s="47" t="inlineStr">
        <is>
          <t>300건</t>
        </is>
      </c>
      <c r="E1943" s="47" t="inlineStr">
        <is>
          <t>월 1GB + 1Mbps</t>
        </is>
      </c>
      <c r="F1943" s="47" t="inlineStr">
        <is>
          <t>KT</t>
        </is>
      </c>
      <c r="G1943" s="47" t="inlineStr">
        <is>
          <t>LTE</t>
        </is>
      </c>
      <c r="H1943" s="48" t="n">
        <v>18700</v>
      </c>
      <c r="I1943" s="48" t="n"/>
      <c r="J1943" s="48" t="n"/>
      <c r="K1943" s="47">
        <f t="array" ref="K1943">_xlfn.XLOOKUP(1,(참조!$B$2:$B$15=E1943)*(참조!$D$2:$D$15=C1943)*(참조!$E$2:$E$15=D1943),참조!$C$2:$C$15,"")</f>
        <v/>
      </c>
    </row>
    <row r="1944" hidden="1" s="27">
      <c r="A1944" s="47" t="inlineStr">
        <is>
          <t>아이즈모바일</t>
        </is>
      </c>
      <c r="B1944" s="47" t="inlineStr">
        <is>
          <t>세이브머니유심(250분/2.5GB+)</t>
        </is>
      </c>
      <c r="C1944" s="47" t="inlineStr">
        <is>
          <t>250분</t>
        </is>
      </c>
      <c r="D1944" s="47" t="inlineStr">
        <is>
          <t>250건</t>
        </is>
      </c>
      <c r="E1944" s="47" t="inlineStr">
        <is>
          <t>월 2.5GB + 1Mbps</t>
        </is>
      </c>
      <c r="F1944" s="47" t="inlineStr">
        <is>
          <t>LG U+</t>
        </is>
      </c>
      <c r="G1944" s="47" t="inlineStr">
        <is>
          <t>LTE</t>
        </is>
      </c>
      <c r="H1944" s="48" t="n">
        <v>12100</v>
      </c>
      <c r="I1944" s="48" t="n"/>
      <c r="J1944" s="48" t="n"/>
      <c r="K1944" s="47">
        <f t="array" ref="K1944">_xlfn.XLOOKUP(1,(참조!$B$2:$B$15=E1944)*(참조!$D$2:$D$15=C1944)*(참조!$E$2:$E$15=D1944),참조!$C$2:$C$15,"")</f>
        <v/>
      </c>
    </row>
    <row r="1945" hidden="1" s="27">
      <c r="A1945" s="47" t="inlineStr">
        <is>
          <t>리브모바일</t>
        </is>
      </c>
      <c r="B1945" s="47" t="inlineStr">
        <is>
          <t>LTE 7GB+(밀리의서재)</t>
        </is>
      </c>
      <c r="C1945" s="47" t="inlineStr">
        <is>
          <t>무제한</t>
        </is>
      </c>
      <c r="D1945" s="47" t="inlineStr">
        <is>
          <t>무제한</t>
        </is>
      </c>
      <c r="E1945" s="47" t="inlineStr">
        <is>
          <t>월 7GB + 1Mbps</t>
        </is>
      </c>
      <c r="F1945" s="47" t="inlineStr">
        <is>
          <t>KT</t>
        </is>
      </c>
      <c r="G1945" s="47" t="inlineStr">
        <is>
          <t>LTE</t>
        </is>
      </c>
      <c r="H1945" s="48" t="n">
        <v>22900</v>
      </c>
      <c r="I1945" s="48" t="n"/>
      <c r="J1945" s="48" t="n"/>
      <c r="K1945" s="47">
        <f t="array" ref="K1945">_xlfn.XLOOKUP(1,(참조!$B$2:$B$15=E1945)*(참조!$D$2:$D$15=C1945)*(참조!$E$2:$E$15=D1945),참조!$C$2:$C$15,"")</f>
        <v/>
      </c>
    </row>
    <row r="1946" hidden="1" s="27">
      <c r="A1946" s="47" t="inlineStr">
        <is>
          <t>인스모바일</t>
        </is>
      </c>
      <c r="B1946" s="47" t="inlineStr">
        <is>
          <t>인스 유심 스피드(5G) 9GB+</t>
        </is>
      </c>
      <c r="C1946" s="47" t="inlineStr">
        <is>
          <t>무제한</t>
        </is>
      </c>
      <c r="D1946" s="47" t="inlineStr">
        <is>
          <t>무제한</t>
        </is>
      </c>
      <c r="E1946" s="47" t="inlineStr">
        <is>
          <t>월 9GB + 1Mbps</t>
        </is>
      </c>
      <c r="F1946" s="47" t="inlineStr">
        <is>
          <t>LG U+</t>
        </is>
      </c>
      <c r="G1946" s="47" t="inlineStr">
        <is>
          <t>5G</t>
        </is>
      </c>
      <c r="H1946" s="48" t="n">
        <v>17000</v>
      </c>
      <c r="I1946" s="48" t="n">
        <v>7</v>
      </c>
      <c r="J1946" s="48" t="n">
        <v>43400</v>
      </c>
      <c r="K1946" s="47">
        <f t="array" ref="K1946">_xlfn.XLOOKUP(1,(참조!$B$2:$B$15=E1946)*(참조!$D$2:$D$15=C1946)*(참조!$E$2:$E$15=D1946),참조!$C$2:$C$15,"")</f>
        <v/>
      </c>
    </row>
    <row r="1947" hidden="1" s="27">
      <c r="A1947" s="47" t="inlineStr">
        <is>
          <t>리브모바일</t>
        </is>
      </c>
      <c r="B1947" s="47" t="inlineStr">
        <is>
          <t>LTE 150GB+(CU)</t>
        </is>
      </c>
      <c r="C1947" s="47" t="inlineStr">
        <is>
          <t>무제한</t>
        </is>
      </c>
      <c r="D1947" s="47" t="inlineStr">
        <is>
          <t>무제한</t>
        </is>
      </c>
      <c r="E1947" s="47" t="inlineStr">
        <is>
          <t>매일 5GB + 5Mbps</t>
        </is>
      </c>
      <c r="F1947" s="47" t="inlineStr">
        <is>
          <t>KT</t>
        </is>
      </c>
      <c r="G1947" s="47" t="inlineStr">
        <is>
          <t>LTE</t>
        </is>
      </c>
      <c r="H1947" s="48" t="n">
        <v>49900</v>
      </c>
      <c r="I1947" s="48" t="n"/>
      <c r="J1947" s="48" t="n"/>
      <c r="K1947" s="47">
        <f t="array" ref="K1947">_xlfn.XLOOKUP(1,(참조!$B$2:$B$15=E1947)*(참조!$D$2:$D$15=C1947)*(참조!$E$2:$E$15=D1947),참조!$C$2:$C$15,"")</f>
        <v/>
      </c>
    </row>
    <row r="1948" hidden="1" s="27">
      <c r="A1948" s="47" t="inlineStr">
        <is>
          <t>아이즈모바일</t>
        </is>
      </c>
      <c r="B1948" s="47" t="inlineStr">
        <is>
          <t>[S]아이즈특판10GB+1Mbps</t>
        </is>
      </c>
      <c r="C1948" s="47" t="inlineStr">
        <is>
          <t>무제한</t>
        </is>
      </c>
      <c r="D1948" s="47" t="inlineStr">
        <is>
          <t>무제한</t>
        </is>
      </c>
      <c r="E1948" s="47" t="inlineStr">
        <is>
          <t>월 10GB + 1Mbps</t>
        </is>
      </c>
      <c r="F1948" s="47" t="inlineStr">
        <is>
          <t>SKT</t>
        </is>
      </c>
      <c r="G1948" s="47" t="inlineStr">
        <is>
          <t>LTE</t>
        </is>
      </c>
      <c r="H1948" s="48" t="n">
        <v>14000</v>
      </c>
      <c r="I1948" s="48" t="n">
        <v>7</v>
      </c>
      <c r="J1948" s="48" t="n">
        <v>20900</v>
      </c>
      <c r="K1948" s="47">
        <f t="array" ref="K1948">_xlfn.XLOOKUP(1,(참조!$B$2:$B$15=E1948)*(참조!$D$2:$D$15=C1948)*(참조!$E$2:$E$15=D1948),참조!$C$2:$C$15,"")</f>
        <v/>
      </c>
    </row>
    <row r="1949" hidden="1" s="27">
      <c r="A1949" s="47" t="inlineStr">
        <is>
          <t>리브모바일</t>
        </is>
      </c>
      <c r="B1949" s="47" t="inlineStr">
        <is>
          <t>5G 무제한 50GB+</t>
        </is>
      </c>
      <c r="C1949" s="47" t="inlineStr">
        <is>
          <t>무제한</t>
        </is>
      </c>
      <c r="D1949" s="47" t="inlineStr">
        <is>
          <t>무제한</t>
        </is>
      </c>
      <c r="E1949" s="47" t="inlineStr">
        <is>
          <t>월 50GB + 1Mbps</t>
        </is>
      </c>
      <c r="F1949" s="47" t="inlineStr">
        <is>
          <t>KT</t>
        </is>
      </c>
      <c r="G1949" s="47" t="inlineStr">
        <is>
          <t>5G</t>
        </is>
      </c>
      <c r="H1949" s="48" t="n">
        <v>39500</v>
      </c>
      <c r="I1949" s="48" t="n">
        <v>12</v>
      </c>
      <c r="J1949" s="48" t="n">
        <v>43900</v>
      </c>
      <c r="K1949" s="47">
        <f t="array" ref="K1949">_xlfn.XLOOKUP(1,(참조!$B$2:$B$15=E1949)*(참조!$D$2:$D$15=C1949)*(참조!$E$2:$E$15=D1949),참조!$C$2:$C$15,"")</f>
        <v/>
      </c>
    </row>
    <row r="1950" hidden="1" s="27">
      <c r="A1950" s="47" t="inlineStr">
        <is>
          <t>리브모바일</t>
        </is>
      </c>
      <c r="B1950" s="47" t="inlineStr">
        <is>
          <t>LTE 무제한 100GB+(SKT망)</t>
        </is>
      </c>
      <c r="C1950" s="47" t="inlineStr">
        <is>
          <t>무제한</t>
        </is>
      </c>
      <c r="D1950" s="47" t="inlineStr">
        <is>
          <t>무제한</t>
        </is>
      </c>
      <c r="E1950" s="47" t="inlineStr">
        <is>
          <t>월 100GB + 5Mbps</t>
        </is>
      </c>
      <c r="F1950" s="47" t="inlineStr">
        <is>
          <t>SKT</t>
        </is>
      </c>
      <c r="G1950" s="47" t="inlineStr">
        <is>
          <t>LTE</t>
        </is>
      </c>
      <c r="H1950" s="48" t="n">
        <v>47300</v>
      </c>
      <c r="I1950" s="48" t="n"/>
      <c r="J1950" s="48" t="n"/>
      <c r="K1950" s="47">
        <f t="array" ref="K1950">_xlfn.XLOOKUP(1,(참조!$B$2:$B$15=E1950)*(참조!$D$2:$D$15=C1950)*(참조!$E$2:$E$15=D1950),참조!$C$2:$C$15,"")</f>
        <v/>
      </c>
    </row>
    <row r="1951" hidden="1" s="27">
      <c r="A1951" s="47" t="inlineStr">
        <is>
          <t>아이즈모바일</t>
        </is>
      </c>
      <c r="B1951" s="47" t="inlineStr">
        <is>
          <t>[K]올리브영 7GB+</t>
        </is>
      </c>
      <c r="C1951" s="47" t="inlineStr">
        <is>
          <t>무제한</t>
        </is>
      </c>
      <c r="D1951" s="47" t="inlineStr">
        <is>
          <t>무제한</t>
        </is>
      </c>
      <c r="E1951" s="47" t="inlineStr">
        <is>
          <t>월 7GB + 1Mbps</t>
        </is>
      </c>
      <c r="F1951" s="47" t="inlineStr">
        <is>
          <t>KT</t>
        </is>
      </c>
      <c r="G1951" s="47" t="inlineStr">
        <is>
          <t>LTE</t>
        </is>
      </c>
      <c r="H1951" s="48" t="n">
        <v>25300</v>
      </c>
      <c r="I1951" s="48" t="n"/>
      <c r="J1951" s="48" t="n"/>
      <c r="K1951" s="47">
        <f t="array" ref="K1951">_xlfn.XLOOKUP(1,(참조!$B$2:$B$15=E1951)*(참조!$D$2:$D$15=C1951)*(참조!$E$2:$E$15=D1951),참조!$C$2:$C$15,"")</f>
        <v/>
      </c>
    </row>
    <row r="1952" hidden="1" s="27">
      <c r="A1952" s="47" t="inlineStr">
        <is>
          <t>리브모바일</t>
        </is>
      </c>
      <c r="B1952" s="47" t="inlineStr">
        <is>
          <t>홈쇼핑 스페셜 7GB+</t>
        </is>
      </c>
      <c r="C1952" s="47" t="inlineStr">
        <is>
          <t>무제한</t>
        </is>
      </c>
      <c r="D1952" s="47" t="inlineStr">
        <is>
          <t>무제한</t>
        </is>
      </c>
      <c r="E1952" s="47" t="inlineStr">
        <is>
          <t>월 7GB + 1Mbps</t>
        </is>
      </c>
      <c r="F1952" s="47" t="inlineStr">
        <is>
          <t>LG U+</t>
        </is>
      </c>
      <c r="G1952" s="47" t="inlineStr">
        <is>
          <t>LTE</t>
        </is>
      </c>
      <c r="H1952" s="48" t="n">
        <v>19900</v>
      </c>
      <c r="I1952" s="48" t="n"/>
      <c r="J1952" s="48" t="n"/>
      <c r="K1952" s="47">
        <f t="array" ref="K1952">_xlfn.XLOOKUP(1,(참조!$B$2:$B$15=E1952)*(참조!$D$2:$D$15=C1952)*(참조!$E$2:$E$15=D1952),참조!$C$2:$C$15,"")</f>
        <v/>
      </c>
    </row>
    <row r="1953" hidden="1" s="27">
      <c r="A1953" s="47" t="inlineStr">
        <is>
          <t>이야기모바일</t>
        </is>
      </c>
      <c r="B1953" s="47" t="inlineStr">
        <is>
          <t>5G 이야기 무한 54GB</t>
        </is>
      </c>
      <c r="C1953" s="47" t="inlineStr">
        <is>
          <t>무제한</t>
        </is>
      </c>
      <c r="D1953" s="47" t="inlineStr">
        <is>
          <t>무제한</t>
        </is>
      </c>
      <c r="E1953" s="47" t="inlineStr">
        <is>
          <t>월 54GB + 1Mbps</t>
        </is>
      </c>
      <c r="F1953" s="47" t="inlineStr">
        <is>
          <t>SKT</t>
        </is>
      </c>
      <c r="G1953" s="47" t="inlineStr">
        <is>
          <t>5G</t>
        </is>
      </c>
      <c r="H1953" s="48" t="n">
        <v>39600</v>
      </c>
      <c r="I1953" s="48" t="n">
        <v>7</v>
      </c>
      <c r="J1953" s="48" t="n">
        <v>45100</v>
      </c>
      <c r="K1953" s="47">
        <f t="array" ref="K1953">_xlfn.XLOOKUP(1,(참조!$B$2:$B$15=E1953)*(참조!$D$2:$D$15=C1953)*(참조!$E$2:$E$15=D1953),참조!$C$2:$C$15,"")</f>
        <v/>
      </c>
    </row>
    <row r="1954" hidden="1" s="27">
      <c r="A1954" s="47" t="inlineStr">
        <is>
          <t>리브모바일</t>
        </is>
      </c>
      <c r="B1954" s="47" t="inlineStr">
        <is>
          <t>5G 무제한 30GB+</t>
        </is>
      </c>
      <c r="C1954" s="47" t="inlineStr">
        <is>
          <t>무제한</t>
        </is>
      </c>
      <c r="D1954" s="47" t="inlineStr">
        <is>
          <t>무제한</t>
        </is>
      </c>
      <c r="E1954" s="47" t="inlineStr">
        <is>
          <t>월 30GB + 1Mbps</t>
        </is>
      </c>
      <c r="F1954" s="47" t="inlineStr">
        <is>
          <t>KT</t>
        </is>
      </c>
      <c r="G1954" s="47" t="inlineStr">
        <is>
          <t>5G</t>
        </is>
      </c>
      <c r="H1954" s="48" t="n">
        <v>38000</v>
      </c>
      <c r="I1954" s="48" t="n">
        <v>12</v>
      </c>
      <c r="J1954" s="48" t="n">
        <v>42400</v>
      </c>
      <c r="K1954" s="47">
        <f t="array" ref="K1954">_xlfn.XLOOKUP(1,(참조!$B$2:$B$15=E1954)*(참조!$D$2:$D$15=C1954)*(참조!$E$2:$E$15=D1954),참조!$C$2:$C$15,"")</f>
        <v/>
      </c>
    </row>
    <row r="1955" hidden="1" s="27">
      <c r="A1955" s="47" t="inlineStr">
        <is>
          <t>리브모바일</t>
        </is>
      </c>
      <c r="B1955" s="47" t="inlineStr">
        <is>
          <t>LTE 150GB+(밀리의서재)</t>
        </is>
      </c>
      <c r="C1955" s="47" t="inlineStr">
        <is>
          <t>무제한</t>
        </is>
      </c>
      <c r="D1955" s="47" t="inlineStr">
        <is>
          <t>무제한</t>
        </is>
      </c>
      <c r="E1955" s="47" t="inlineStr">
        <is>
          <t>매일 5GB + 5Mbps</t>
        </is>
      </c>
      <c r="F1955" s="47" t="inlineStr">
        <is>
          <t>KT</t>
        </is>
      </c>
      <c r="G1955" s="47" t="inlineStr">
        <is>
          <t>LTE</t>
        </is>
      </c>
      <c r="H1955" s="48" t="n">
        <v>49900</v>
      </c>
      <c r="I1955" s="48" t="n"/>
      <c r="J1955" s="48" t="n"/>
      <c r="K1955" s="47">
        <f t="array" ref="K1955">_xlfn.XLOOKUP(1,(참조!$B$2:$B$15=E1955)*(참조!$D$2:$D$15=C1955)*(참조!$E$2:$E$15=D1955),참조!$C$2:$C$15,"")</f>
        <v/>
      </c>
    </row>
    <row r="1956" hidden="1" s="27">
      <c r="A1956" s="47" t="inlineStr">
        <is>
          <t>모빙</t>
        </is>
      </c>
      <c r="B1956" s="47" t="inlineStr">
        <is>
          <t>쏙쏙 시니어 4GB+</t>
        </is>
      </c>
      <c r="C1956" s="47" t="inlineStr">
        <is>
          <t>무제한</t>
        </is>
      </c>
      <c r="D1956" s="47" t="inlineStr">
        <is>
          <t>무제한</t>
        </is>
      </c>
      <c r="E1956" s="47" t="inlineStr">
        <is>
          <t>월 4GB + 1Mbps</t>
        </is>
      </c>
      <c r="F1956" s="47" t="inlineStr">
        <is>
          <t>KT</t>
        </is>
      </c>
      <c r="G1956" s="47" t="inlineStr">
        <is>
          <t>LTE</t>
        </is>
      </c>
      <c r="H1956" s="48" t="n">
        <v>9900</v>
      </c>
      <c r="I1956" s="48" t="n">
        <v>24</v>
      </c>
      <c r="J1956" s="48" t="n">
        <v>11000</v>
      </c>
      <c r="K1956" s="47">
        <f t="array" ref="K1956">_xlfn.XLOOKUP(1,(참조!$B$2:$B$15=E1956)*(참조!$D$2:$D$15=C1956)*(참조!$E$2:$E$15=D1956),참조!$C$2:$C$15,"")</f>
        <v/>
      </c>
    </row>
    <row r="1957" hidden="1" s="27">
      <c r="A1957" s="47" t="inlineStr">
        <is>
          <t>리브모바일</t>
        </is>
      </c>
      <c r="B1957" s="47" t="inlineStr">
        <is>
          <t>LTE 실속 5GB(200분)</t>
        </is>
      </c>
      <c r="C1957" s="47" t="inlineStr">
        <is>
          <t>200분</t>
        </is>
      </c>
      <c r="D1957" s="47" t="inlineStr">
        <is>
          <t>100건</t>
        </is>
      </c>
      <c r="E1957" s="47" t="inlineStr">
        <is>
          <t>월 5GB</t>
        </is>
      </c>
      <c r="F1957" s="47" t="inlineStr">
        <is>
          <t>SKT</t>
        </is>
      </c>
      <c r="G1957" s="47" t="inlineStr">
        <is>
          <t>LTE</t>
        </is>
      </c>
      <c r="H1957" s="48" t="n">
        <v>14300</v>
      </c>
      <c r="I1957" s="48" t="n"/>
      <c r="J1957" s="48" t="n"/>
      <c r="K1957" s="47">
        <f t="array" ref="K1957">_xlfn.XLOOKUP(1,(참조!$B$2:$B$15=E1957)*(참조!$D$2:$D$15=C1957)*(참조!$E$2:$E$15=D1957),참조!$C$2:$C$15,"")</f>
        <v/>
      </c>
    </row>
    <row r="1958" hidden="1" s="27">
      <c r="A1958" s="47" t="inlineStr">
        <is>
          <t>리브모바일</t>
        </is>
      </c>
      <c r="B1958" s="47" t="inlineStr">
        <is>
          <t>LTE 실속 5GB+(200분)</t>
        </is>
      </c>
      <c r="C1958" s="47" t="inlineStr">
        <is>
          <t>200분</t>
        </is>
      </c>
      <c r="D1958" s="47" t="inlineStr">
        <is>
          <t>100건</t>
        </is>
      </c>
      <c r="E1958" s="47" t="inlineStr">
        <is>
          <t>월 5GB + 1Mbps</t>
        </is>
      </c>
      <c r="F1958" s="47" t="inlineStr">
        <is>
          <t>SKT</t>
        </is>
      </c>
      <c r="G1958" s="47" t="inlineStr">
        <is>
          <t>LTE</t>
        </is>
      </c>
      <c r="H1958" s="48" t="n">
        <v>17600</v>
      </c>
      <c r="I1958" s="48" t="n"/>
      <c r="J1958" s="48" t="n"/>
      <c r="K1958" s="47">
        <f t="array" ref="K1958">_xlfn.XLOOKUP(1,(참조!$B$2:$B$15=E1958)*(참조!$D$2:$D$15=C1958)*(참조!$E$2:$E$15=D1958),참조!$C$2:$C$15,"")</f>
        <v/>
      </c>
    </row>
    <row r="1959" hidden="1" s="27">
      <c r="A1959" s="47" t="inlineStr">
        <is>
          <t>리브모바일</t>
        </is>
      </c>
      <c r="B1959" s="47" t="inlineStr">
        <is>
          <t>5G 95GB+(청년미래)</t>
        </is>
      </c>
      <c r="C1959" s="47" t="inlineStr">
        <is>
          <t>무제한</t>
        </is>
      </c>
      <c r="D1959" s="47" t="inlineStr">
        <is>
          <t>무제한</t>
        </is>
      </c>
      <c r="E1959" s="47" t="inlineStr">
        <is>
          <t>월 95GB + 3Mbps</t>
        </is>
      </c>
      <c r="F1959" s="47" t="inlineStr">
        <is>
          <t>LG U+</t>
        </is>
      </c>
      <c r="G1959" s="47" t="inlineStr">
        <is>
          <t>5G</t>
        </is>
      </c>
      <c r="H1959" s="48" t="n">
        <v>40900</v>
      </c>
      <c r="I1959" s="48" t="n"/>
      <c r="J1959" s="48" t="n"/>
      <c r="K1959" s="47">
        <f t="array" ref="K1959">_xlfn.XLOOKUP(1,(참조!$B$2:$B$15=E1959)*(참조!$D$2:$D$15=C1959)*(참조!$E$2:$E$15=D1959),참조!$C$2:$C$15,"")</f>
        <v/>
      </c>
    </row>
    <row r="1960" hidden="1" s="27">
      <c r="A1960" s="47" t="inlineStr">
        <is>
          <t>리브모바일</t>
        </is>
      </c>
      <c r="B1960" s="47" t="inlineStr">
        <is>
          <t>LTE 71GB+(밀리의서재)</t>
        </is>
      </c>
      <c r="C1960" s="47" t="inlineStr">
        <is>
          <t>무제한</t>
        </is>
      </c>
      <c r="D1960" s="47" t="inlineStr">
        <is>
          <t>무제한</t>
        </is>
      </c>
      <c r="E1960" s="47" t="inlineStr">
        <is>
          <t>월 11GB + 매일 2GB + 3Mbps</t>
        </is>
      </c>
      <c r="F1960" s="47" t="inlineStr">
        <is>
          <t>KT</t>
        </is>
      </c>
      <c r="G1960" s="47" t="inlineStr">
        <is>
          <t>LTE</t>
        </is>
      </c>
      <c r="H1960" s="48" t="n">
        <v>39900</v>
      </c>
      <c r="I1960" s="48" t="n"/>
      <c r="J1960" s="48" t="n"/>
      <c r="K1960" s="47">
        <f t="array" ref="K1960">_xlfn.XLOOKUP(1,(참조!$B$2:$B$15=E1960)*(참조!$D$2:$D$15=C1960)*(참조!$E$2:$E$15=D1960),참조!$C$2:$C$15,"")</f>
        <v/>
      </c>
    </row>
    <row r="1961" hidden="1" s="27">
      <c r="A1961" s="47" t="inlineStr">
        <is>
          <t>에이모바일</t>
        </is>
      </c>
      <c r="B1961" s="47" t="inlineStr">
        <is>
          <t>A 5G 스페셜 플러스</t>
        </is>
      </c>
      <c r="C1961" s="47" t="inlineStr">
        <is>
          <t>무제한</t>
        </is>
      </c>
      <c r="D1961" s="47" t="inlineStr">
        <is>
          <t>무제한</t>
        </is>
      </c>
      <c r="E1961" s="47" t="inlineStr">
        <is>
          <t>월 80GB + 1Mbps</t>
        </is>
      </c>
      <c r="F1961" s="47" t="inlineStr">
        <is>
          <t>LG U+</t>
        </is>
      </c>
      <c r="G1961" s="47" t="inlineStr">
        <is>
          <t>5G</t>
        </is>
      </c>
      <c r="H1961" s="48" t="n">
        <v>29700</v>
      </c>
      <c r="I1961" s="48" t="n">
        <v>7</v>
      </c>
      <c r="J1961" s="48" t="n">
        <v>46200</v>
      </c>
      <c r="K1961" s="47">
        <f t="array" ref="K1961">_xlfn.XLOOKUP(1,(참조!$B$2:$B$15=E1961)*(참조!$D$2:$D$15=C1961)*(참조!$E$2:$E$15=D1961),참조!$C$2:$C$15,"")</f>
        <v/>
      </c>
    </row>
    <row r="1962" hidden="1" s="27">
      <c r="A1962" s="47" t="inlineStr">
        <is>
          <t>아이즈모바일</t>
        </is>
      </c>
      <c r="B1962" s="47" t="inlineStr">
        <is>
          <t>[L]아이즈특판11GB+일2GB</t>
        </is>
      </c>
      <c r="C1962" s="47" t="inlineStr">
        <is>
          <t>무제한</t>
        </is>
      </c>
      <c r="D1962" s="47" t="inlineStr">
        <is>
          <t>무제한</t>
        </is>
      </c>
      <c r="E1962" s="47" t="inlineStr">
        <is>
          <t>월 11GB + 3Mbps</t>
        </is>
      </c>
      <c r="F1962" s="47" t="inlineStr">
        <is>
          <t>LG U+</t>
        </is>
      </c>
      <c r="G1962" s="47" t="inlineStr">
        <is>
          <t>LTE</t>
        </is>
      </c>
      <c r="H1962" s="48" t="n">
        <v>37400</v>
      </c>
      <c r="I1962" s="48" t="n"/>
      <c r="J1962" s="48" t="n"/>
      <c r="K1962" s="47">
        <f t="array" ref="K1962">_xlfn.XLOOKUP(1,(참조!$B$2:$B$15=E1962)*(참조!$D$2:$D$15=C1962)*(참조!$E$2:$E$15=D1962),참조!$C$2:$C$15,"")</f>
        <v/>
      </c>
    </row>
    <row r="1963" hidden="1" s="27">
      <c r="A1963" s="47" t="inlineStr">
        <is>
          <t>아이즈모바일</t>
        </is>
      </c>
      <c r="B1963" s="47" t="inlineStr">
        <is>
          <t>[S]스페셜10GB+</t>
        </is>
      </c>
      <c r="C1963" s="47" t="inlineStr">
        <is>
          <t>무제한</t>
        </is>
      </c>
      <c r="D1963" s="47" t="inlineStr">
        <is>
          <t>무제한</t>
        </is>
      </c>
      <c r="E1963" s="47" t="inlineStr">
        <is>
          <t>월 10GB + 1Mbps</t>
        </is>
      </c>
      <c r="F1963" s="47" t="inlineStr">
        <is>
          <t>SKT</t>
        </is>
      </c>
      <c r="G1963" s="47" t="inlineStr">
        <is>
          <t>LTE</t>
        </is>
      </c>
      <c r="H1963" s="48" t="n">
        <v>27500</v>
      </c>
      <c r="I1963" s="48" t="n"/>
      <c r="J1963" s="48" t="n"/>
      <c r="K1963" s="47">
        <f t="array" ref="K1963">_xlfn.XLOOKUP(1,(참조!$B$2:$B$15=E1963)*(참조!$D$2:$D$15=C1963)*(참조!$E$2:$E$15=D1963),참조!$C$2:$C$15,"")</f>
        <v/>
      </c>
    </row>
    <row r="1964" hidden="1" s="27">
      <c r="A1964" s="47" t="inlineStr">
        <is>
          <t>리브모바일</t>
        </is>
      </c>
      <c r="B1964" s="47" t="inlineStr">
        <is>
          <t>5G 무제한 110GB+</t>
        </is>
      </c>
      <c r="C1964" s="47" t="inlineStr">
        <is>
          <t>무제한</t>
        </is>
      </c>
      <c r="D1964" s="47" t="inlineStr">
        <is>
          <t>무제한</t>
        </is>
      </c>
      <c r="E1964" s="47" t="inlineStr">
        <is>
          <t>월 110GB + 5Mbps</t>
        </is>
      </c>
      <c r="F1964" s="47" t="inlineStr">
        <is>
          <t>SKT</t>
        </is>
      </c>
      <c r="G1964" s="47" t="inlineStr">
        <is>
          <t>5G</t>
        </is>
      </c>
      <c r="H1964" s="48" t="n">
        <v>49500</v>
      </c>
      <c r="I1964" s="48" t="n"/>
      <c r="J1964" s="48" t="n"/>
      <c r="K1964" s="47">
        <f t="array" ref="K1964">_xlfn.XLOOKUP(1,(참조!$B$2:$B$15=E1964)*(참조!$D$2:$D$15=C1964)*(참조!$E$2:$E$15=D1964),참조!$C$2:$C$15,"")</f>
        <v/>
      </c>
    </row>
    <row r="1965" hidden="1" s="27">
      <c r="A1965" s="47" t="inlineStr">
        <is>
          <t>리브모바일</t>
        </is>
      </c>
      <c r="B1965" s="47" t="inlineStr">
        <is>
          <t>5G 95GB+(초알뜰)</t>
        </is>
      </c>
      <c r="C1965" s="47" t="inlineStr">
        <is>
          <t>무제한</t>
        </is>
      </c>
      <c r="D1965" s="47" t="inlineStr">
        <is>
          <t>무제한</t>
        </is>
      </c>
      <c r="E1965" s="47" t="inlineStr">
        <is>
          <t>월 95GB + 3Mbps</t>
        </is>
      </c>
      <c r="F1965" s="47" t="inlineStr">
        <is>
          <t>LG U+</t>
        </is>
      </c>
      <c r="G1965" s="47" t="inlineStr">
        <is>
          <t>5G</t>
        </is>
      </c>
      <c r="H1965" s="48" t="n">
        <v>49900</v>
      </c>
      <c r="I1965" s="48" t="n"/>
      <c r="J1965" s="48" t="n"/>
      <c r="K1965" s="47">
        <f t="array" ref="K1965">_xlfn.XLOOKUP(1,(참조!$B$2:$B$15=E1965)*(참조!$D$2:$D$15=C1965)*(참조!$E$2:$E$15=D1965),참조!$C$2:$C$15,"")</f>
        <v/>
      </c>
    </row>
    <row r="1966" hidden="1" s="27">
      <c r="A1966" s="47" t="inlineStr">
        <is>
          <t>티플러스</t>
        </is>
      </c>
      <c r="B1966" s="47" t="inlineStr">
        <is>
          <t>데이터안심 5GB＋(100분)</t>
        </is>
      </c>
      <c r="C1966" s="47" t="inlineStr">
        <is>
          <t>100분</t>
        </is>
      </c>
      <c r="D1966" s="47" t="inlineStr">
        <is>
          <t>100건</t>
        </is>
      </c>
      <c r="E1966" s="47" t="inlineStr">
        <is>
          <t>월 5GB + 400Kbps</t>
        </is>
      </c>
      <c r="F1966" s="47" t="inlineStr">
        <is>
          <t>SKT</t>
        </is>
      </c>
      <c r="G1966" s="47" t="inlineStr">
        <is>
          <t>LTE</t>
        </is>
      </c>
      <c r="H1966" s="48" t="n">
        <v>7700</v>
      </c>
      <c r="I1966" s="48" t="n">
        <v>7</v>
      </c>
      <c r="J1966" s="48" t="n">
        <v>13200</v>
      </c>
      <c r="K1966" s="47">
        <f t="array" ref="K1966">_xlfn.XLOOKUP(1,(참조!$B$2:$B$15=E1966)*(참조!$D$2:$D$15=C1966)*(참조!$E$2:$E$15=D1966),참조!$C$2:$C$15,"")</f>
        <v/>
      </c>
    </row>
    <row r="1967" hidden="1" s="27">
      <c r="A1967" s="47" t="inlineStr">
        <is>
          <t>리브모바일</t>
        </is>
      </c>
      <c r="B1967" s="47" t="inlineStr">
        <is>
          <t>LTE 무제한 7GB+(SKT망)</t>
        </is>
      </c>
      <c r="C1967" s="47" t="inlineStr">
        <is>
          <t>무제한</t>
        </is>
      </c>
      <c r="D1967" s="47" t="inlineStr">
        <is>
          <t>무제한</t>
        </is>
      </c>
      <c r="E1967" s="47" t="inlineStr">
        <is>
          <t>월 7GB + 1Mbps</t>
        </is>
      </c>
      <c r="F1967" s="47" t="inlineStr">
        <is>
          <t>SKT</t>
        </is>
      </c>
      <c r="G1967" s="47" t="inlineStr">
        <is>
          <t>LTE</t>
        </is>
      </c>
      <c r="H1967" s="48" t="n">
        <v>22000</v>
      </c>
      <c r="I1967" s="48" t="n"/>
      <c r="J1967" s="48" t="n"/>
      <c r="K1967" s="47">
        <f t="array" ref="K1967">_xlfn.XLOOKUP(1,(참조!$B$2:$B$15=E1967)*(참조!$D$2:$D$15=C1967)*(참조!$E$2:$E$15=D1967),참조!$C$2:$C$15,"")</f>
        <v/>
      </c>
    </row>
    <row r="1968" hidden="1" s="27">
      <c r="A1968" s="47" t="inlineStr">
        <is>
          <t>아이즈모바일</t>
        </is>
      </c>
      <c r="B1968" s="47" t="inlineStr">
        <is>
          <t>아이즈포스트(500분/5G)</t>
        </is>
      </c>
      <c r="C1968" s="47" t="inlineStr">
        <is>
          <t>500분</t>
        </is>
      </c>
      <c r="D1968" s="47" t="inlineStr">
        <is>
          <t>500건</t>
        </is>
      </c>
      <c r="E1968" s="47" t="inlineStr">
        <is>
          <t>월 5GB</t>
        </is>
      </c>
      <c r="F1968" s="47" t="inlineStr">
        <is>
          <t>SKT</t>
        </is>
      </c>
      <c r="G1968" s="47" t="inlineStr">
        <is>
          <t>LTE</t>
        </is>
      </c>
      <c r="H1968" s="48" t="n">
        <v>9900</v>
      </c>
      <c r="I1968" s="48" t="n"/>
      <c r="J1968" s="48" t="n"/>
      <c r="K1968" s="47">
        <f t="array" ref="K1968">_xlfn.XLOOKUP(1,(참조!$B$2:$B$15=E1968)*(참조!$D$2:$D$15=C1968)*(참조!$E$2:$E$15=D1968),참조!$C$2:$C$15,"")</f>
        <v/>
      </c>
    </row>
    <row r="1969" hidden="1" s="27">
      <c r="A1969" s="47" t="inlineStr">
        <is>
          <t>모빙</t>
        </is>
      </c>
      <c r="B1969" s="47" t="inlineStr">
        <is>
          <t>5G 홈결합 12GB+</t>
        </is>
      </c>
      <c r="C1969" s="47" t="inlineStr">
        <is>
          <t>무제한</t>
        </is>
      </c>
      <c r="D1969" s="47" t="inlineStr">
        <is>
          <t>무제한</t>
        </is>
      </c>
      <c r="E1969" s="47" t="inlineStr">
        <is>
          <t>월 12GB + 1Mbps</t>
        </is>
      </c>
      <c r="F1969" s="47" t="inlineStr">
        <is>
          <t>LG U+</t>
        </is>
      </c>
      <c r="G1969" s="47" t="inlineStr">
        <is>
          <t>5G</t>
        </is>
      </c>
      <c r="H1969" s="48" t="n">
        <v>27000</v>
      </c>
      <c r="I1969" s="48" t="n">
        <v>12</v>
      </c>
      <c r="J1969" s="48" t="n">
        <v>46500</v>
      </c>
      <c r="K1969" s="47">
        <f t="array" ref="K1969">_xlfn.XLOOKUP(1,(참조!$B$2:$B$15=E1969)*(참조!$D$2:$D$15=C1969)*(참조!$E$2:$E$15=D1969),참조!$C$2:$C$15,"")</f>
        <v/>
      </c>
    </row>
    <row r="1970" hidden="1" s="27">
      <c r="A1970" s="47" t="inlineStr">
        <is>
          <t>리브모바일</t>
        </is>
      </c>
      <c r="B1970" s="47" t="inlineStr">
        <is>
          <t>LTE 실속 2GB(200분)</t>
        </is>
      </c>
      <c r="C1970" s="47" t="inlineStr">
        <is>
          <t>200분</t>
        </is>
      </c>
      <c r="D1970" s="47" t="inlineStr">
        <is>
          <t>100건</t>
        </is>
      </c>
      <c r="E1970" s="47" t="inlineStr">
        <is>
          <t>월 2GB</t>
        </is>
      </c>
      <c r="F1970" s="47" t="inlineStr">
        <is>
          <t>SKT</t>
        </is>
      </c>
      <c r="G1970" s="47" t="inlineStr">
        <is>
          <t>LTE</t>
        </is>
      </c>
      <c r="H1970" s="48" t="n">
        <v>11000</v>
      </c>
      <c r="I1970" s="48" t="n"/>
      <c r="J1970" s="48" t="n"/>
      <c r="K1970" s="47">
        <f t="array" ref="K1970">_xlfn.XLOOKUP(1,(참조!$B$2:$B$15=E1970)*(참조!$D$2:$D$15=C1970)*(참조!$E$2:$E$15=D1970),참조!$C$2:$C$15,"")</f>
        <v/>
      </c>
    </row>
    <row r="1971" hidden="1" s="27">
      <c r="A1971" s="47" t="inlineStr">
        <is>
          <t>리브모바일</t>
        </is>
      </c>
      <c r="B1971" s="47" t="inlineStr">
        <is>
          <t>홈쇼핑 스페셜 5G 95GB+</t>
        </is>
      </c>
      <c r="C1971" s="47" t="inlineStr">
        <is>
          <t>무제한</t>
        </is>
      </c>
      <c r="D1971" s="47" t="inlineStr">
        <is>
          <t>무제한</t>
        </is>
      </c>
      <c r="E1971" s="47" t="inlineStr">
        <is>
          <t>월 95GB + 3Mbps</t>
        </is>
      </c>
      <c r="F1971" s="47" t="inlineStr">
        <is>
          <t>LG U+</t>
        </is>
      </c>
      <c r="G1971" s="47" t="inlineStr">
        <is>
          <t>5G</t>
        </is>
      </c>
      <c r="H1971" s="48" t="n">
        <v>49900</v>
      </c>
      <c r="I1971" s="48" t="n"/>
      <c r="J1971" s="48" t="n"/>
      <c r="K1971" s="47">
        <f t="array" ref="K1971">_xlfn.XLOOKUP(1,(참조!$B$2:$B$15=E1971)*(참조!$D$2:$D$15=C1971)*(참조!$E$2:$E$15=D1971),참조!$C$2:$C$15,"")</f>
        <v/>
      </c>
    </row>
    <row r="1972" hidden="1" s="27">
      <c r="A1972" s="47" t="inlineStr">
        <is>
          <t>아이즈모바일</t>
        </is>
      </c>
      <c r="B1972" s="47" t="inlineStr">
        <is>
          <t>아이즈 6GB+</t>
        </is>
      </c>
      <c r="C1972" s="47" t="inlineStr">
        <is>
          <t>무제한</t>
        </is>
      </c>
      <c r="D1972" s="47" t="inlineStr">
        <is>
          <t>무제한</t>
        </is>
      </c>
      <c r="E1972" s="47" t="inlineStr">
        <is>
          <t>월 6GB + 1Mbps</t>
        </is>
      </c>
      <c r="F1972" s="47" t="inlineStr">
        <is>
          <t>LG U+</t>
        </is>
      </c>
      <c r="G1972" s="47" t="inlineStr">
        <is>
          <t>LTE</t>
        </is>
      </c>
      <c r="H1972" s="48" t="n">
        <v>16800</v>
      </c>
      <c r="I1972" s="48" t="n"/>
      <c r="J1972" s="48" t="n"/>
      <c r="K1972" s="47">
        <f t="array" ref="K1972">_xlfn.XLOOKUP(1,(참조!$B$2:$B$15=E1972)*(참조!$D$2:$D$15=C1972)*(참조!$E$2:$E$15=D1972),참조!$C$2:$C$15,"")</f>
        <v/>
      </c>
    </row>
    <row r="1973" hidden="1" s="27">
      <c r="A1973" s="47" t="inlineStr">
        <is>
          <t>에이모바일</t>
        </is>
      </c>
      <c r="B1973" s="47" t="inlineStr">
        <is>
          <t>A 5G 라이트</t>
        </is>
      </c>
      <c r="C1973" s="47" t="inlineStr">
        <is>
          <t>무제한</t>
        </is>
      </c>
      <c r="D1973" s="47" t="inlineStr">
        <is>
          <t>무제한</t>
        </is>
      </c>
      <c r="E1973" s="47" t="inlineStr">
        <is>
          <t>월 9GB + 1Mbps</t>
        </is>
      </c>
      <c r="F1973" s="47" t="inlineStr">
        <is>
          <t>LG U+</t>
        </is>
      </c>
      <c r="G1973" s="47" t="inlineStr">
        <is>
          <t>5G</t>
        </is>
      </c>
      <c r="H1973" s="48" t="n">
        <v>23100</v>
      </c>
      <c r="I1973" s="48" t="n">
        <v>7</v>
      </c>
      <c r="J1973" s="48" t="n">
        <v>38500</v>
      </c>
      <c r="K1973" s="47">
        <f t="array" ref="K1973">_xlfn.XLOOKUP(1,(참조!$B$2:$B$15=E1973)*(참조!$D$2:$D$15=C1973)*(참조!$E$2:$E$15=D1973),참조!$C$2:$C$15,"")</f>
        <v/>
      </c>
    </row>
    <row r="1974" hidden="1" s="27">
      <c r="A1974" s="47" t="inlineStr">
        <is>
          <t>리브모바일</t>
        </is>
      </c>
      <c r="B1974" s="47" t="inlineStr">
        <is>
          <t>5G 든든무제한 150GB+</t>
        </is>
      </c>
      <c r="C1974" s="47" t="inlineStr">
        <is>
          <t>무제한</t>
        </is>
      </c>
      <c r="D1974" s="47" t="inlineStr">
        <is>
          <t>무제한</t>
        </is>
      </c>
      <c r="E1974" s="47" t="inlineStr">
        <is>
          <t>월 150GB + 5Mbps</t>
        </is>
      </c>
      <c r="F1974" s="47" t="inlineStr">
        <is>
          <t>LG U+</t>
        </is>
      </c>
      <c r="G1974" s="47" t="inlineStr">
        <is>
          <t>5G</t>
        </is>
      </c>
      <c r="H1974" s="48" t="n">
        <v>48900</v>
      </c>
      <c r="I1974" s="48" t="n"/>
      <c r="J1974" s="48" t="n"/>
      <c r="K1974" s="47">
        <f t="array" ref="K1974">_xlfn.XLOOKUP(1,(참조!$B$2:$B$15=E1974)*(참조!$D$2:$D$15=C1974)*(참조!$E$2:$E$15=D1974),참조!$C$2:$C$15,"")</f>
        <v/>
      </c>
    </row>
    <row r="1975" hidden="1" s="27">
      <c r="A1975" s="47" t="inlineStr">
        <is>
          <t>아이즈모바일</t>
        </is>
      </c>
      <c r="B1975" s="47" t="inlineStr">
        <is>
          <t>[S]그란데(500분/6GB)</t>
        </is>
      </c>
      <c r="C1975" s="47" t="inlineStr">
        <is>
          <t>500분</t>
        </is>
      </c>
      <c r="D1975" s="47" t="inlineStr">
        <is>
          <t>100건</t>
        </is>
      </c>
      <c r="E1975" s="47" t="inlineStr">
        <is>
          <t>월 6GB</t>
        </is>
      </c>
      <c r="F1975" s="47" t="inlineStr">
        <is>
          <t>SKT</t>
        </is>
      </c>
      <c r="G1975" s="47" t="inlineStr">
        <is>
          <t>LTE</t>
        </is>
      </c>
      <c r="H1975" s="48" t="n">
        <v>18300</v>
      </c>
      <c r="I1975" s="48" t="n"/>
      <c r="J1975" s="48" t="n"/>
      <c r="K1975" s="47">
        <f t="array" ref="K1975">_xlfn.XLOOKUP(1,(참조!$B$2:$B$15=E1975)*(참조!$D$2:$D$15=C1975)*(참조!$E$2:$E$15=D1975),참조!$C$2:$C$15,"")</f>
        <v/>
      </c>
    </row>
    <row r="1976" hidden="1" s="27">
      <c r="A1976" s="47" t="inlineStr">
        <is>
          <t>리브모바일</t>
        </is>
      </c>
      <c r="B1976" s="47" t="inlineStr">
        <is>
          <t>5G무제한 14GB+(KT망)</t>
        </is>
      </c>
      <c r="C1976" s="47" t="inlineStr">
        <is>
          <t>무제한</t>
        </is>
      </c>
      <c r="D1976" s="47" t="inlineStr">
        <is>
          <t>무제한</t>
        </is>
      </c>
      <c r="E1976" s="47" t="inlineStr">
        <is>
          <t>월 14GB + 1Mbps</t>
        </is>
      </c>
      <c r="F1976" s="47" t="inlineStr">
        <is>
          <t>KT</t>
        </is>
      </c>
      <c r="G1976" s="47" t="inlineStr">
        <is>
          <t>5G</t>
        </is>
      </c>
      <c r="H1976" s="48" t="n">
        <v>33100</v>
      </c>
      <c r="I1976" s="48" t="n">
        <v>12</v>
      </c>
      <c r="J1976" s="48" t="n">
        <v>37500</v>
      </c>
      <c r="K1976" s="47">
        <f t="array" ref="K1976">_xlfn.XLOOKUP(1,(참조!$B$2:$B$15=E1976)*(참조!$D$2:$D$15=C1976)*(참조!$E$2:$E$15=D1976),참조!$C$2:$C$15,"")</f>
        <v/>
      </c>
    </row>
    <row r="1977" hidden="1" s="27">
      <c r="A1977" s="47" t="inlineStr">
        <is>
          <t>리브모바일</t>
        </is>
      </c>
      <c r="B1977" s="47" t="inlineStr">
        <is>
          <t>LTE 실속 3GB(200분)</t>
        </is>
      </c>
      <c r="C1977" s="47" t="inlineStr">
        <is>
          <t>200분</t>
        </is>
      </c>
      <c r="D1977" s="47" t="inlineStr">
        <is>
          <t>100건</t>
        </is>
      </c>
      <c r="E1977" s="47" t="inlineStr">
        <is>
          <t>월 3GB</t>
        </is>
      </c>
      <c r="F1977" s="47" t="inlineStr">
        <is>
          <t>SKT</t>
        </is>
      </c>
      <c r="G1977" s="47" t="inlineStr">
        <is>
          <t>LTE</t>
        </is>
      </c>
      <c r="H1977" s="48" t="n">
        <v>12100</v>
      </c>
      <c r="I1977" s="48" t="n"/>
      <c r="J1977" s="48" t="n"/>
      <c r="K1977" s="47">
        <f t="array" ref="K1977">_xlfn.XLOOKUP(1,(참조!$B$2:$B$15=E1977)*(참조!$D$2:$D$15=C1977)*(참조!$E$2:$E$15=D1977),참조!$C$2:$C$15,"")</f>
        <v/>
      </c>
    </row>
    <row r="1978" hidden="1" s="27">
      <c r="A1978" s="47" t="inlineStr">
        <is>
          <t>티플러스</t>
        </is>
      </c>
      <c r="B1978" s="47" t="inlineStr">
        <is>
          <t>데이터통화안심 5GB+</t>
        </is>
      </c>
      <c r="C1978" s="47" t="inlineStr">
        <is>
          <t>무제한</t>
        </is>
      </c>
      <c r="D1978" s="47" t="inlineStr">
        <is>
          <t>100건</t>
        </is>
      </c>
      <c r="E1978" s="47" t="inlineStr">
        <is>
          <t>월 5GB + 400Kbps</t>
        </is>
      </c>
      <c r="F1978" s="47" t="inlineStr">
        <is>
          <t>KT</t>
        </is>
      </c>
      <c r="G1978" s="47" t="inlineStr">
        <is>
          <t>LTE</t>
        </is>
      </c>
      <c r="H1978" s="48" t="n">
        <v>9900</v>
      </c>
      <c r="I1978" s="48" t="n">
        <v>6</v>
      </c>
      <c r="J1978" s="48" t="n">
        <v>15400</v>
      </c>
      <c r="K1978" s="47">
        <f t="array" ref="K1978">_xlfn.XLOOKUP(1,(참조!$B$2:$B$15=E1978)*(참조!$D$2:$D$15=C1978)*(참조!$E$2:$E$15=D1978),참조!$C$2:$C$15,"")</f>
        <v/>
      </c>
    </row>
    <row r="1979" hidden="1" s="27">
      <c r="A1979" s="47" t="inlineStr">
        <is>
          <t>이지모바일</t>
        </is>
      </c>
      <c r="B1979" s="47" t="inlineStr">
        <is>
          <t>[5G]EG 10무제한 110G+5(모아진)</t>
        </is>
      </c>
      <c r="C1979" s="47" t="inlineStr">
        <is>
          <t>무제한</t>
        </is>
      </c>
      <c r="D1979" s="47" t="inlineStr">
        <is>
          <t>무제한</t>
        </is>
      </c>
      <c r="E1979" s="47" t="inlineStr">
        <is>
          <t>월 110GB + 5Mbps</t>
        </is>
      </c>
      <c r="F1979" s="47" t="inlineStr">
        <is>
          <t>KT</t>
        </is>
      </c>
      <c r="G1979" s="47" t="inlineStr">
        <is>
          <t>5G</t>
        </is>
      </c>
      <c r="H1979" s="48" t="n">
        <v>25800</v>
      </c>
      <c r="I1979" s="48" t="n">
        <v>10</v>
      </c>
      <c r="J1979" s="48" t="n">
        <v>48400</v>
      </c>
      <c r="K1979" s="47">
        <f t="array" ref="K1979">_xlfn.XLOOKUP(1,(참조!$B$2:$B$15=E1979)*(참조!$D$2:$D$15=C1979)*(참조!$E$2:$E$15=D1979),참조!$C$2:$C$15,"")</f>
        <v/>
      </c>
    </row>
    <row r="1980" hidden="1" s="27">
      <c r="A1980" s="47" t="inlineStr">
        <is>
          <t>리브모바일</t>
        </is>
      </c>
      <c r="B1980" s="47" t="inlineStr">
        <is>
          <t>LTE 실속 3GB+(200분)</t>
        </is>
      </c>
      <c r="C1980" s="47" t="inlineStr">
        <is>
          <t>200분</t>
        </is>
      </c>
      <c r="D1980" s="47" t="inlineStr">
        <is>
          <t>100건</t>
        </is>
      </c>
      <c r="E1980" s="47" t="inlineStr">
        <is>
          <t>월 3GB + 1Mbps</t>
        </is>
      </c>
      <c r="F1980" s="47" t="inlineStr">
        <is>
          <t>SKT</t>
        </is>
      </c>
      <c r="G1980" s="47" t="inlineStr">
        <is>
          <t>LTE</t>
        </is>
      </c>
      <c r="H1980" s="48" t="n">
        <v>15400</v>
      </c>
      <c r="I1980" s="48" t="n"/>
      <c r="J1980" s="48" t="n"/>
      <c r="K1980" s="47">
        <f t="array" ref="K1980">_xlfn.XLOOKUP(1,(참조!$B$2:$B$15=E1980)*(참조!$D$2:$D$15=C1980)*(참조!$E$2:$E$15=D1980),참조!$C$2:$C$15,"")</f>
        <v/>
      </c>
    </row>
    <row r="1981" hidden="1" s="27">
      <c r="A1981" s="47" t="inlineStr">
        <is>
          <t>리브모바일</t>
        </is>
      </c>
      <c r="B1981" s="47" t="inlineStr">
        <is>
          <t>5G 든든무제한 12GB+</t>
        </is>
      </c>
      <c r="C1981" s="47" t="inlineStr">
        <is>
          <t>무제한</t>
        </is>
      </c>
      <c r="D1981" s="47" t="inlineStr">
        <is>
          <t>무제한</t>
        </is>
      </c>
      <c r="E1981" s="47" t="inlineStr">
        <is>
          <t>월 12GB + 1Mbps</t>
        </is>
      </c>
      <c r="F1981" s="47" t="inlineStr">
        <is>
          <t>LG U+</t>
        </is>
      </c>
      <c r="G1981" s="47" t="inlineStr">
        <is>
          <t>5G</t>
        </is>
      </c>
      <c r="H1981" s="48" t="n">
        <v>30500</v>
      </c>
      <c r="I1981" s="48" t="n">
        <v>12</v>
      </c>
      <c r="J1981" s="48" t="n">
        <v>34900</v>
      </c>
      <c r="K1981" s="47">
        <f t="array" ref="K1981">_xlfn.XLOOKUP(1,(참조!$B$2:$B$15=E1981)*(참조!$D$2:$D$15=C1981)*(참조!$E$2:$E$15=D1981),참조!$C$2:$C$15,"")</f>
        <v/>
      </c>
    </row>
    <row r="1982" hidden="1" s="27">
      <c r="A1982" s="47" t="inlineStr">
        <is>
          <t>리브모바일</t>
        </is>
      </c>
      <c r="B1982" s="47" t="inlineStr">
        <is>
          <t>5G 무제한 24GB+</t>
        </is>
      </c>
      <c r="C1982" s="47" t="inlineStr">
        <is>
          <t>무제한</t>
        </is>
      </c>
      <c r="D1982" s="47" t="inlineStr">
        <is>
          <t>무제한</t>
        </is>
      </c>
      <c r="E1982" s="47" t="inlineStr">
        <is>
          <t>월 24GB + 1Mbps</t>
        </is>
      </c>
      <c r="F1982" s="47" t="inlineStr">
        <is>
          <t>SKT</t>
        </is>
      </c>
      <c r="G1982" s="47" t="inlineStr">
        <is>
          <t>5G</t>
        </is>
      </c>
      <c r="H1982" s="48" t="n">
        <v>43400</v>
      </c>
      <c r="I1982" s="48" t="n"/>
      <c r="J1982" s="48" t="n"/>
      <c r="K1982" s="47">
        <f t="array" ref="K1982">_xlfn.XLOOKUP(1,(참조!$B$2:$B$15=E1982)*(참조!$D$2:$D$15=C1982)*(참조!$E$2:$E$15=D1982),참조!$C$2:$C$15,"")</f>
        <v/>
      </c>
    </row>
    <row r="1983" hidden="1" s="27">
      <c r="A1983" s="47" t="inlineStr">
        <is>
          <t>리브모바일</t>
        </is>
      </c>
      <c r="B1983" s="47" t="inlineStr">
        <is>
          <t>5G 무제한 54GB+</t>
        </is>
      </c>
      <c r="C1983" s="47" t="inlineStr">
        <is>
          <t>무제한</t>
        </is>
      </c>
      <c r="D1983" s="47" t="inlineStr">
        <is>
          <t>무제한</t>
        </is>
      </c>
      <c r="E1983" s="47" t="inlineStr">
        <is>
          <t>월 54GB + 1Mbps</t>
        </is>
      </c>
      <c r="F1983" s="47" t="inlineStr">
        <is>
          <t>SKT</t>
        </is>
      </c>
      <c r="G1983" s="47" t="inlineStr">
        <is>
          <t>5G</t>
        </is>
      </c>
      <c r="H1983" s="48" t="n">
        <v>46400</v>
      </c>
      <c r="I1983" s="48" t="n"/>
      <c r="J1983" s="48" t="n"/>
      <c r="K1983" s="47">
        <f t="array" ref="K1983">_xlfn.XLOOKUP(1,(참조!$B$2:$B$15=E1983)*(참조!$D$2:$D$15=C1983)*(참조!$E$2:$E$15=D1983),참조!$C$2:$C$15,"")</f>
        <v/>
      </c>
    </row>
    <row r="1984" hidden="1" s="27">
      <c r="A1984" s="47" t="inlineStr">
        <is>
          <t>에이모바일</t>
        </is>
      </c>
      <c r="B1984" s="47" t="inlineStr">
        <is>
          <t>A 갓성비 10GB/100분 9</t>
        </is>
      </c>
      <c r="C1984" s="47" t="inlineStr">
        <is>
          <t>100분</t>
        </is>
      </c>
      <c r="D1984" s="47" t="inlineStr">
        <is>
          <t>100건</t>
        </is>
      </c>
      <c r="E1984" s="47" t="inlineStr">
        <is>
          <t>월 10GB</t>
        </is>
      </c>
      <c r="F1984" s="47" t="inlineStr">
        <is>
          <t>LG U+</t>
        </is>
      </c>
      <c r="G1984" s="47" t="inlineStr">
        <is>
          <t>LTE</t>
        </is>
      </c>
      <c r="H1984" s="48" t="n">
        <v>2750</v>
      </c>
      <c r="I1984" s="48" t="n">
        <v>9</v>
      </c>
      <c r="J1984" s="48" t="n">
        <v>12100</v>
      </c>
      <c r="K1984" s="47">
        <f t="array" ref="K1984">_xlfn.XLOOKUP(1,(참조!$B$2:$B$15=E1984)*(참조!$D$2:$D$15=C1984)*(참조!$E$2:$E$15=D1984),참조!$C$2:$C$15,"")</f>
        <v/>
      </c>
    </row>
    <row r="1985" hidden="1" s="27">
      <c r="A1985" s="47" t="inlineStr">
        <is>
          <t>리브모바일</t>
        </is>
      </c>
      <c r="B1985" s="47" t="inlineStr">
        <is>
          <t>5G 무제한 200GB+</t>
        </is>
      </c>
      <c r="C1985" s="47" t="inlineStr">
        <is>
          <t>무제한</t>
        </is>
      </c>
      <c r="D1985" s="47" t="inlineStr">
        <is>
          <t>무제한</t>
        </is>
      </c>
      <c r="E1985" s="47" t="inlineStr">
        <is>
          <t>월 200GB + 5Mbps</t>
        </is>
      </c>
      <c r="F1985" s="47" t="inlineStr">
        <is>
          <t>SKT</t>
        </is>
      </c>
      <c r="G1985" s="47" t="inlineStr">
        <is>
          <t>5G</t>
        </is>
      </c>
      <c r="H1985" s="48" t="n">
        <v>53900</v>
      </c>
      <c r="I1985" s="48" t="n"/>
      <c r="J1985" s="48" t="n"/>
      <c r="K1985" s="47">
        <f t="array" ref="K1985">_xlfn.XLOOKUP(1,(참조!$B$2:$B$15=E1985)*(참조!$D$2:$D$15=C1985)*(참조!$E$2:$E$15=D1985),참조!$C$2:$C$15,"")</f>
        <v/>
      </c>
    </row>
    <row r="1986" hidden="1" s="27">
      <c r="A1986" s="47" t="inlineStr">
        <is>
          <t>리브모바일</t>
        </is>
      </c>
      <c r="B1986" s="47" t="inlineStr">
        <is>
          <t>5G 무제한 250GB+</t>
        </is>
      </c>
      <c r="C1986" s="47" t="inlineStr">
        <is>
          <t>무제한</t>
        </is>
      </c>
      <c r="D1986" s="47" t="inlineStr">
        <is>
          <t>무제한</t>
        </is>
      </c>
      <c r="E1986" s="47" t="inlineStr">
        <is>
          <t>월 250GB + 5Mbps</t>
        </is>
      </c>
      <c r="F1986" s="47" t="inlineStr">
        <is>
          <t>SKT</t>
        </is>
      </c>
      <c r="G1986" s="47" t="inlineStr">
        <is>
          <t>5G</t>
        </is>
      </c>
      <c r="H1986" s="48" t="n">
        <v>56100</v>
      </c>
      <c r="I1986" s="48" t="n"/>
      <c r="J1986" s="48" t="n"/>
      <c r="K1986" s="47">
        <f t="array" ref="K1986">_xlfn.XLOOKUP(1,(참조!$B$2:$B$15=E1986)*(참조!$D$2:$D$15=C1986)*(참조!$E$2:$E$15=D1986),참조!$C$2:$C$15,"")</f>
        <v/>
      </c>
    </row>
    <row r="1987" hidden="1" s="27">
      <c r="A1987" s="47" t="inlineStr">
        <is>
          <t>프리티</t>
        </is>
      </c>
      <c r="B1987" s="47" t="inlineStr">
        <is>
          <t>월간Pick 15G+</t>
        </is>
      </c>
      <c r="C1987" s="47" t="inlineStr">
        <is>
          <t>100분</t>
        </is>
      </c>
      <c r="D1987" s="47" t="inlineStr">
        <is>
          <t>100건</t>
        </is>
      </c>
      <c r="E1987" s="47" t="inlineStr">
        <is>
          <t>월 15GB + 3Mbps</t>
        </is>
      </c>
      <c r="F1987" s="47" t="inlineStr">
        <is>
          <t>LG U+</t>
        </is>
      </c>
      <c r="G1987" s="47" t="inlineStr">
        <is>
          <t>LTE</t>
        </is>
      </c>
      <c r="H1987" s="48" t="n">
        <v>22000</v>
      </c>
      <c r="I1987" s="48" t="n">
        <v>7</v>
      </c>
      <c r="J1987" s="48" t="n">
        <v>36740</v>
      </c>
      <c r="K1987" s="47">
        <f t="array" ref="K1987">_xlfn.XLOOKUP(1,(참조!$B$2:$B$15=E1987)*(참조!$D$2:$D$15=C1987)*(참조!$E$2:$E$15=D1987),참조!$C$2:$C$15,"")</f>
        <v/>
      </c>
    </row>
    <row r="1988" hidden="1" s="27">
      <c r="A1988" s="47" t="n"/>
      <c r="B1988" s="47" t="n"/>
      <c r="C1988" s="47" t="n"/>
      <c r="D1988" s="47" t="n"/>
      <c r="E1988" s="47" t="n"/>
      <c r="F1988" s="47" t="n"/>
      <c r="G1988" s="47" t="n"/>
      <c r="H1988" s="48" t="n"/>
      <c r="I1988" s="48" t="n"/>
      <c r="J1988" s="48" t="n"/>
      <c r="K1988" s="47" t="n"/>
    </row>
    <row r="1989" hidden="1" s="27">
      <c r="A1989" s="47" t="n"/>
      <c r="B1989" s="47" t="n"/>
      <c r="C1989" s="47" t="n"/>
      <c r="D1989" s="47" t="n"/>
      <c r="E1989" s="47" t="n"/>
      <c r="F1989" s="47" t="n"/>
      <c r="G1989" s="47" t="n"/>
      <c r="H1989" s="48" t="n"/>
      <c r="I1989" s="48" t="n"/>
      <c r="J1989" s="48" t="n"/>
      <c r="K1989" s="47" t="n"/>
    </row>
    <row r="1990" hidden="1" s="27">
      <c r="A1990" s="47" t="n"/>
      <c r="B1990" s="47" t="n"/>
      <c r="C1990" s="47" t="n"/>
      <c r="D1990" s="47" t="n"/>
      <c r="E1990" s="47" t="n"/>
      <c r="F1990" s="47" t="n"/>
      <c r="G1990" s="47" t="n"/>
      <c r="H1990" s="48" t="n"/>
      <c r="I1990" s="48" t="n"/>
      <c r="J1990" s="48" t="n"/>
      <c r="K1990" s="47" t="n"/>
    </row>
    <row r="1991" hidden="1" s="27">
      <c r="A1991" s="47" t="n"/>
      <c r="B1991" s="47" t="n"/>
      <c r="C1991" s="47" t="n"/>
      <c r="D1991" s="47" t="n"/>
      <c r="E1991" s="47" t="n"/>
      <c r="F1991" s="47" t="n"/>
      <c r="G1991" s="47" t="n"/>
      <c r="H1991" s="48" t="n"/>
      <c r="I1991" s="48" t="n"/>
      <c r="J1991" s="48" t="n"/>
      <c r="K1991" s="47" t="n"/>
    </row>
    <row r="1992" hidden="1" s="27">
      <c r="A1992" s="47" t="n"/>
      <c r="B1992" s="47" t="n"/>
      <c r="C1992" s="47" t="n"/>
      <c r="D1992" s="47" t="n"/>
      <c r="E1992" s="47" t="n"/>
      <c r="F1992" s="47" t="n"/>
      <c r="G1992" s="47" t="n"/>
      <c r="H1992" s="48" t="n"/>
      <c r="I1992" s="48" t="n"/>
      <c r="J1992" s="48" t="n"/>
      <c r="K1992" s="47" t="n"/>
    </row>
    <row r="1993" hidden="1" s="27">
      <c r="A1993" s="47" t="n"/>
      <c r="B1993" s="47" t="n"/>
      <c r="C1993" s="47" t="n"/>
      <c r="D1993" s="47" t="n"/>
      <c r="E1993" s="47" t="n"/>
      <c r="F1993" s="47" t="n"/>
      <c r="G1993" s="47" t="n"/>
      <c r="H1993" s="48" t="n"/>
      <c r="I1993" s="48" t="n"/>
      <c r="J1993" s="48" t="n"/>
      <c r="K1993" s="47" t="n"/>
    </row>
    <row r="1994" hidden="1" s="27">
      <c r="A1994" s="47" t="n"/>
      <c r="B1994" s="47" t="n"/>
      <c r="C1994" s="47" t="n"/>
      <c r="D1994" s="47" t="n"/>
      <c r="E1994" s="47" t="n"/>
      <c r="F1994" s="47" t="n"/>
      <c r="G1994" s="47" t="n"/>
      <c r="H1994" s="48" t="n"/>
      <c r="I1994" s="48" t="n"/>
      <c r="J1994" s="48" t="n"/>
      <c r="K1994" s="47" t="n"/>
    </row>
    <row r="1995" hidden="1" s="27">
      <c r="A1995" s="47" t="n"/>
      <c r="B1995" s="47" t="n"/>
      <c r="C1995" s="47" t="n"/>
      <c r="D1995" s="47" t="n"/>
      <c r="E1995" s="47" t="n"/>
      <c r="F1995" s="47" t="n"/>
      <c r="G1995" s="47" t="n"/>
      <c r="H1995" s="48" t="n"/>
      <c r="I1995" s="48" t="n"/>
      <c r="J1995" s="48" t="n"/>
      <c r="K1995" s="47" t="n"/>
    </row>
    <row r="1996" hidden="1" s="27">
      <c r="A1996" s="47" t="n"/>
      <c r="B1996" s="47" t="n"/>
      <c r="C1996" s="47" t="n"/>
      <c r="D1996" s="47" t="n"/>
      <c r="E1996" s="47" t="n"/>
      <c r="F1996" s="47" t="n"/>
      <c r="G1996" s="47" t="n"/>
      <c r="H1996" s="48" t="n"/>
      <c r="I1996" s="48" t="n"/>
      <c r="J1996" s="48" t="n"/>
      <c r="K1996" s="47" t="n"/>
    </row>
    <row r="1997" hidden="1" s="27">
      <c r="A1997" s="47" t="n"/>
      <c r="B1997" s="47" t="n"/>
      <c r="C1997" s="47" t="n"/>
      <c r="D1997" s="47" t="n"/>
      <c r="E1997" s="47" t="n"/>
      <c r="F1997" s="47" t="n"/>
      <c r="G1997" s="47" t="n"/>
      <c r="H1997" s="48" t="n"/>
      <c r="I1997" s="48" t="n"/>
      <c r="J1997" s="48" t="n"/>
      <c r="K1997" s="47" t="n"/>
    </row>
    <row r="1998" hidden="1" s="27">
      <c r="A1998" s="47" t="n"/>
      <c r="B1998" s="47" t="n"/>
      <c r="C1998" s="47" t="n"/>
      <c r="D1998" s="47" t="n"/>
      <c r="E1998" s="47" t="n"/>
      <c r="F1998" s="47" t="n"/>
      <c r="G1998" s="47" t="n"/>
      <c r="H1998" s="48" t="n"/>
      <c r="I1998" s="48" t="n"/>
      <c r="J1998" s="48" t="n"/>
      <c r="K1998" s="47" t="n"/>
    </row>
    <row r="1999" hidden="1" s="27">
      <c r="A1999" s="47" t="n"/>
      <c r="B1999" s="47" t="n"/>
      <c r="C1999" s="47" t="n"/>
      <c r="D1999" s="47" t="n"/>
      <c r="E1999" s="47" t="n"/>
      <c r="F1999" s="47" t="n"/>
      <c r="G1999" s="47" t="n"/>
      <c r="H1999" s="48" t="n"/>
      <c r="I1999" s="48" t="n"/>
      <c r="J1999" s="48" t="n"/>
      <c r="K1999" s="47" t="n"/>
    </row>
    <row r="2000" hidden="1" s="27">
      <c r="A2000" s="47" t="n"/>
      <c r="B2000" s="47" t="n"/>
      <c r="C2000" s="47" t="n"/>
      <c r="D2000" s="47" t="n"/>
      <c r="E2000" s="47" t="n"/>
      <c r="F2000" s="47" t="n"/>
      <c r="G2000" s="47" t="n"/>
      <c r="H2000" s="48" t="n"/>
      <c r="I2000" s="48" t="n"/>
      <c r="J2000" s="48" t="n"/>
      <c r="K2000" s="47" t="n"/>
    </row>
    <row r="2001" hidden="1" s="27">
      <c r="A2001" s="47" t="n"/>
      <c r="B2001" s="47" t="n"/>
      <c r="C2001" s="47" t="n"/>
      <c r="D2001" s="47" t="n"/>
      <c r="E2001" s="47" t="n"/>
      <c r="F2001" s="47" t="n"/>
      <c r="G2001" s="47" t="n"/>
      <c r="H2001" s="48" t="n"/>
      <c r="I2001" s="48" t="n"/>
      <c r="J2001" s="48" t="n"/>
      <c r="K2001" s="47" t="n"/>
    </row>
    <row r="2002" hidden="1" s="27">
      <c r="A2002" s="47" t="n"/>
      <c r="B2002" s="47" t="n"/>
      <c r="C2002" s="47" t="n"/>
      <c r="D2002" s="47" t="n"/>
      <c r="E2002" s="47" t="n"/>
      <c r="F2002" s="47" t="n"/>
      <c r="G2002" s="47" t="n"/>
      <c r="H2002" s="48" t="n"/>
      <c r="I2002" s="48" t="n"/>
      <c r="J2002" s="48" t="n"/>
      <c r="K2002" s="47" t="n"/>
    </row>
    <row r="2003" hidden="1" s="27">
      <c r="A2003" s="47" t="n"/>
      <c r="B2003" s="47" t="n"/>
      <c r="C2003" s="47" t="n"/>
      <c r="D2003" s="47" t="n"/>
      <c r="E2003" s="47" t="n"/>
      <c r="F2003" s="47" t="n"/>
      <c r="G2003" s="47" t="n"/>
      <c r="H2003" s="48" t="n"/>
      <c r="I2003" s="48" t="n"/>
      <c r="J2003" s="48" t="n"/>
      <c r="K2003" s="47" t="n"/>
    </row>
    <row r="2004" hidden="1" s="27">
      <c r="A2004" s="47" t="n"/>
      <c r="B2004" s="47" t="n"/>
      <c r="C2004" s="47" t="n"/>
      <c r="D2004" s="47" t="n"/>
      <c r="E2004" s="47" t="n"/>
      <c r="F2004" s="47" t="n"/>
      <c r="G2004" s="47" t="n"/>
      <c r="H2004" s="48" t="n"/>
      <c r="I2004" s="48" t="n"/>
      <c r="J2004" s="48" t="n"/>
      <c r="K2004" s="47" t="n"/>
    </row>
    <row r="2005" hidden="1" s="27">
      <c r="A2005" s="47" t="n"/>
      <c r="B2005" s="47" t="n"/>
      <c r="C2005" s="47" t="n"/>
      <c r="D2005" s="47" t="n"/>
      <c r="E2005" s="47" t="n"/>
      <c r="F2005" s="47" t="n"/>
      <c r="G2005" s="47" t="n"/>
      <c r="H2005" s="48" t="n"/>
      <c r="I2005" s="48" t="n"/>
      <c r="J2005" s="48" t="n"/>
      <c r="K2005" s="47" t="n"/>
    </row>
    <row r="2006" hidden="1" s="27">
      <c r="A2006" s="47" t="n"/>
      <c r="B2006" s="47" t="n"/>
      <c r="C2006" s="47" t="n"/>
      <c r="D2006" s="47" t="n"/>
      <c r="E2006" s="47" t="n"/>
      <c r="F2006" s="47" t="n"/>
      <c r="G2006" s="47" t="n"/>
      <c r="H2006" s="48" t="n"/>
      <c r="I2006" s="48" t="n"/>
      <c r="J2006" s="48" t="n"/>
      <c r="K2006" s="47" t="n"/>
    </row>
    <row r="2007" hidden="1" s="27">
      <c r="A2007" s="47" t="n"/>
      <c r="B2007" s="47" t="n"/>
      <c r="C2007" s="47" t="n"/>
      <c r="D2007" s="47" t="n"/>
      <c r="E2007" s="47" t="n"/>
      <c r="F2007" s="47" t="n"/>
      <c r="G2007" s="47" t="n"/>
      <c r="H2007" s="48" t="n"/>
      <c r="I2007" s="48" t="n"/>
      <c r="J2007" s="48" t="n"/>
      <c r="K2007" s="47" t="n"/>
    </row>
    <row r="2008" hidden="1" s="27">
      <c r="A2008" s="47" t="n"/>
      <c r="B2008" s="47" t="n"/>
      <c r="C2008" s="47" t="n"/>
      <c r="D2008" s="47" t="n"/>
      <c r="E2008" s="47" t="n"/>
      <c r="F2008" s="47" t="n"/>
      <c r="G2008" s="47" t="n"/>
      <c r="H2008" s="48" t="n"/>
      <c r="I2008" s="48" t="n"/>
      <c r="J2008" s="48" t="n"/>
      <c r="K2008" s="47" t="n"/>
    </row>
    <row r="2009" hidden="1" s="27">
      <c r="A2009" s="47" t="n"/>
      <c r="B2009" s="47" t="n"/>
      <c r="C2009" s="47" t="n"/>
      <c r="D2009" s="47" t="n"/>
      <c r="E2009" s="47" t="n"/>
      <c r="F2009" s="47" t="n"/>
      <c r="G2009" s="47" t="n"/>
      <c r="H2009" s="48" t="n"/>
      <c r="I2009" s="48" t="n"/>
      <c r="J2009" s="48" t="n"/>
      <c r="K2009" s="47" t="n"/>
    </row>
    <row r="2010" hidden="1" s="27">
      <c r="A2010" s="47" t="n"/>
      <c r="B2010" s="47" t="n"/>
      <c r="C2010" s="47" t="n"/>
      <c r="D2010" s="47" t="n"/>
      <c r="E2010" s="47" t="n"/>
      <c r="F2010" s="47" t="n"/>
      <c r="G2010" s="47" t="n"/>
      <c r="H2010" s="48" t="n"/>
      <c r="I2010" s="48" t="n"/>
      <c r="J2010" s="48" t="n"/>
      <c r="K2010" s="47" t="n"/>
    </row>
    <row r="2011" hidden="1" s="27">
      <c r="A2011" s="47" t="n"/>
      <c r="B2011" s="47" t="n"/>
      <c r="C2011" s="47" t="n"/>
      <c r="D2011" s="47" t="n"/>
      <c r="E2011" s="47" t="n"/>
      <c r="F2011" s="47" t="n"/>
      <c r="G2011" s="47" t="n"/>
      <c r="H2011" s="48" t="n"/>
      <c r="I2011" s="48" t="n"/>
      <c r="J2011" s="48" t="n"/>
      <c r="K2011" s="47" t="n"/>
    </row>
    <row r="2012" hidden="1" s="27">
      <c r="A2012" s="47" t="n"/>
      <c r="B2012" s="47" t="n"/>
      <c r="C2012" s="47" t="n"/>
      <c r="D2012" s="47" t="n"/>
      <c r="E2012" s="47" t="n"/>
      <c r="F2012" s="47" t="n"/>
      <c r="G2012" s="47" t="n"/>
      <c r="H2012" s="48" t="n"/>
      <c r="I2012" s="48" t="n"/>
      <c r="J2012" s="48" t="n"/>
      <c r="K2012" s="47" t="n"/>
    </row>
    <row r="2013" hidden="1" s="27">
      <c r="A2013" s="47" t="n"/>
      <c r="B2013" s="47" t="n"/>
      <c r="C2013" s="47" t="n"/>
      <c r="D2013" s="47" t="n"/>
      <c r="E2013" s="47" t="n"/>
      <c r="F2013" s="47" t="n"/>
      <c r="G2013" s="47" t="n"/>
      <c r="H2013" s="48" t="n"/>
      <c r="I2013" s="48" t="n"/>
      <c r="J2013" s="48" t="n"/>
      <c r="K2013" s="47" t="n"/>
    </row>
    <row r="2014" hidden="1" s="27">
      <c r="A2014" s="47" t="n"/>
      <c r="B2014" s="47" t="n"/>
      <c r="C2014" s="47" t="n"/>
      <c r="D2014" s="47" t="n"/>
      <c r="E2014" s="47" t="n"/>
      <c r="F2014" s="47" t="n"/>
      <c r="G2014" s="47" t="n"/>
      <c r="H2014" s="48" t="n"/>
      <c r="I2014" s="48" t="n"/>
      <c r="J2014" s="48" t="n"/>
      <c r="K2014" s="47" t="n"/>
    </row>
    <row r="2015" hidden="1" s="27">
      <c r="A2015" s="47" t="n"/>
      <c r="B2015" s="47" t="n"/>
      <c r="C2015" s="47" t="n"/>
      <c r="D2015" s="47" t="n"/>
      <c r="E2015" s="47" t="n"/>
      <c r="F2015" s="47" t="n"/>
      <c r="G2015" s="47" t="n"/>
      <c r="H2015" s="48" t="n"/>
      <c r="I2015" s="48" t="n"/>
      <c r="J2015" s="48" t="n"/>
      <c r="K2015" s="47" t="n"/>
    </row>
    <row r="2016" hidden="1" s="27">
      <c r="A2016" s="47" t="n"/>
      <c r="B2016" s="47" t="n"/>
      <c r="C2016" s="47" t="n"/>
      <c r="D2016" s="47" t="n"/>
      <c r="E2016" s="47" t="n"/>
      <c r="F2016" s="47" t="n"/>
      <c r="G2016" s="47" t="n"/>
      <c r="H2016" s="48" t="n"/>
      <c r="I2016" s="48" t="n"/>
      <c r="J2016" s="48" t="n"/>
      <c r="K2016" s="47" t="n"/>
    </row>
    <row r="2017" hidden="1" s="27">
      <c r="A2017" s="47" t="n"/>
      <c r="B2017" s="47" t="n"/>
      <c r="C2017" s="47" t="n"/>
      <c r="D2017" s="47" t="n"/>
      <c r="E2017" s="47" t="n"/>
      <c r="F2017" s="47" t="n"/>
      <c r="G2017" s="47" t="n"/>
      <c r="H2017" s="48" t="n"/>
      <c r="I2017" s="48" t="n"/>
      <c r="J2017" s="48" t="n"/>
      <c r="K2017" s="47" t="n"/>
    </row>
    <row r="2018" hidden="1" s="27">
      <c r="A2018" s="47" t="n"/>
      <c r="B2018" s="47" t="n"/>
      <c r="C2018" s="47" t="n"/>
      <c r="D2018" s="47" t="n"/>
      <c r="E2018" s="47" t="n"/>
      <c r="F2018" s="47" t="n"/>
      <c r="G2018" s="47" t="n"/>
      <c r="H2018" s="48" t="n"/>
      <c r="I2018" s="48" t="n"/>
      <c r="J2018" s="48" t="n"/>
      <c r="K2018" s="47" t="n"/>
    </row>
    <row r="2019" hidden="1" s="27">
      <c r="A2019" s="47" t="n"/>
      <c r="B2019" s="47" t="n"/>
      <c r="C2019" s="47" t="n"/>
      <c r="D2019" s="47" t="n"/>
      <c r="E2019" s="47" t="n"/>
      <c r="F2019" s="47" t="n"/>
      <c r="G2019" s="47" t="n"/>
      <c r="H2019" s="48" t="n"/>
      <c r="I2019" s="48" t="n"/>
      <c r="J2019" s="48" t="n"/>
      <c r="K2019" s="47" t="n"/>
    </row>
    <row r="2020" hidden="1" s="27">
      <c r="A2020" s="47" t="n"/>
      <c r="B2020" s="47" t="n"/>
      <c r="C2020" s="47" t="n"/>
      <c r="D2020" s="47" t="n"/>
      <c r="E2020" s="47" t="n"/>
      <c r="F2020" s="47" t="n"/>
      <c r="G2020" s="47" t="n"/>
      <c r="H2020" s="48" t="n"/>
      <c r="I2020" s="48" t="n"/>
      <c r="J2020" s="48" t="n"/>
      <c r="K2020" s="47" t="n"/>
    </row>
    <row r="2021" hidden="1" s="27">
      <c r="A2021" s="47" t="n"/>
      <c r="B2021" s="47" t="n"/>
      <c r="C2021" s="47" t="n"/>
      <c r="D2021" s="47" t="n"/>
      <c r="E2021" s="47" t="n"/>
      <c r="F2021" s="47" t="n"/>
      <c r="G2021" s="47" t="n"/>
      <c r="H2021" s="48" t="n"/>
      <c r="I2021" s="48" t="n"/>
      <c r="J2021" s="48" t="n"/>
      <c r="K2021" s="47" t="n"/>
    </row>
    <row r="2022" hidden="1" s="27">
      <c r="A2022" s="47" t="n"/>
      <c r="B2022" s="47" t="n"/>
      <c r="C2022" s="47" t="n"/>
      <c r="D2022" s="47" t="n"/>
      <c r="E2022" s="47" t="n"/>
      <c r="F2022" s="47" t="n"/>
      <c r="G2022" s="47" t="n"/>
      <c r="H2022" s="48" t="n"/>
      <c r="I2022" s="48" t="n"/>
      <c r="J2022" s="48" t="n"/>
      <c r="K2022" s="47" t="n"/>
    </row>
    <row r="2023" hidden="1" s="27">
      <c r="A2023" s="47" t="n"/>
      <c r="B2023" s="47" t="n"/>
      <c r="C2023" s="47" t="n"/>
      <c r="D2023" s="47" t="n"/>
      <c r="E2023" s="47" t="n"/>
      <c r="F2023" s="47" t="n"/>
      <c r="G2023" s="47" t="n"/>
      <c r="H2023" s="48" t="n"/>
      <c r="I2023" s="48" t="n"/>
      <c r="J2023" s="48" t="n"/>
      <c r="K2023" s="47" t="n"/>
    </row>
    <row r="2024" hidden="1" s="27">
      <c r="A2024" s="47" t="n"/>
      <c r="B2024" s="47" t="n"/>
      <c r="C2024" s="47" t="n"/>
      <c r="D2024" s="47" t="n"/>
      <c r="E2024" s="47" t="n"/>
      <c r="F2024" s="47" t="n"/>
      <c r="G2024" s="47" t="n"/>
      <c r="H2024" s="48" t="n"/>
      <c r="I2024" s="48" t="n"/>
      <c r="J2024" s="48" t="n"/>
      <c r="K2024" s="47" t="n"/>
    </row>
    <row r="2025" hidden="1" s="27">
      <c r="A2025" s="47" t="n"/>
      <c r="B2025" s="47" t="n"/>
      <c r="C2025" s="47" t="n"/>
      <c r="D2025" s="47" t="n"/>
      <c r="E2025" s="47" t="n"/>
      <c r="F2025" s="47" t="n"/>
      <c r="G2025" s="47" t="n"/>
      <c r="H2025" s="48" t="n"/>
      <c r="I2025" s="48" t="n"/>
      <c r="J2025" s="48" t="n"/>
      <c r="K2025" s="47" t="n"/>
    </row>
    <row r="2026" hidden="1" s="27">
      <c r="A2026" s="47" t="n"/>
      <c r="B2026" s="47" t="n"/>
      <c r="C2026" s="47" t="n"/>
      <c r="D2026" s="47" t="n"/>
      <c r="E2026" s="47" t="n"/>
      <c r="F2026" s="47" t="n"/>
      <c r="G2026" s="47" t="n"/>
      <c r="H2026" s="48" t="n"/>
      <c r="I2026" s="48" t="n"/>
      <c r="J2026" s="48" t="n"/>
      <c r="K2026" s="47" t="n"/>
    </row>
    <row r="2027" hidden="1" s="27">
      <c r="A2027" s="47" t="n"/>
      <c r="B2027" s="47" t="n"/>
      <c r="C2027" s="47" t="n"/>
      <c r="D2027" s="47" t="n"/>
      <c r="E2027" s="47" t="n"/>
      <c r="F2027" s="47" t="n"/>
      <c r="G2027" s="47" t="n"/>
      <c r="H2027" s="48" t="n"/>
      <c r="I2027" s="48" t="n"/>
      <c r="J2027" s="48" t="n"/>
      <c r="K2027" s="47" t="n"/>
    </row>
    <row r="2028" hidden="1" s="27">
      <c r="A2028" s="47" t="n"/>
      <c r="B2028" s="47" t="n"/>
      <c r="C2028" s="47" t="n"/>
      <c r="D2028" s="47" t="n"/>
      <c r="E2028" s="47" t="n"/>
      <c r="F2028" s="47" t="n"/>
      <c r="G2028" s="47" t="n"/>
      <c r="H2028" s="48" t="n"/>
      <c r="I2028" s="48" t="n"/>
      <c r="J2028" s="48" t="n"/>
      <c r="K2028" s="47" t="n"/>
    </row>
    <row r="2029" hidden="1" s="27">
      <c r="A2029" s="47" t="n"/>
      <c r="B2029" s="47" t="n"/>
      <c r="C2029" s="47" t="n"/>
      <c r="D2029" s="47" t="n"/>
      <c r="E2029" s="47" t="n"/>
      <c r="F2029" s="47" t="n"/>
      <c r="G2029" s="47" t="n"/>
      <c r="H2029" s="48" t="n"/>
      <c r="I2029" s="48" t="n"/>
      <c r="J2029" s="48" t="n"/>
      <c r="K2029" s="47" t="n"/>
    </row>
    <row r="2030" hidden="1" s="27">
      <c r="A2030" s="47" t="n"/>
      <c r="B2030" s="47" t="n"/>
      <c r="C2030" s="47" t="n"/>
      <c r="D2030" s="47" t="n"/>
      <c r="E2030" s="47" t="n"/>
      <c r="F2030" s="47" t="n"/>
      <c r="G2030" s="47" t="n"/>
      <c r="H2030" s="48" t="n"/>
      <c r="I2030" s="48" t="n"/>
      <c r="J2030" s="48" t="n"/>
      <c r="K2030" s="47" t="n"/>
    </row>
    <row r="2031" hidden="1" s="27">
      <c r="A2031" s="47" t="n"/>
      <c r="B2031" s="47" t="n"/>
      <c r="C2031" s="47" t="n"/>
      <c r="D2031" s="47" t="n"/>
      <c r="E2031" s="47" t="n"/>
      <c r="F2031" s="47" t="n"/>
      <c r="G2031" s="47" t="n"/>
      <c r="H2031" s="48" t="n"/>
      <c r="I2031" s="48" t="n"/>
      <c r="J2031" s="48" t="n"/>
      <c r="K2031" s="47" t="n"/>
    </row>
    <row r="2032" hidden="1" s="27">
      <c r="A2032" s="47" t="n"/>
      <c r="B2032" s="47" t="n"/>
      <c r="C2032" s="47" t="n"/>
      <c r="D2032" s="47" t="n"/>
      <c r="E2032" s="47" t="n"/>
      <c r="F2032" s="47" t="n"/>
      <c r="G2032" s="47" t="n"/>
      <c r="H2032" s="48" t="n"/>
      <c r="I2032" s="48" t="n"/>
      <c r="J2032" s="48" t="n"/>
      <c r="K2032" s="47" t="n"/>
    </row>
    <row r="2033" hidden="1" s="27">
      <c r="A2033" s="47" t="n"/>
      <c r="B2033" s="47" t="n"/>
      <c r="C2033" s="47" t="n"/>
      <c r="D2033" s="47" t="n"/>
      <c r="E2033" s="47" t="n"/>
      <c r="F2033" s="47" t="n"/>
      <c r="G2033" s="47" t="n"/>
      <c r="H2033" s="48" t="n"/>
      <c r="I2033" s="48" t="n"/>
      <c r="J2033" s="48" t="n"/>
      <c r="K2033" s="47" t="n"/>
    </row>
    <row r="2034" hidden="1" s="27">
      <c r="A2034" s="47" t="n"/>
      <c r="B2034" s="47" t="n"/>
      <c r="C2034" s="47" t="n"/>
      <c r="D2034" s="47" t="n"/>
      <c r="E2034" s="47" t="n"/>
      <c r="F2034" s="47" t="n"/>
      <c r="G2034" s="47" t="n"/>
      <c r="H2034" s="48" t="n"/>
      <c r="I2034" s="48" t="n"/>
      <c r="J2034" s="48" t="n"/>
      <c r="K2034" s="47" t="n"/>
    </row>
    <row r="2035" hidden="1" s="27">
      <c r="A2035" s="47" t="n"/>
      <c r="B2035" s="47" t="n"/>
      <c r="C2035" s="47" t="n"/>
      <c r="D2035" s="47" t="n"/>
      <c r="E2035" s="47" t="n"/>
      <c r="F2035" s="47" t="n"/>
      <c r="G2035" s="47" t="n"/>
      <c r="H2035" s="48" t="n"/>
      <c r="I2035" s="48" t="n"/>
      <c r="J2035" s="48" t="n"/>
      <c r="K2035" s="47" t="n"/>
    </row>
    <row r="2036" hidden="1" s="27">
      <c r="A2036" s="47" t="n"/>
      <c r="B2036" s="47" t="n"/>
      <c r="C2036" s="47" t="n"/>
      <c r="D2036" s="47" t="n"/>
      <c r="E2036" s="47" t="n"/>
      <c r="F2036" s="47" t="n"/>
      <c r="G2036" s="47" t="n"/>
      <c r="H2036" s="48" t="n"/>
      <c r="I2036" s="48" t="n"/>
      <c r="J2036" s="48" t="n"/>
      <c r="K2036" s="47" t="n"/>
    </row>
    <row r="2037" hidden="1" s="27">
      <c r="A2037" s="47" t="n"/>
      <c r="B2037" s="47" t="n"/>
      <c r="C2037" s="47" t="n"/>
      <c r="D2037" s="47" t="n"/>
      <c r="E2037" s="47" t="n"/>
      <c r="F2037" s="47" t="n"/>
      <c r="G2037" s="47" t="n"/>
      <c r="H2037" s="48" t="n"/>
      <c r="I2037" s="48" t="n"/>
      <c r="J2037" s="48" t="n"/>
      <c r="K2037" s="47" t="n"/>
    </row>
    <row r="2038" hidden="1" s="27">
      <c r="A2038" s="47" t="n"/>
      <c r="B2038" s="47" t="n"/>
      <c r="C2038" s="47" t="n"/>
      <c r="D2038" s="47" t="n"/>
      <c r="E2038" s="47" t="n"/>
      <c r="F2038" s="47" t="n"/>
      <c r="G2038" s="47" t="n"/>
      <c r="H2038" s="48" t="n"/>
      <c r="I2038" s="48" t="n"/>
      <c r="J2038" s="48" t="n"/>
      <c r="K2038" s="47" t="n"/>
    </row>
    <row r="2039" hidden="1" s="27">
      <c r="A2039" s="47" t="n"/>
      <c r="B2039" s="47" t="n"/>
      <c r="C2039" s="47" t="n"/>
      <c r="D2039" s="47" t="n"/>
      <c r="E2039" s="47" t="n"/>
      <c r="F2039" s="47" t="n"/>
      <c r="G2039" s="47" t="n"/>
      <c r="H2039" s="48" t="n"/>
      <c r="I2039" s="48" t="n"/>
      <c r="J2039" s="48" t="n"/>
      <c r="K2039" s="47" t="n"/>
    </row>
    <row r="2040" hidden="1" s="27">
      <c r="A2040" s="47" t="n"/>
      <c r="B2040" s="47" t="n"/>
      <c r="C2040" s="47" t="n"/>
      <c r="D2040" s="47" t="n"/>
      <c r="E2040" s="47" t="n"/>
      <c r="F2040" s="47" t="n"/>
      <c r="G2040" s="47" t="n"/>
      <c r="H2040" s="48" t="n"/>
      <c r="I2040" s="48" t="n"/>
      <c r="J2040" s="48" t="n"/>
      <c r="K2040" s="47" t="n"/>
    </row>
    <row r="2041" hidden="1" s="27">
      <c r="A2041" s="47" t="n"/>
      <c r="B2041" s="47" t="n"/>
      <c r="C2041" s="47" t="n"/>
      <c r="D2041" s="47" t="n"/>
      <c r="E2041" s="47" t="n"/>
      <c r="F2041" s="47" t="n"/>
      <c r="G2041" s="47" t="n"/>
      <c r="H2041" s="48" t="n"/>
      <c r="I2041" s="48" t="n"/>
      <c r="J2041" s="48" t="n"/>
      <c r="K2041" s="47" t="n"/>
    </row>
    <row r="2042" hidden="1" s="27">
      <c r="A2042" s="47" t="n"/>
      <c r="B2042" s="47" t="n"/>
      <c r="C2042" s="47" t="n"/>
      <c r="D2042" s="47" t="n"/>
      <c r="E2042" s="47" t="n"/>
      <c r="F2042" s="47" t="n"/>
      <c r="G2042" s="47" t="n"/>
      <c r="H2042" s="48" t="n"/>
      <c r="I2042" s="48" t="n"/>
      <c r="J2042" s="48" t="n"/>
      <c r="K2042" s="47" t="n"/>
    </row>
    <row r="2043" hidden="1" s="27">
      <c r="A2043" s="47" t="n"/>
      <c r="B2043" s="47" t="n"/>
      <c r="C2043" s="47" t="n"/>
      <c r="D2043" s="47" t="n"/>
      <c r="E2043" s="47" t="n"/>
      <c r="F2043" s="47" t="n"/>
      <c r="G2043" s="47" t="n"/>
      <c r="H2043" s="48" t="n"/>
      <c r="I2043" s="48" t="n"/>
      <c r="J2043" s="48" t="n"/>
      <c r="K2043" s="47" t="n"/>
    </row>
    <row r="2044" hidden="1" s="27">
      <c r="A2044" s="47" t="n"/>
      <c r="B2044" s="47" t="n"/>
      <c r="C2044" s="47" t="n"/>
      <c r="D2044" s="47" t="n"/>
      <c r="E2044" s="47" t="n"/>
      <c r="F2044" s="47" t="n"/>
      <c r="G2044" s="47" t="n"/>
      <c r="H2044" s="48" t="n"/>
      <c r="I2044" s="48" t="n"/>
      <c r="J2044" s="48" t="n"/>
      <c r="K2044" s="47" t="n"/>
    </row>
    <row r="2045" hidden="1" s="27">
      <c r="A2045" s="47" t="n"/>
      <c r="B2045" s="47" t="n"/>
      <c r="C2045" s="47" t="n"/>
      <c r="D2045" s="47" t="n"/>
      <c r="E2045" s="47" t="n"/>
      <c r="F2045" s="47" t="n"/>
      <c r="G2045" s="47" t="n"/>
      <c r="H2045" s="48" t="n"/>
      <c r="I2045" s="48" t="n"/>
      <c r="J2045" s="48" t="n"/>
      <c r="K2045" s="47" t="n"/>
    </row>
    <row r="2046" hidden="1" s="27">
      <c r="A2046" s="47" t="n"/>
      <c r="B2046" s="47" t="n"/>
      <c r="C2046" s="47" t="n"/>
      <c r="D2046" s="47" t="n"/>
      <c r="E2046" s="47" t="n"/>
      <c r="F2046" s="47" t="n"/>
      <c r="G2046" s="47" t="n"/>
      <c r="H2046" s="48" t="n"/>
      <c r="I2046" s="48" t="n"/>
      <c r="J2046" s="48" t="n"/>
      <c r="K2046" s="47" t="n"/>
    </row>
    <row r="2047" hidden="1" s="27">
      <c r="A2047" s="47" t="n"/>
      <c r="B2047" s="47" t="n"/>
      <c r="C2047" s="47" t="n"/>
      <c r="D2047" s="47" t="n"/>
      <c r="E2047" s="47" t="n"/>
      <c r="F2047" s="47" t="n"/>
      <c r="G2047" s="47" t="n"/>
      <c r="H2047" s="48" t="n"/>
      <c r="I2047" s="48" t="n"/>
      <c r="J2047" s="48" t="n"/>
      <c r="K2047" s="47" t="n"/>
    </row>
    <row r="2048" hidden="1" s="27">
      <c r="A2048" s="47" t="n"/>
      <c r="B2048" s="47" t="n"/>
      <c r="C2048" s="47" t="n"/>
      <c r="D2048" s="47" t="n"/>
      <c r="E2048" s="47" t="n"/>
      <c r="F2048" s="47" t="n"/>
      <c r="G2048" s="47" t="n"/>
      <c r="H2048" s="48" t="n"/>
      <c r="I2048" s="48" t="n"/>
      <c r="J2048" s="48" t="n"/>
      <c r="K2048" s="47" t="n"/>
    </row>
    <row r="2049" hidden="1" s="27">
      <c r="A2049" s="47" t="n"/>
      <c r="B2049" s="47" t="n"/>
      <c r="C2049" s="47" t="n"/>
      <c r="D2049" s="47" t="n"/>
      <c r="E2049" s="47" t="n"/>
      <c r="F2049" s="47" t="n"/>
      <c r="G2049" s="47" t="n"/>
      <c r="H2049" s="48" t="n"/>
      <c r="I2049" s="48" t="n"/>
      <c r="J2049" s="48" t="n"/>
      <c r="K2049" s="47" t="n"/>
    </row>
    <row r="2050" hidden="1" s="27">
      <c r="A2050" s="47" t="n"/>
      <c r="B2050" s="47" t="n"/>
      <c r="C2050" s="47" t="n"/>
      <c r="D2050" s="47" t="n"/>
      <c r="E2050" s="47" t="n"/>
      <c r="F2050" s="47" t="n"/>
      <c r="G2050" s="47" t="n"/>
      <c r="H2050" s="48" t="n"/>
      <c r="I2050" s="48" t="n"/>
      <c r="J2050" s="48" t="n"/>
      <c r="K2050" s="47" t="n"/>
    </row>
    <row r="2051" hidden="1" s="27">
      <c r="A2051" s="47" t="n"/>
      <c r="B2051" s="47" t="n"/>
      <c r="C2051" s="47" t="n"/>
      <c r="D2051" s="47" t="n"/>
      <c r="E2051" s="47" t="n"/>
      <c r="F2051" s="47" t="n"/>
      <c r="G2051" s="47" t="n"/>
      <c r="H2051" s="48" t="n"/>
      <c r="I2051" s="48" t="n"/>
      <c r="J2051" s="48" t="n"/>
      <c r="K2051" s="47" t="n"/>
    </row>
    <row r="2052" hidden="1" s="27">
      <c r="A2052" s="47" t="n"/>
      <c r="B2052" s="47" t="n"/>
      <c r="C2052" s="47" t="n"/>
      <c r="D2052" s="47" t="n"/>
      <c r="E2052" s="47" t="n"/>
      <c r="F2052" s="47" t="n"/>
      <c r="G2052" s="47" t="n"/>
      <c r="H2052" s="48" t="n"/>
      <c r="I2052" s="48" t="n"/>
      <c r="J2052" s="48" t="n"/>
      <c r="K2052" s="47" t="n"/>
    </row>
    <row r="2053" hidden="1" s="27">
      <c r="A2053" s="47" t="n"/>
      <c r="B2053" s="47" t="n"/>
      <c r="C2053" s="47" t="n"/>
      <c r="D2053" s="47" t="n"/>
      <c r="E2053" s="47" t="n"/>
      <c r="F2053" s="47" t="n"/>
      <c r="G2053" s="47" t="n"/>
      <c r="H2053" s="48" t="n"/>
      <c r="I2053" s="48" t="n"/>
      <c r="J2053" s="48" t="n"/>
      <c r="K2053" s="47" t="n"/>
    </row>
    <row r="2054" hidden="1" s="27">
      <c r="A2054" s="47" t="n"/>
      <c r="B2054" s="47" t="n"/>
      <c r="C2054" s="47" t="n"/>
      <c r="D2054" s="47" t="n"/>
      <c r="E2054" s="47" t="n"/>
      <c r="F2054" s="47" t="n"/>
      <c r="G2054" s="47" t="n"/>
      <c r="H2054" s="48" t="n"/>
      <c r="I2054" s="48" t="n"/>
      <c r="J2054" s="48" t="n"/>
      <c r="K2054" s="47" t="n"/>
    </row>
    <row r="2055" hidden="1" s="27">
      <c r="A2055" s="47" t="n"/>
      <c r="B2055" s="47" t="n"/>
      <c r="C2055" s="47" t="n"/>
      <c r="D2055" s="47" t="n"/>
      <c r="E2055" s="47" t="n"/>
      <c r="F2055" s="47" t="n"/>
      <c r="G2055" s="47" t="n"/>
      <c r="H2055" s="48" t="n"/>
      <c r="I2055" s="48" t="n"/>
      <c r="J2055" s="48" t="n"/>
      <c r="K2055" s="47" t="n"/>
    </row>
    <row r="2056" hidden="1" s="27">
      <c r="A2056" s="47" t="n"/>
      <c r="B2056" s="47" t="n"/>
      <c r="C2056" s="47" t="n"/>
      <c r="D2056" s="47" t="n"/>
      <c r="E2056" s="47" t="n"/>
      <c r="F2056" s="47" t="n"/>
      <c r="G2056" s="47" t="n"/>
      <c r="H2056" s="48" t="n"/>
      <c r="I2056" s="48" t="n"/>
      <c r="J2056" s="48" t="n"/>
      <c r="K2056" s="47" t="n"/>
    </row>
    <row r="2057" hidden="1" s="27">
      <c r="A2057" s="47" t="n"/>
      <c r="B2057" s="47" t="n"/>
      <c r="C2057" s="47" t="n"/>
      <c r="D2057" s="47" t="n"/>
      <c r="E2057" s="47" t="n"/>
      <c r="F2057" s="47" t="n"/>
      <c r="G2057" s="47" t="n"/>
      <c r="H2057" s="48" t="n"/>
      <c r="I2057" s="48" t="n"/>
      <c r="J2057" s="48" t="n"/>
      <c r="K2057" s="47" t="n"/>
    </row>
    <row r="2058" hidden="1" s="27">
      <c r="A2058" s="47" t="n"/>
      <c r="B2058" s="47" t="n"/>
      <c r="C2058" s="47" t="n"/>
      <c r="D2058" s="47" t="n"/>
      <c r="E2058" s="47" t="n"/>
      <c r="F2058" s="47" t="n"/>
      <c r="G2058" s="47" t="n"/>
      <c r="H2058" s="48" t="n"/>
      <c r="I2058" s="48" t="n"/>
      <c r="J2058" s="48" t="n"/>
      <c r="K2058" s="47" t="n"/>
    </row>
    <row r="2059" hidden="1" s="27">
      <c r="A2059" s="47" t="n"/>
      <c r="B2059" s="47" t="n"/>
      <c r="C2059" s="47" t="n"/>
      <c r="D2059" s="47" t="n"/>
      <c r="E2059" s="47" t="n"/>
      <c r="F2059" s="47" t="n"/>
      <c r="G2059" s="47" t="n"/>
      <c r="H2059" s="48" t="n"/>
      <c r="I2059" s="48" t="n"/>
      <c r="J2059" s="48" t="n"/>
      <c r="K2059" s="47" t="n"/>
    </row>
    <row r="2060" hidden="1" s="27">
      <c r="A2060" s="47" t="n"/>
      <c r="B2060" s="47" t="n"/>
      <c r="C2060" s="47" t="n"/>
      <c r="D2060" s="47" t="n"/>
      <c r="E2060" s="47" t="n"/>
      <c r="F2060" s="47" t="n"/>
      <c r="G2060" s="47" t="n"/>
      <c r="H2060" s="48" t="n"/>
      <c r="I2060" s="48" t="n"/>
      <c r="J2060" s="48" t="n"/>
      <c r="K2060" s="47" t="n"/>
    </row>
    <row r="2061" hidden="1" s="27">
      <c r="A2061" s="47" t="n"/>
      <c r="B2061" s="47" t="n"/>
      <c r="C2061" s="47" t="n"/>
      <c r="D2061" s="47" t="n"/>
      <c r="E2061" s="47" t="n"/>
      <c r="F2061" s="47" t="n"/>
      <c r="G2061" s="47" t="n"/>
      <c r="H2061" s="48" t="n"/>
      <c r="I2061" s="48" t="n"/>
      <c r="J2061" s="48" t="n"/>
      <c r="K2061" s="47" t="n"/>
    </row>
  </sheetData>
  <autoFilter ref="A1:K1987">
    <filterColumn colId="4" hiddenButton="0" showButton="1">
      <filters>
        <filter val="월 71GB + 3Mbps"/>
      </filters>
    </filterColumn>
  </autoFilter>
  <pageMargins left="0.75" right="0.75" top="1" bottom="1" header="0.5" footer="0.5"/>
  <headerFooter>
    <oddHeader>&amp;L&amp;"Aptos"&amp;1 &amp;KFF0000 LGUplus-InternalUseOnly(사내한)/2026-09-17T08:35:21/kjch444@lguplus.co.kr#_x000d_</oddHeader>
    <oddFooter>&amp;R&amp;"Aptos"&amp;11 &amp;KFF0000_x000d_# LGUplus-InternalUseOnly(사내한)/2026-09-17T08:35:21/kjch444@lguplus.co.kr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B4" sqref="B4"/>
    </sheetView>
  </sheetViews>
  <sheetFormatPr baseColWidth="8" defaultRowHeight="16.5"/>
  <cols>
    <col width="8" customWidth="1" style="27" min="2" max="2"/>
    <col width="18" customWidth="1" style="27" min="3" max="3"/>
    <col width="48" customWidth="1" style="27" min="4" max="4"/>
    <col width="14" customWidth="1" style="27" min="5" max="5"/>
    <col width="12" customWidth="1" style="27" min="6" max="6"/>
    <col width="16" customWidth="1" style="27" min="7" max="7"/>
    <col width="80" customWidth="1" style="27" min="9" max="9"/>
  </cols>
  <sheetData>
    <row r="1"/>
    <row r="2" ht="17.25" customHeight="1" s="27">
      <c r="B2" s="49" t="inlineStr">
        <is>
          <t>■RS요금제 가이드 위반</t>
        </is>
      </c>
    </row>
    <row r="3">
      <c r="B3" s="50" t="inlineStr">
        <is>
          <t>순번</t>
        </is>
      </c>
      <c r="C3" s="50" t="inlineStr">
        <is>
          <t>사업자</t>
        </is>
      </c>
      <c r="D3" s="50" t="inlineStr">
        <is>
          <t>요금제 명</t>
        </is>
      </c>
      <c r="E3" s="50" t="inlineStr">
        <is>
          <t>월 요금</t>
        </is>
      </c>
      <c r="F3" s="50" t="inlineStr">
        <is>
          <t>할인 기간</t>
        </is>
      </c>
      <c r="G3" s="50" t="inlineStr">
        <is>
          <t>기간 이후 요금</t>
        </is>
      </c>
    </row>
    <row r="4">
      <c r="E4" s="6" t="n"/>
      <c r="F4" s="6" t="n"/>
      <c r="G4" s="6" t="n"/>
    </row>
    <row r="5">
      <c r="E5" s="6" t="n"/>
      <c r="F5" s="6" t="n"/>
      <c r="G5" s="6" t="n"/>
    </row>
    <row r="6">
      <c r="E6" s="6" t="n"/>
      <c r="F6" s="6" t="n"/>
      <c r="G6" s="6" t="n"/>
    </row>
    <row r="7">
      <c r="E7" s="6" t="n"/>
      <c r="F7" s="6" t="n"/>
      <c r="G7" s="6" t="n"/>
    </row>
    <row r="8">
      <c r="E8" s="6" t="n"/>
      <c r="F8" s="6" t="n"/>
      <c r="G8" s="6" t="n"/>
    </row>
    <row r="9"/>
    <row r="10"/>
    <row r="11"/>
    <row r="12"/>
    <row r="13"/>
    <row r="14"/>
    <row r="15"/>
    <row r="16"/>
    <row r="17" ht="17.25" customHeight="1" s="27">
      <c r="B17" s="49" t="inlineStr">
        <is>
          <t>■RM요금제 가이드 위반</t>
        </is>
      </c>
    </row>
    <row r="18">
      <c r="B18" s="50" t="inlineStr">
        <is>
          <t>순번</t>
        </is>
      </c>
      <c r="C18" s="50" t="inlineStr">
        <is>
          <t>사업자</t>
        </is>
      </c>
      <c r="D18" s="50" t="inlineStr">
        <is>
          <t>요금제 명</t>
        </is>
      </c>
      <c r="E18" s="50" t="inlineStr">
        <is>
          <t>월 요금</t>
        </is>
      </c>
      <c r="F18" s="50" t="inlineStr">
        <is>
          <t>할인 기간</t>
        </is>
      </c>
      <c r="G18" s="50" t="inlineStr">
        <is>
          <t>기간 이후 요금</t>
        </is>
      </c>
    </row>
    <row r="19"/>
  </sheetData>
  <pageMargins left="0.75" right="0.75" top="1" bottom="1" header="0.5" footer="0.5"/>
  <headerFooter>
    <oddHeader>&amp;L&amp;"Aptos"&amp;1 &amp;KFF0000 LGUplus-InternalUseOnly(사내한)/2026-09-17T08:35:21/kjch444@lguplus.co.kr#_x000d_</oddHeader>
    <oddFooter>&amp;R&amp;"Aptos"&amp;11 &amp;KFF0000_x000d_# LGUplus-InternalUseOnly(사내한)/2026-09-17T08:35:21/kjch444@lguplus.co.kr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0" workbookViewId="0">
      <pane ySplit="1" topLeftCell="A2" activePane="bottomLeft" state="frozen"/>
      <selection pane="bottomLeft" activeCell="D5" sqref="D5"/>
    </sheetView>
  </sheetViews>
  <sheetFormatPr baseColWidth="8" defaultRowHeight="16.5"/>
  <cols>
    <col width="14" customWidth="1" style="27" min="1" max="1"/>
    <col width="18" customWidth="1" style="27" min="2" max="2"/>
    <col width="48" customWidth="1" style="27" min="3" max="3"/>
    <col width="12" customWidth="1" style="27" min="4" max="4"/>
    <col width="10" customWidth="1" style="27" min="5" max="5"/>
    <col width="14" customWidth="1" style="27" min="6" max="9"/>
    <col width="14" customWidth="1" style="27" min="7" max="7"/>
    <col width="14" customWidth="1" style="27" min="8" max="8"/>
    <col width="14" customWidth="1" style="27" min="9" max="9"/>
    <col width="16" customWidth="1" style="27" min="10" max="11"/>
    <col width="16" customWidth="1" style="27" min="11" max="11"/>
  </cols>
  <sheetData>
    <row r="1">
      <c r="A1" s="51" t="inlineStr">
        <is>
          <t>변동구분</t>
        </is>
      </c>
      <c r="B1" s="51" t="inlineStr">
        <is>
          <t>사업자</t>
        </is>
      </c>
      <c r="C1" s="51" t="inlineStr">
        <is>
          <t>요금제</t>
        </is>
      </c>
      <c r="D1" s="51" t="inlineStr">
        <is>
          <t>망정보</t>
        </is>
      </c>
      <c r="E1" s="51" t="inlineStr">
        <is>
          <t>LTE/5G</t>
        </is>
      </c>
      <c r="F1" s="51" t="inlineStr">
        <is>
          <t>전일 월요금</t>
        </is>
      </c>
      <c r="G1" s="51" t="inlineStr">
        <is>
          <t>금일 월요금</t>
        </is>
      </c>
      <c r="H1" s="51" t="inlineStr">
        <is>
          <t>전일 할인기간</t>
        </is>
      </c>
      <c r="I1" s="51" t="inlineStr">
        <is>
          <t>금일 할인기간</t>
        </is>
      </c>
      <c r="J1" s="51" t="inlineStr">
        <is>
          <t>전일 이후요금</t>
        </is>
      </c>
      <c r="K1" s="51" t="inlineStr">
        <is>
          <t>금일 이후요금</t>
        </is>
      </c>
    </row>
    <row r="2">
      <c r="A2" t="inlineStr">
        <is>
          <t>삭제</t>
        </is>
      </c>
      <c r="B2" t="inlineStr">
        <is>
          <t>LG헬로모바일</t>
        </is>
      </c>
      <c r="C2" t="inlineStr">
        <is>
          <t>DATA 걱정없는 유심 1GB</t>
        </is>
      </c>
      <c r="D2" t="inlineStr">
        <is>
          <t>LG U+</t>
        </is>
      </c>
      <c r="E2" t="inlineStr">
        <is>
          <t>LTE</t>
        </is>
      </c>
      <c r="F2" s="6" t="n">
        <v>7500</v>
      </c>
      <c r="G2" s="6" t="n"/>
      <c r="H2" s="6" t="n">
        <v>7</v>
      </c>
      <c r="I2" s="6" t="n"/>
      <c r="J2" s="6" t="n">
        <v>11550</v>
      </c>
      <c r="K2" s="6" t="n"/>
    </row>
    <row r="3">
      <c r="A3" t="inlineStr">
        <is>
          <t>신규</t>
        </is>
      </c>
      <c r="B3" t="inlineStr">
        <is>
          <t>U+유모바일</t>
        </is>
      </c>
      <c r="C3" t="inlineStr">
        <is>
          <t>[평생할인] 5G 15GB+/300분</t>
        </is>
      </c>
      <c r="D3" t="inlineStr">
        <is>
          <t>LG U+</t>
        </is>
      </c>
      <c r="E3" t="inlineStr">
        <is>
          <t>5G</t>
        </is>
      </c>
      <c r="F3" s="6" t="n"/>
      <c r="G3" s="6" t="n">
        <v>16900</v>
      </c>
      <c r="H3" s="6" t="n"/>
      <c r="I3" s="6" t="n"/>
      <c r="J3" s="6" t="n"/>
      <c r="K3" s="6" t="n"/>
    </row>
    <row r="4">
      <c r="F4" s="6" t="n"/>
      <c r="G4" s="6" t="n"/>
      <c r="H4" s="6" t="n"/>
      <c r="I4" s="6" t="n"/>
      <c r="J4" s="6" t="n"/>
      <c r="K4" s="6" t="n"/>
    </row>
    <row r="5">
      <c r="F5" s="6" t="n"/>
      <c r="G5" s="6" t="n"/>
      <c r="H5" s="6" t="n"/>
      <c r="I5" s="6" t="n"/>
      <c r="J5" s="6" t="n"/>
      <c r="K5" s="6" t="n"/>
    </row>
    <row r="6">
      <c r="F6" s="6" t="n"/>
      <c r="G6" s="6" t="n"/>
      <c r="H6" s="6" t="n"/>
      <c r="I6" s="6" t="n"/>
      <c r="J6" s="6" t="n"/>
      <c r="K6" s="6" t="n"/>
    </row>
    <row r="7">
      <c r="F7" s="6" t="n"/>
      <c r="G7" s="6" t="n"/>
      <c r="H7" s="6" t="n"/>
      <c r="I7" s="6" t="n"/>
      <c r="J7" s="6" t="n"/>
      <c r="K7" s="6" t="n"/>
    </row>
    <row r="8">
      <c r="F8" s="6" t="n"/>
      <c r="G8" s="6" t="n"/>
      <c r="H8" s="6" t="n"/>
      <c r="I8" s="6" t="n"/>
      <c r="J8" s="6" t="n"/>
      <c r="K8" s="6" t="n"/>
    </row>
    <row r="9">
      <c r="F9" s="6" t="n"/>
      <c r="G9" s="6" t="n"/>
      <c r="H9" s="6" t="n"/>
      <c r="I9" s="6" t="n"/>
      <c r="J9" s="6" t="n"/>
      <c r="K9" s="6" t="n"/>
    </row>
    <row r="10">
      <c r="F10" s="6" t="n"/>
      <c r="G10" s="6" t="n"/>
      <c r="H10" s="6" t="n"/>
      <c r="I10" s="6" t="n"/>
      <c r="J10" s="6" t="n"/>
      <c r="K10" s="6" t="n"/>
    </row>
    <row r="11">
      <c r="F11" s="6" t="n"/>
      <c r="G11" s="6" t="n"/>
      <c r="H11" s="6" t="n"/>
      <c r="I11" s="6" t="n"/>
      <c r="J11" s="6" t="n"/>
      <c r="K11" s="6" t="n"/>
    </row>
    <row r="12">
      <c r="F12" s="6" t="n"/>
      <c r="G12" s="6" t="n"/>
      <c r="H12" s="6" t="n"/>
      <c r="I12" s="6" t="n"/>
      <c r="J12" s="6" t="n"/>
      <c r="K12" s="6" t="n"/>
    </row>
    <row r="13">
      <c r="F13" s="6" t="n"/>
      <c r="G13" s="6" t="n"/>
      <c r="H13" s="6" t="n"/>
      <c r="I13" s="6" t="n"/>
      <c r="J13" s="6" t="n"/>
      <c r="K13" s="6" t="n"/>
    </row>
    <row r="14">
      <c r="F14" s="6" t="n"/>
      <c r="G14" s="6" t="n"/>
      <c r="H14" s="6" t="n"/>
      <c r="I14" s="6" t="n"/>
      <c r="J14" s="6" t="n"/>
      <c r="K14" s="6" t="n"/>
    </row>
    <row r="15">
      <c r="F15" s="6" t="n"/>
      <c r="G15" s="6" t="n"/>
      <c r="H15" s="6" t="n"/>
      <c r="I15" s="6" t="n"/>
      <c r="J15" s="6" t="n"/>
      <c r="K15" s="6" t="n"/>
    </row>
    <row r="16">
      <c r="F16" s="6" t="n"/>
      <c r="G16" s="6" t="n"/>
      <c r="H16" s="6" t="n"/>
      <c r="I16" s="6" t="n"/>
      <c r="J16" s="6" t="n"/>
      <c r="K16" s="6" t="n"/>
    </row>
    <row r="17">
      <c r="F17" s="6" t="n"/>
      <c r="G17" s="6" t="n"/>
      <c r="H17" s="6" t="n"/>
      <c r="I17" s="6" t="n"/>
      <c r="J17" s="6" t="n"/>
      <c r="K17" s="6" t="n"/>
    </row>
    <row r="18">
      <c r="F18" s="6" t="n"/>
      <c r="G18" s="6" t="n"/>
      <c r="H18" s="6" t="n"/>
      <c r="I18" s="6" t="n"/>
      <c r="J18" s="6" t="n"/>
      <c r="K18" s="6" t="n"/>
    </row>
    <row r="19">
      <c r="F19" s="6" t="n"/>
      <c r="G19" s="6" t="n"/>
      <c r="H19" s="6" t="n"/>
      <c r="I19" s="6" t="n"/>
      <c r="J19" s="6" t="n"/>
      <c r="K19" s="6" t="n"/>
    </row>
    <row r="20">
      <c r="F20" s="6" t="n"/>
      <c r="G20" s="6" t="n"/>
      <c r="H20" s="6" t="n"/>
      <c r="I20" s="6" t="n"/>
      <c r="J20" s="6" t="n"/>
      <c r="K20" s="6" t="n"/>
    </row>
    <row r="21">
      <c r="F21" s="6" t="n"/>
      <c r="G21" s="6" t="n"/>
      <c r="H21" s="6" t="n"/>
      <c r="I21" s="6" t="n"/>
      <c r="J21" s="6" t="n"/>
      <c r="K21" s="6" t="n"/>
    </row>
    <row r="22">
      <c r="F22" s="6" t="n"/>
      <c r="G22" s="6" t="n"/>
      <c r="H22" s="6" t="n"/>
      <c r="I22" s="6" t="n"/>
      <c r="J22" s="6" t="n"/>
      <c r="K22" s="6" t="n"/>
    </row>
    <row r="23">
      <c r="F23" s="6" t="n"/>
      <c r="G23" s="6" t="n"/>
      <c r="H23" s="6" t="n"/>
      <c r="I23" s="6" t="n"/>
      <c r="J23" s="6" t="n"/>
      <c r="K23" s="6" t="n"/>
    </row>
    <row r="24">
      <c r="F24" s="6" t="n"/>
      <c r="G24" s="6" t="n"/>
      <c r="H24" s="6" t="n"/>
      <c r="I24" s="6" t="n"/>
      <c r="J24" s="6" t="n"/>
      <c r="K24" s="6" t="n"/>
    </row>
    <row r="25">
      <c r="F25" s="6" t="n"/>
      <c r="G25" s="6" t="n"/>
      <c r="H25" s="6" t="n"/>
      <c r="I25" s="6" t="n"/>
      <c r="J25" s="6" t="n"/>
      <c r="K25" s="6" t="n"/>
    </row>
    <row r="26">
      <c r="F26" s="6" t="n"/>
      <c r="G26" s="6" t="n"/>
      <c r="H26" s="6" t="n"/>
      <c r="I26" s="6" t="n"/>
      <c r="J26" s="6" t="n"/>
      <c r="K26" s="6" t="n"/>
    </row>
    <row r="27">
      <c r="F27" s="6" t="n"/>
      <c r="G27" s="6" t="n"/>
      <c r="H27" s="6" t="n"/>
      <c r="I27" s="6" t="n"/>
      <c r="J27" s="6" t="n"/>
      <c r="K27" s="6" t="n"/>
    </row>
    <row r="28">
      <c r="F28" s="6" t="n"/>
      <c r="G28" s="6" t="n"/>
      <c r="H28" s="6" t="n"/>
      <c r="I28" s="6" t="n"/>
      <c r="J28" s="6" t="n"/>
      <c r="K28" s="6" t="n"/>
    </row>
    <row r="29">
      <c r="F29" s="6" t="n"/>
      <c r="G29" s="6" t="n"/>
      <c r="H29" s="6" t="n"/>
      <c r="I29" s="6" t="n"/>
      <c r="J29" s="6" t="n"/>
      <c r="K29" s="6" t="n"/>
    </row>
    <row r="30">
      <c r="F30" s="6" t="n"/>
      <c r="G30" s="6" t="n"/>
      <c r="H30" s="6" t="n"/>
      <c r="I30" s="6" t="n"/>
      <c r="J30" s="6" t="n"/>
      <c r="K30" s="6" t="n"/>
    </row>
    <row r="31">
      <c r="F31" s="6" t="n"/>
      <c r="G31" s="6" t="n"/>
      <c r="H31" s="6" t="n"/>
      <c r="I31" s="6" t="n"/>
      <c r="J31" s="6" t="n"/>
      <c r="K31" s="6" t="n"/>
    </row>
    <row r="32">
      <c r="F32" s="6" t="n"/>
      <c r="G32" s="6" t="n"/>
      <c r="H32" s="6" t="n"/>
      <c r="I32" s="6" t="n"/>
      <c r="J32" s="6" t="n"/>
      <c r="K32" s="6" t="n"/>
    </row>
    <row r="33">
      <c r="F33" s="6" t="n"/>
      <c r="G33" s="6" t="n"/>
      <c r="H33" s="6" t="n"/>
      <c r="I33" s="6" t="n"/>
      <c r="J33" s="6" t="n"/>
      <c r="K33" s="6" t="n"/>
    </row>
    <row r="34">
      <c r="F34" s="6" t="n"/>
      <c r="G34" s="6" t="n"/>
      <c r="H34" s="6" t="n"/>
      <c r="I34" s="6" t="n"/>
      <c r="J34" s="6" t="n"/>
      <c r="K34" s="6" t="n"/>
    </row>
    <row r="35">
      <c r="F35" s="6" t="n"/>
      <c r="G35" s="6" t="n"/>
      <c r="H35" s="6" t="n"/>
      <c r="I35" s="6" t="n"/>
      <c r="J35" s="6" t="n"/>
      <c r="K35" s="6" t="n"/>
    </row>
    <row r="36">
      <c r="F36" s="6" t="n"/>
      <c r="G36" s="6" t="n"/>
      <c r="H36" s="6" t="n"/>
      <c r="I36" s="6" t="n"/>
      <c r="J36" s="6" t="n"/>
      <c r="K36" s="6" t="n"/>
    </row>
    <row r="37">
      <c r="F37" s="6" t="n"/>
      <c r="G37" s="6" t="n"/>
      <c r="H37" s="6" t="n"/>
      <c r="I37" s="6" t="n"/>
      <c r="J37" s="6" t="n"/>
      <c r="K37" s="6" t="n"/>
    </row>
    <row r="38">
      <c r="F38" s="6" t="n"/>
      <c r="G38" s="6" t="n"/>
      <c r="H38" s="6" t="n"/>
      <c r="I38" s="6" t="n"/>
      <c r="J38" s="6" t="n"/>
      <c r="K38" s="6" t="n"/>
    </row>
    <row r="39">
      <c r="F39" s="6" t="n"/>
      <c r="G39" s="6" t="n"/>
      <c r="H39" s="6" t="n"/>
      <c r="I39" s="6" t="n"/>
      <c r="J39" s="6" t="n"/>
      <c r="K39" s="6" t="n"/>
    </row>
    <row r="40">
      <c r="F40" s="6" t="n"/>
      <c r="G40" s="6" t="n"/>
      <c r="H40" s="6" t="n"/>
      <c r="I40" s="6" t="n"/>
      <c r="J40" s="6" t="n"/>
      <c r="K40" s="6" t="n"/>
    </row>
    <row r="41">
      <c r="F41" s="6" t="n"/>
      <c r="G41" s="6" t="n"/>
      <c r="H41" s="6" t="n"/>
      <c r="I41" s="6" t="n"/>
      <c r="J41" s="6" t="n"/>
      <c r="K41" s="6" t="n"/>
    </row>
    <row r="42">
      <c r="F42" s="6" t="n"/>
      <c r="G42" s="6" t="n"/>
      <c r="H42" s="6" t="n"/>
      <c r="I42" s="6" t="n"/>
      <c r="J42" s="6" t="n"/>
      <c r="K42" s="6" t="n"/>
    </row>
    <row r="43">
      <c r="F43" s="6" t="n"/>
      <c r="G43" s="6" t="n"/>
      <c r="H43" s="6" t="n"/>
      <c r="I43" s="6" t="n"/>
      <c r="J43" s="6" t="n"/>
      <c r="K43" s="6" t="n"/>
    </row>
    <row r="44">
      <c r="F44" s="6" t="n"/>
      <c r="G44" s="6" t="n"/>
      <c r="H44" s="6" t="n"/>
      <c r="I44" s="6" t="n"/>
      <c r="J44" s="6" t="n"/>
      <c r="K44" s="6" t="n"/>
    </row>
    <row r="45">
      <c r="F45" s="6" t="n"/>
      <c r="G45" s="6" t="n"/>
      <c r="H45" s="6" t="n"/>
      <c r="I45" s="6" t="n"/>
      <c r="J45" s="6" t="n"/>
      <c r="K45" s="6" t="n"/>
    </row>
    <row r="46">
      <c r="F46" s="6" t="n"/>
      <c r="G46" s="6" t="n"/>
      <c r="H46" s="6" t="n"/>
      <c r="I46" s="6" t="n"/>
      <c r="J46" s="6" t="n"/>
      <c r="K46" s="6" t="n"/>
    </row>
    <row r="47">
      <c r="F47" s="6" t="n"/>
      <c r="G47" s="6" t="n"/>
      <c r="H47" s="6" t="n"/>
      <c r="I47" s="6" t="n"/>
      <c r="J47" s="6" t="n"/>
      <c r="K47" s="6" t="n"/>
    </row>
    <row r="48">
      <c r="F48" s="6" t="n"/>
      <c r="G48" s="6" t="n"/>
      <c r="H48" s="6" t="n"/>
      <c r="I48" s="6" t="n"/>
      <c r="J48" s="6" t="n"/>
      <c r="K48" s="6" t="n"/>
    </row>
    <row r="49">
      <c r="F49" s="6" t="n"/>
      <c r="G49" s="6" t="n"/>
      <c r="H49" s="6" t="n"/>
      <c r="I49" s="6" t="n"/>
      <c r="J49" s="6" t="n"/>
      <c r="K49" s="6" t="n"/>
    </row>
    <row r="50">
      <c r="F50" s="6" t="n"/>
      <c r="G50" s="6" t="n"/>
      <c r="H50" s="6" t="n"/>
      <c r="I50" s="6" t="n"/>
      <c r="J50" s="6" t="n"/>
      <c r="K50" s="6" t="n"/>
    </row>
    <row r="51">
      <c r="F51" s="6" t="n"/>
      <c r="G51" s="6" t="n"/>
      <c r="H51" s="6" t="n"/>
      <c r="I51" s="6" t="n"/>
      <c r="J51" s="6" t="n"/>
      <c r="K51" s="6" t="n"/>
    </row>
    <row r="52">
      <c r="F52" s="6" t="n"/>
      <c r="G52" s="6" t="n"/>
      <c r="H52" s="6" t="n"/>
      <c r="I52" s="6" t="n"/>
      <c r="J52" s="6" t="n"/>
      <c r="K52" s="6" t="n"/>
    </row>
    <row r="53">
      <c r="F53" s="6" t="n"/>
      <c r="G53" s="6" t="n"/>
      <c r="H53" s="6" t="n"/>
      <c r="I53" s="6" t="n"/>
      <c r="J53" s="6" t="n"/>
      <c r="K53" s="6" t="n"/>
    </row>
    <row r="54">
      <c r="F54" s="6" t="n"/>
      <c r="G54" s="6" t="n"/>
      <c r="H54" s="6" t="n"/>
      <c r="I54" s="6" t="n"/>
      <c r="J54" s="6" t="n"/>
      <c r="K54" s="6" t="n"/>
    </row>
    <row r="55">
      <c r="F55" s="6" t="n"/>
      <c r="G55" s="6" t="n"/>
      <c r="H55" s="6" t="n"/>
      <c r="I55" s="6" t="n"/>
      <c r="J55" s="6" t="n"/>
      <c r="K55" s="6" t="n"/>
    </row>
    <row r="56">
      <c r="F56" s="6" t="n"/>
      <c r="G56" s="6" t="n"/>
      <c r="H56" s="6" t="n"/>
      <c r="I56" s="6" t="n"/>
      <c r="J56" s="6" t="n"/>
      <c r="K56" s="6" t="n"/>
    </row>
    <row r="57">
      <c r="F57" s="6" t="n"/>
      <c r="G57" s="6" t="n"/>
      <c r="H57" s="6" t="n"/>
      <c r="I57" s="6" t="n"/>
      <c r="J57" s="6" t="n"/>
      <c r="K57" s="6" t="n"/>
    </row>
    <row r="58">
      <c r="F58" s="6" t="n"/>
      <c r="G58" s="6" t="n"/>
      <c r="H58" s="6" t="n"/>
      <c r="I58" s="6" t="n"/>
      <c r="J58" s="6" t="n"/>
      <c r="K58" s="6" t="n"/>
    </row>
    <row r="59">
      <c r="F59" s="6" t="n"/>
      <c r="G59" s="6" t="n"/>
      <c r="H59" s="6" t="n"/>
      <c r="I59" s="6" t="n"/>
      <c r="J59" s="6" t="n"/>
      <c r="K59" s="6" t="n"/>
    </row>
    <row r="60">
      <c r="F60" s="6" t="n"/>
      <c r="G60" s="6" t="n"/>
      <c r="H60" s="6" t="n"/>
      <c r="I60" s="6" t="n"/>
      <c r="J60" s="6" t="n"/>
      <c r="K60" s="6" t="n"/>
    </row>
    <row r="61">
      <c r="F61" s="6" t="n"/>
      <c r="G61" s="6" t="n"/>
      <c r="H61" s="6" t="n"/>
      <c r="I61" s="6" t="n"/>
      <c r="J61" s="6" t="n"/>
      <c r="K61" s="6" t="n"/>
    </row>
    <row r="62">
      <c r="F62" s="6" t="n"/>
      <c r="G62" s="6" t="n"/>
      <c r="H62" s="6" t="n"/>
      <c r="I62" s="6" t="n"/>
      <c r="J62" s="6" t="n"/>
      <c r="K62" s="6" t="n"/>
    </row>
    <row r="63">
      <c r="F63" s="6" t="n"/>
      <c r="G63" s="6" t="n"/>
      <c r="H63" s="6" t="n"/>
      <c r="I63" s="6" t="n"/>
      <c r="J63" s="6" t="n"/>
      <c r="K63" s="6" t="n"/>
    </row>
    <row r="64">
      <c r="F64" s="6" t="n"/>
      <c r="G64" s="6" t="n"/>
      <c r="H64" s="6" t="n"/>
      <c r="I64" s="6" t="n"/>
      <c r="J64" s="6" t="n"/>
      <c r="K64" s="6" t="n"/>
    </row>
    <row r="65">
      <c r="F65" s="6" t="n"/>
      <c r="G65" s="6" t="n"/>
      <c r="H65" s="6" t="n"/>
      <c r="I65" s="6" t="n"/>
      <c r="J65" s="6" t="n"/>
      <c r="K65" s="6" t="n"/>
    </row>
    <row r="66">
      <c r="F66" s="6" t="n"/>
      <c r="G66" s="6" t="n"/>
      <c r="H66" s="6" t="n"/>
      <c r="I66" s="6" t="n"/>
      <c r="J66" s="6" t="n"/>
      <c r="K66" s="6" t="n"/>
    </row>
    <row r="67">
      <c r="F67" s="6" t="n"/>
      <c r="G67" s="6" t="n"/>
      <c r="H67" s="6" t="n"/>
      <c r="I67" s="6" t="n"/>
      <c r="J67" s="6" t="n"/>
      <c r="K67" s="6" t="n"/>
    </row>
    <row r="68">
      <c r="F68" s="6" t="n"/>
      <c r="G68" s="6" t="n"/>
      <c r="H68" s="6" t="n"/>
      <c r="I68" s="6" t="n"/>
      <c r="J68" s="6" t="n"/>
      <c r="K68" s="6" t="n"/>
    </row>
    <row r="69">
      <c r="F69" s="6" t="n"/>
      <c r="G69" s="6" t="n"/>
      <c r="H69" s="6" t="n"/>
      <c r="I69" s="6" t="n"/>
      <c r="J69" s="6" t="n"/>
      <c r="K69" s="6" t="n"/>
    </row>
    <row r="70">
      <c r="F70" s="6" t="n"/>
      <c r="G70" s="6" t="n"/>
      <c r="H70" s="6" t="n"/>
      <c r="I70" s="6" t="n"/>
      <c r="J70" s="6" t="n"/>
      <c r="K70" s="6" t="n"/>
    </row>
    <row r="71">
      <c r="F71" s="6" t="n"/>
      <c r="G71" s="6" t="n"/>
      <c r="H71" s="6" t="n"/>
      <c r="I71" s="6" t="n"/>
      <c r="J71" s="6" t="n"/>
      <c r="K71" s="6" t="n"/>
    </row>
    <row r="72">
      <c r="F72" s="6" t="n"/>
      <c r="G72" s="6" t="n"/>
      <c r="H72" s="6" t="n"/>
      <c r="I72" s="6" t="n"/>
      <c r="J72" s="6" t="n"/>
      <c r="K72" s="6" t="n"/>
    </row>
    <row r="73">
      <c r="F73" s="6" t="n"/>
      <c r="G73" s="6" t="n"/>
      <c r="H73" s="6" t="n"/>
      <c r="I73" s="6" t="n"/>
      <c r="J73" s="6" t="n"/>
      <c r="K73" s="6" t="n"/>
    </row>
    <row r="74">
      <c r="F74" s="6" t="n"/>
      <c r="G74" s="6" t="n"/>
      <c r="H74" s="6" t="n"/>
      <c r="I74" s="6" t="n"/>
      <c r="J74" s="6" t="n"/>
      <c r="K74" s="6" t="n"/>
    </row>
    <row r="75">
      <c r="F75" s="6" t="n"/>
      <c r="G75" s="6" t="n"/>
      <c r="H75" s="6" t="n"/>
      <c r="I75" s="6" t="n"/>
      <c r="J75" s="6" t="n"/>
      <c r="K75" s="6" t="n"/>
    </row>
    <row r="76">
      <c r="F76" s="6" t="n"/>
      <c r="G76" s="6" t="n"/>
      <c r="H76" s="6" t="n"/>
      <c r="I76" s="6" t="n"/>
      <c r="J76" s="6" t="n"/>
      <c r="K76" s="6" t="n"/>
    </row>
    <row r="77">
      <c r="F77" s="6" t="n"/>
      <c r="G77" s="6" t="n"/>
      <c r="H77" s="6" t="n"/>
      <c r="I77" s="6" t="n"/>
      <c r="J77" s="6" t="n"/>
      <c r="K77" s="6" t="n"/>
    </row>
    <row r="78">
      <c r="F78" s="6" t="n"/>
      <c r="G78" s="6" t="n"/>
      <c r="H78" s="6" t="n"/>
      <c r="I78" s="6" t="n"/>
      <c r="J78" s="6" t="n"/>
      <c r="K78" s="6" t="n"/>
    </row>
    <row r="79">
      <c r="F79" s="6" t="n"/>
      <c r="G79" s="6" t="n"/>
      <c r="H79" s="6" t="n"/>
      <c r="I79" s="6" t="n"/>
      <c r="J79" s="6" t="n"/>
      <c r="K79" s="6" t="n"/>
    </row>
    <row r="80">
      <c r="F80" s="6" t="n"/>
      <c r="G80" s="6" t="n"/>
      <c r="H80" s="6" t="n"/>
      <c r="I80" s="6" t="n"/>
      <c r="J80" s="6" t="n"/>
      <c r="K80" s="6" t="n"/>
    </row>
    <row r="81">
      <c r="F81" s="6" t="n"/>
      <c r="G81" s="6" t="n"/>
      <c r="H81" s="6" t="n"/>
      <c r="I81" s="6" t="n"/>
      <c r="J81" s="6" t="n"/>
      <c r="K81" s="6" t="n"/>
    </row>
    <row r="82">
      <c r="F82" s="6" t="n"/>
      <c r="G82" s="6" t="n"/>
      <c r="H82" s="6" t="n"/>
      <c r="I82" s="6" t="n"/>
      <c r="J82" s="6" t="n"/>
      <c r="K82" s="6" t="n"/>
    </row>
    <row r="83">
      <c r="F83" s="6" t="n"/>
      <c r="G83" s="6" t="n"/>
      <c r="H83" s="6" t="n"/>
      <c r="I83" s="6" t="n"/>
      <c r="J83" s="6" t="n"/>
      <c r="K83" s="6" t="n"/>
    </row>
    <row r="84">
      <c r="F84" s="6" t="n"/>
      <c r="G84" s="6" t="n"/>
      <c r="H84" s="6" t="n"/>
      <c r="I84" s="6" t="n"/>
      <c r="J84" s="6" t="n"/>
      <c r="K84" s="6" t="n"/>
    </row>
    <row r="85">
      <c r="F85" s="6" t="n"/>
      <c r="G85" s="6" t="n"/>
      <c r="H85" s="6" t="n"/>
      <c r="I85" s="6" t="n"/>
      <c r="J85" s="6" t="n"/>
      <c r="K85" s="6" t="n"/>
    </row>
    <row r="86">
      <c r="F86" s="6" t="n"/>
      <c r="G86" s="6" t="n"/>
      <c r="H86" s="6" t="n"/>
      <c r="I86" s="6" t="n"/>
      <c r="J86" s="6" t="n"/>
      <c r="K86" s="6" t="n"/>
    </row>
    <row r="87">
      <c r="F87" s="6" t="n"/>
      <c r="G87" s="6" t="n"/>
      <c r="H87" s="6" t="n"/>
      <c r="I87" s="6" t="n"/>
      <c r="J87" s="6" t="n"/>
      <c r="K87" s="6" t="n"/>
    </row>
    <row r="88">
      <c r="F88" s="6" t="n"/>
      <c r="G88" s="6" t="n"/>
      <c r="H88" s="6" t="n"/>
      <c r="I88" s="6" t="n"/>
      <c r="J88" s="6" t="n"/>
      <c r="K88" s="6" t="n"/>
    </row>
    <row r="89">
      <c r="F89" s="6" t="n"/>
      <c r="G89" s="6" t="n"/>
      <c r="H89" s="6" t="n"/>
      <c r="I89" s="6" t="n"/>
      <c r="J89" s="6" t="n"/>
      <c r="K89" s="6" t="n"/>
    </row>
    <row r="90">
      <c r="F90" s="6" t="n"/>
      <c r="G90" s="6" t="n"/>
      <c r="H90" s="6" t="n"/>
      <c r="I90" s="6" t="n"/>
      <c r="J90" s="6" t="n"/>
      <c r="K90" s="6" t="n"/>
    </row>
    <row r="91">
      <c r="F91" s="6" t="n"/>
      <c r="G91" s="6" t="n"/>
      <c r="H91" s="6" t="n"/>
      <c r="I91" s="6" t="n"/>
      <c r="J91" s="6" t="n"/>
      <c r="K91" s="6" t="n"/>
    </row>
    <row r="92">
      <c r="F92" s="6" t="n"/>
      <c r="G92" s="6" t="n"/>
      <c r="H92" s="6" t="n"/>
      <c r="I92" s="6" t="n"/>
      <c r="J92" s="6" t="n"/>
      <c r="K92" s="6" t="n"/>
    </row>
    <row r="93">
      <c r="F93" s="6" t="n"/>
      <c r="G93" s="6" t="n"/>
      <c r="H93" s="6" t="n"/>
      <c r="I93" s="6" t="n"/>
      <c r="J93" s="6" t="n"/>
      <c r="K93" s="6" t="n"/>
    </row>
    <row r="94">
      <c r="F94" s="6" t="n"/>
      <c r="G94" s="6" t="n"/>
      <c r="H94" s="6" t="n"/>
      <c r="I94" s="6" t="n"/>
      <c r="J94" s="6" t="n"/>
      <c r="K94" s="6" t="n"/>
    </row>
    <row r="95">
      <c r="F95" s="6" t="n"/>
      <c r="G95" s="6" t="n"/>
      <c r="H95" s="6" t="n"/>
      <c r="I95" s="6" t="n"/>
      <c r="J95" s="6" t="n"/>
      <c r="K95" s="6" t="n"/>
    </row>
    <row r="96">
      <c r="F96" s="6" t="n"/>
      <c r="G96" s="6" t="n"/>
      <c r="H96" s="6" t="n"/>
      <c r="I96" s="6" t="n"/>
      <c r="J96" s="6" t="n"/>
      <c r="K96" s="6" t="n"/>
    </row>
    <row r="97">
      <c r="F97" s="6" t="n"/>
      <c r="G97" s="6" t="n"/>
      <c r="H97" s="6" t="n"/>
      <c r="I97" s="6" t="n"/>
      <c r="J97" s="6" t="n"/>
      <c r="K97" s="6" t="n"/>
    </row>
    <row r="98">
      <c r="F98" s="6" t="n"/>
      <c r="G98" s="6" t="n"/>
      <c r="H98" s="6" t="n"/>
      <c r="I98" s="6" t="n"/>
      <c r="J98" s="6" t="n"/>
      <c r="K98" s="6" t="n"/>
    </row>
    <row r="99">
      <c r="F99" s="6" t="n"/>
      <c r="G99" s="6" t="n"/>
      <c r="H99" s="6" t="n"/>
      <c r="I99" s="6" t="n"/>
      <c r="J99" s="6" t="n"/>
      <c r="K99" s="6" t="n"/>
    </row>
    <row r="100">
      <c r="F100" s="6" t="n"/>
      <c r="G100" s="6" t="n"/>
      <c r="H100" s="6" t="n"/>
      <c r="I100" s="6" t="n"/>
      <c r="J100" s="6" t="n"/>
      <c r="K100" s="6" t="n"/>
    </row>
    <row r="101">
      <c r="F101" s="6" t="n"/>
      <c r="G101" s="6" t="n"/>
      <c r="H101" s="6" t="n"/>
      <c r="I101" s="6" t="n"/>
      <c r="J101" s="6" t="n"/>
      <c r="K101" s="6" t="n"/>
    </row>
    <row r="102">
      <c r="F102" s="6" t="n"/>
      <c r="G102" s="6" t="n"/>
      <c r="H102" s="6" t="n"/>
      <c r="I102" s="6" t="n"/>
      <c r="J102" s="6" t="n"/>
      <c r="K102" s="6" t="n"/>
    </row>
    <row r="103">
      <c r="F103" s="6" t="n"/>
      <c r="G103" s="6" t="n"/>
      <c r="H103" s="6" t="n"/>
      <c r="I103" s="6" t="n"/>
      <c r="J103" s="6" t="n"/>
      <c r="K103" s="6" t="n"/>
    </row>
    <row r="104">
      <c r="F104" s="6" t="n"/>
      <c r="G104" s="6" t="n"/>
      <c r="H104" s="6" t="n"/>
      <c r="I104" s="6" t="n"/>
      <c r="J104" s="6" t="n"/>
      <c r="K104" s="6" t="n"/>
    </row>
    <row r="105">
      <c r="F105" s="6" t="n"/>
      <c r="G105" s="6" t="n"/>
      <c r="H105" s="6" t="n"/>
      <c r="I105" s="6" t="n"/>
      <c r="J105" s="6" t="n"/>
      <c r="K105" s="6" t="n"/>
    </row>
    <row r="106">
      <c r="F106" s="6" t="n"/>
      <c r="G106" s="6" t="n"/>
      <c r="H106" s="6" t="n"/>
      <c r="I106" s="6" t="n"/>
      <c r="J106" s="6" t="n"/>
      <c r="K106" s="6" t="n"/>
    </row>
    <row r="107">
      <c r="F107" s="6" t="n"/>
      <c r="G107" s="6" t="n"/>
      <c r="H107" s="6" t="n"/>
      <c r="I107" s="6" t="n"/>
      <c r="J107" s="6" t="n"/>
      <c r="K107" s="6" t="n"/>
    </row>
    <row r="108">
      <c r="F108" s="6" t="n"/>
      <c r="G108" s="6" t="n"/>
      <c r="H108" s="6" t="n"/>
      <c r="I108" s="6" t="n"/>
      <c r="J108" s="6" t="n"/>
      <c r="K108" s="6" t="n"/>
    </row>
    <row r="109">
      <c r="F109" s="6" t="n"/>
      <c r="G109" s="6" t="n"/>
      <c r="H109" s="6" t="n"/>
      <c r="I109" s="6" t="n"/>
      <c r="J109" s="6" t="n"/>
      <c r="K109" s="6" t="n"/>
    </row>
    <row r="110">
      <c r="F110" s="6" t="n"/>
      <c r="G110" s="6" t="n"/>
      <c r="H110" s="6" t="n"/>
      <c r="I110" s="6" t="n"/>
      <c r="J110" s="6" t="n"/>
      <c r="K110" s="6" t="n"/>
    </row>
    <row r="111">
      <c r="F111" s="6" t="n"/>
      <c r="G111" s="6" t="n"/>
      <c r="H111" s="6" t="n"/>
      <c r="I111" s="6" t="n"/>
      <c r="J111" s="6" t="n"/>
      <c r="K111" s="6" t="n"/>
    </row>
    <row r="112">
      <c r="F112" s="6" t="n"/>
      <c r="G112" s="6" t="n"/>
      <c r="H112" s="6" t="n"/>
      <c r="I112" s="6" t="n"/>
      <c r="J112" s="6" t="n"/>
      <c r="K112" s="6" t="n"/>
    </row>
    <row r="113">
      <c r="F113" s="6" t="n"/>
      <c r="G113" s="6" t="n"/>
      <c r="H113" s="6" t="n"/>
      <c r="I113" s="6" t="n"/>
      <c r="J113" s="6" t="n"/>
      <c r="K113" s="6" t="n"/>
    </row>
    <row r="114">
      <c r="F114" s="6" t="n"/>
      <c r="G114" s="6" t="n"/>
      <c r="H114" s="6" t="n"/>
      <c r="I114" s="6" t="n"/>
      <c r="J114" s="6" t="n"/>
      <c r="K114" s="6" t="n"/>
    </row>
    <row r="115">
      <c r="F115" s="6" t="n"/>
      <c r="G115" s="6" t="n"/>
      <c r="H115" s="6" t="n"/>
      <c r="I115" s="6" t="n"/>
      <c r="J115" s="6" t="n"/>
      <c r="K115" s="6" t="n"/>
    </row>
    <row r="116">
      <c r="F116" s="6" t="n"/>
      <c r="G116" s="6" t="n"/>
      <c r="H116" s="6" t="n"/>
      <c r="I116" s="6" t="n"/>
      <c r="J116" s="6" t="n"/>
      <c r="K116" s="6" t="n"/>
    </row>
    <row r="117">
      <c r="F117" s="6" t="n"/>
      <c r="G117" s="6" t="n"/>
      <c r="H117" s="6" t="n"/>
      <c r="I117" s="6" t="n"/>
      <c r="J117" s="6" t="n"/>
      <c r="K117" s="6" t="n"/>
    </row>
    <row r="118">
      <c r="F118" s="6" t="n"/>
      <c r="G118" s="6" t="n"/>
      <c r="H118" s="6" t="n"/>
      <c r="I118" s="6" t="n"/>
      <c r="J118" s="6" t="n"/>
      <c r="K118" s="6" t="n"/>
    </row>
    <row r="119">
      <c r="F119" s="6" t="n"/>
      <c r="G119" s="6" t="n"/>
      <c r="H119" s="6" t="n"/>
      <c r="I119" s="6" t="n"/>
      <c r="J119" s="6" t="n"/>
      <c r="K119" s="6" t="n"/>
    </row>
    <row r="120">
      <c r="F120" s="6" t="n"/>
      <c r="G120" s="6" t="n"/>
      <c r="H120" s="6" t="n"/>
      <c r="I120" s="6" t="n"/>
      <c r="J120" s="6" t="n"/>
      <c r="K120" s="6" t="n"/>
    </row>
    <row r="121">
      <c r="F121" s="6" t="n"/>
      <c r="G121" s="6" t="n"/>
      <c r="H121" s="6" t="n"/>
      <c r="I121" s="6" t="n"/>
      <c r="J121" s="6" t="n"/>
      <c r="K121" s="6" t="n"/>
    </row>
    <row r="122">
      <c r="F122" s="6" t="n"/>
      <c r="G122" s="6" t="n"/>
      <c r="H122" s="6" t="n"/>
      <c r="I122" s="6" t="n"/>
      <c r="J122" s="6" t="n"/>
      <c r="K122" s="6" t="n"/>
    </row>
    <row r="123">
      <c r="F123" s="6" t="n"/>
      <c r="G123" s="6" t="n"/>
      <c r="H123" s="6" t="n"/>
      <c r="I123" s="6" t="n"/>
      <c r="J123" s="6" t="n"/>
      <c r="K123" s="6" t="n"/>
    </row>
    <row r="124">
      <c r="F124" s="6" t="n"/>
      <c r="G124" s="6" t="n"/>
      <c r="H124" s="6" t="n"/>
      <c r="I124" s="6" t="n"/>
      <c r="J124" s="6" t="n"/>
      <c r="K124" s="6" t="n"/>
    </row>
    <row r="125">
      <c r="F125" s="6" t="n"/>
      <c r="G125" s="6" t="n"/>
      <c r="H125" s="6" t="n"/>
      <c r="I125" s="6" t="n"/>
      <c r="J125" s="6" t="n"/>
      <c r="K125" s="6" t="n"/>
    </row>
    <row r="126">
      <c r="F126" s="6" t="n"/>
      <c r="G126" s="6" t="n"/>
      <c r="H126" s="6" t="n"/>
      <c r="I126" s="6" t="n"/>
      <c r="J126" s="6" t="n"/>
      <c r="K126" s="6" t="n"/>
    </row>
    <row r="127">
      <c r="F127" s="6" t="n"/>
      <c r="G127" s="6" t="n"/>
      <c r="H127" s="6" t="n"/>
      <c r="I127" s="6" t="n"/>
      <c r="J127" s="6" t="n"/>
      <c r="K127" s="6" t="n"/>
    </row>
    <row r="128">
      <c r="F128" s="6" t="n"/>
      <c r="G128" s="6" t="n"/>
      <c r="H128" s="6" t="n"/>
      <c r="I128" s="6" t="n"/>
      <c r="J128" s="6" t="n"/>
      <c r="K128" s="6" t="n"/>
    </row>
    <row r="129">
      <c r="F129" s="6" t="n"/>
      <c r="G129" s="6" t="n"/>
      <c r="H129" s="6" t="n"/>
      <c r="I129" s="6" t="n"/>
      <c r="J129" s="6" t="n"/>
      <c r="K129" s="6" t="n"/>
    </row>
    <row r="130">
      <c r="F130" s="6" t="n"/>
      <c r="G130" s="6" t="n"/>
      <c r="H130" s="6" t="n"/>
      <c r="I130" s="6" t="n"/>
      <c r="J130" s="6" t="n"/>
      <c r="K130" s="6" t="n"/>
    </row>
    <row r="131">
      <c r="F131" s="6" t="n"/>
      <c r="G131" s="6" t="n"/>
      <c r="H131" s="6" t="n"/>
      <c r="I131" s="6" t="n"/>
      <c r="J131" s="6" t="n"/>
      <c r="K131" s="6" t="n"/>
    </row>
    <row r="132">
      <c r="F132" s="6" t="n"/>
      <c r="G132" s="6" t="n"/>
      <c r="H132" s="6" t="n"/>
      <c r="I132" s="6" t="n"/>
      <c r="J132" s="6" t="n"/>
      <c r="K132" s="6" t="n"/>
    </row>
    <row r="133">
      <c r="F133" s="6" t="n"/>
      <c r="G133" s="6" t="n"/>
      <c r="H133" s="6" t="n"/>
      <c r="I133" s="6" t="n"/>
      <c r="J133" s="6" t="n"/>
      <c r="K133" s="6" t="n"/>
    </row>
    <row r="134">
      <c r="F134" s="6" t="n"/>
      <c r="G134" s="6" t="n"/>
      <c r="H134" s="6" t="n"/>
      <c r="I134" s="6" t="n"/>
      <c r="J134" s="6" t="n"/>
      <c r="K134" s="6" t="n"/>
    </row>
    <row r="135">
      <c r="F135" s="6" t="n"/>
      <c r="G135" s="6" t="n"/>
      <c r="H135" s="6" t="n"/>
      <c r="I135" s="6" t="n"/>
      <c r="J135" s="6" t="n"/>
      <c r="K135" s="6" t="n"/>
    </row>
    <row r="136">
      <c r="F136" s="6" t="n"/>
      <c r="G136" s="6" t="n"/>
      <c r="H136" s="6" t="n"/>
      <c r="I136" s="6" t="n"/>
      <c r="J136" s="6" t="n"/>
      <c r="K136" s="6" t="n"/>
    </row>
    <row r="137">
      <c r="F137" s="6" t="n"/>
      <c r="G137" s="6" t="n"/>
      <c r="H137" s="6" t="n"/>
      <c r="I137" s="6" t="n"/>
      <c r="J137" s="6" t="n"/>
      <c r="K137" s="6" t="n"/>
    </row>
    <row r="138">
      <c r="F138" s="6" t="n"/>
      <c r="G138" s="6" t="n"/>
      <c r="H138" s="6" t="n"/>
      <c r="I138" s="6" t="n"/>
      <c r="J138" s="6" t="n"/>
      <c r="K138" s="6" t="n"/>
    </row>
    <row r="139">
      <c r="F139" s="6" t="n"/>
      <c r="G139" s="6" t="n"/>
      <c r="H139" s="6" t="n"/>
      <c r="I139" s="6" t="n"/>
      <c r="J139" s="6" t="n"/>
      <c r="K139" s="6" t="n"/>
    </row>
    <row r="140">
      <c r="F140" s="6" t="n"/>
      <c r="G140" s="6" t="n"/>
      <c r="H140" s="6" t="n"/>
      <c r="I140" s="6" t="n"/>
      <c r="J140" s="6" t="n"/>
      <c r="K140" s="6" t="n"/>
    </row>
    <row r="141">
      <c r="F141" s="6" t="n"/>
      <c r="G141" s="6" t="n"/>
      <c r="H141" s="6" t="n"/>
      <c r="I141" s="6" t="n"/>
      <c r="J141" s="6" t="n"/>
      <c r="K141" s="6" t="n"/>
    </row>
    <row r="142">
      <c r="F142" s="6" t="n"/>
      <c r="G142" s="6" t="n"/>
      <c r="H142" s="6" t="n"/>
      <c r="I142" s="6" t="n"/>
      <c r="J142" s="6" t="n"/>
      <c r="K142" s="6" t="n"/>
    </row>
    <row r="143">
      <c r="F143" s="6" t="n"/>
      <c r="G143" s="6" t="n"/>
      <c r="H143" s="6" t="n"/>
      <c r="I143" s="6" t="n"/>
      <c r="J143" s="6" t="n"/>
      <c r="K143" s="6" t="n"/>
    </row>
    <row r="144">
      <c r="F144" s="6" t="n"/>
      <c r="G144" s="6" t="n"/>
      <c r="H144" s="6" t="n"/>
      <c r="I144" s="6" t="n"/>
      <c r="J144" s="6" t="n"/>
      <c r="K144" s="6" t="n"/>
    </row>
    <row r="145">
      <c r="F145" s="6" t="n"/>
      <c r="G145" s="6" t="n"/>
      <c r="H145" s="6" t="n"/>
      <c r="I145" s="6" t="n"/>
      <c r="J145" s="6" t="n"/>
      <c r="K145" s="6" t="n"/>
    </row>
    <row r="146">
      <c r="F146" s="6" t="n"/>
      <c r="G146" s="6" t="n"/>
      <c r="H146" s="6" t="n"/>
      <c r="I146" s="6" t="n"/>
      <c r="J146" s="6" t="n"/>
      <c r="K146" s="6" t="n"/>
    </row>
    <row r="147">
      <c r="F147" s="6" t="n"/>
      <c r="G147" s="6" t="n"/>
      <c r="H147" s="6" t="n"/>
      <c r="I147" s="6" t="n"/>
      <c r="J147" s="6" t="n"/>
      <c r="K147" s="6" t="n"/>
    </row>
    <row r="148">
      <c r="F148" s="6" t="n"/>
      <c r="G148" s="6" t="n"/>
      <c r="H148" s="6" t="n"/>
      <c r="I148" s="6" t="n"/>
      <c r="J148" s="6" t="n"/>
      <c r="K148" s="6" t="n"/>
    </row>
    <row r="149">
      <c r="F149" s="6" t="n"/>
      <c r="G149" s="6" t="n"/>
      <c r="H149" s="6" t="n"/>
      <c r="I149" s="6" t="n"/>
      <c r="J149" s="6" t="n"/>
      <c r="K149" s="6" t="n"/>
    </row>
    <row r="150">
      <c r="F150" s="6" t="n"/>
      <c r="G150" s="6" t="n"/>
      <c r="H150" s="6" t="n"/>
      <c r="I150" s="6" t="n"/>
      <c r="J150" s="6" t="n"/>
      <c r="K150" s="6" t="n"/>
    </row>
    <row r="151">
      <c r="F151" s="6" t="n"/>
      <c r="G151" s="6" t="n"/>
      <c r="H151" s="6" t="n"/>
      <c r="I151" s="6" t="n"/>
      <c r="J151" s="6" t="n"/>
      <c r="K151" s="6" t="n"/>
    </row>
    <row r="152">
      <c r="F152" s="6" t="n"/>
      <c r="G152" s="6" t="n"/>
      <c r="H152" s="6" t="n"/>
      <c r="I152" s="6" t="n"/>
      <c r="J152" s="6" t="n"/>
      <c r="K152" s="6" t="n"/>
    </row>
    <row r="153">
      <c r="F153" s="6" t="n"/>
      <c r="G153" s="6" t="n"/>
      <c r="H153" s="6" t="n"/>
      <c r="I153" s="6" t="n"/>
      <c r="J153" s="6" t="n"/>
      <c r="K153" s="6" t="n"/>
    </row>
    <row r="154">
      <c r="F154" s="6" t="n"/>
      <c r="G154" s="6" t="n"/>
      <c r="H154" s="6" t="n"/>
      <c r="I154" s="6" t="n"/>
      <c r="J154" s="6" t="n"/>
      <c r="K154" s="6" t="n"/>
    </row>
    <row r="155">
      <c r="F155" s="6" t="n"/>
      <c r="G155" s="6" t="n"/>
      <c r="H155" s="6" t="n"/>
      <c r="I155" s="6" t="n"/>
      <c r="J155" s="6" t="n"/>
      <c r="K155" s="6" t="n"/>
    </row>
    <row r="156">
      <c r="F156" s="6" t="n"/>
      <c r="G156" s="6" t="n"/>
      <c r="H156" s="6" t="n"/>
      <c r="I156" s="6" t="n"/>
      <c r="J156" s="6" t="n"/>
      <c r="K156" s="6" t="n"/>
    </row>
    <row r="157">
      <c r="F157" s="6" t="n"/>
      <c r="G157" s="6" t="n"/>
      <c r="H157" s="6" t="n"/>
      <c r="I157" s="6" t="n"/>
      <c r="J157" s="6" t="n"/>
      <c r="K157" s="6" t="n"/>
    </row>
    <row r="158">
      <c r="F158" s="6" t="n"/>
      <c r="G158" s="6" t="n"/>
      <c r="H158" s="6" t="n"/>
      <c r="I158" s="6" t="n"/>
      <c r="J158" s="6" t="n"/>
      <c r="K158" s="6" t="n"/>
    </row>
    <row r="159">
      <c r="F159" s="6" t="n"/>
      <c r="G159" s="6" t="n"/>
      <c r="H159" s="6" t="n"/>
      <c r="I159" s="6" t="n"/>
      <c r="J159" s="6" t="n"/>
      <c r="K159" s="6" t="n"/>
    </row>
    <row r="160">
      <c r="F160" s="6" t="n"/>
      <c r="G160" s="6" t="n"/>
      <c r="H160" s="6" t="n"/>
      <c r="I160" s="6" t="n"/>
      <c r="J160" s="6" t="n"/>
      <c r="K160" s="6" t="n"/>
    </row>
    <row r="161">
      <c r="F161" s="6" t="n"/>
      <c r="G161" s="6" t="n"/>
      <c r="H161" s="6" t="n"/>
      <c r="I161" s="6" t="n"/>
      <c r="J161" s="6" t="n"/>
      <c r="K161" s="6" t="n"/>
    </row>
    <row r="162">
      <c r="F162" s="6" t="n"/>
      <c r="G162" s="6" t="n"/>
      <c r="H162" s="6" t="n"/>
      <c r="I162" s="6" t="n"/>
      <c r="J162" s="6" t="n"/>
      <c r="K162" s="6" t="n"/>
    </row>
    <row r="163">
      <c r="F163" s="6" t="n"/>
      <c r="G163" s="6" t="n"/>
      <c r="H163" s="6" t="n"/>
      <c r="I163" s="6" t="n"/>
      <c r="J163" s="6" t="n"/>
      <c r="K163" s="6" t="n"/>
    </row>
    <row r="164">
      <c r="F164" s="6" t="n"/>
      <c r="G164" s="6" t="n"/>
      <c r="H164" s="6" t="n"/>
      <c r="I164" s="6" t="n"/>
      <c r="J164" s="6" t="n"/>
      <c r="K164" s="6" t="n"/>
    </row>
    <row r="165">
      <c r="F165" s="6" t="n"/>
      <c r="G165" s="6" t="n"/>
      <c r="H165" s="6" t="n"/>
      <c r="I165" s="6" t="n"/>
      <c r="J165" s="6" t="n"/>
      <c r="K165" s="6" t="n"/>
    </row>
    <row r="166">
      <c r="F166" s="6" t="n"/>
      <c r="G166" s="6" t="n"/>
      <c r="H166" s="6" t="n"/>
      <c r="I166" s="6" t="n"/>
      <c r="J166" s="6" t="n"/>
      <c r="K166" s="6" t="n"/>
    </row>
    <row r="167">
      <c r="F167" s="6" t="n"/>
      <c r="G167" s="6" t="n"/>
      <c r="H167" s="6" t="n"/>
      <c r="I167" s="6" t="n"/>
      <c r="J167" s="6" t="n"/>
      <c r="K167" s="6" t="n"/>
    </row>
    <row r="168">
      <c r="F168" s="6" t="n"/>
      <c r="G168" s="6" t="n"/>
      <c r="H168" s="6" t="n"/>
      <c r="I168" s="6" t="n"/>
      <c r="J168" s="6" t="n"/>
      <c r="K168" s="6" t="n"/>
    </row>
    <row r="169">
      <c r="F169" s="6" t="n"/>
      <c r="G169" s="6" t="n"/>
      <c r="H169" s="6" t="n"/>
      <c r="I169" s="6" t="n"/>
      <c r="J169" s="6" t="n"/>
      <c r="K169" s="6" t="n"/>
    </row>
    <row r="170">
      <c r="F170" s="6" t="n"/>
      <c r="G170" s="6" t="n"/>
      <c r="H170" s="6" t="n"/>
      <c r="I170" s="6" t="n"/>
      <c r="J170" s="6" t="n"/>
      <c r="K170" s="6" t="n"/>
    </row>
    <row r="171">
      <c r="F171" s="6" t="n"/>
      <c r="G171" s="6" t="n"/>
      <c r="H171" s="6" t="n"/>
      <c r="I171" s="6" t="n"/>
      <c r="J171" s="6" t="n"/>
      <c r="K171" s="6" t="n"/>
    </row>
    <row r="172">
      <c r="F172" s="6" t="n"/>
      <c r="G172" s="6" t="n"/>
      <c r="H172" s="6" t="n"/>
      <c r="I172" s="6" t="n"/>
      <c r="J172" s="6" t="n"/>
      <c r="K172" s="6" t="n"/>
    </row>
    <row r="173">
      <c r="F173" s="6" t="n"/>
      <c r="G173" s="6" t="n"/>
      <c r="H173" s="6" t="n"/>
      <c r="I173" s="6" t="n"/>
      <c r="J173" s="6" t="n"/>
      <c r="K173" s="6" t="n"/>
    </row>
    <row r="174">
      <c r="F174" s="6" t="n"/>
      <c r="G174" s="6" t="n"/>
      <c r="H174" s="6" t="n"/>
      <c r="I174" s="6" t="n"/>
      <c r="J174" s="6" t="n"/>
      <c r="K174" s="6" t="n"/>
    </row>
    <row r="175">
      <c r="F175" s="6" t="n"/>
      <c r="G175" s="6" t="n"/>
      <c r="H175" s="6" t="n"/>
      <c r="I175" s="6" t="n"/>
      <c r="J175" s="6" t="n"/>
      <c r="K175" s="6" t="n"/>
    </row>
    <row r="176">
      <c r="F176" s="6" t="n"/>
      <c r="G176" s="6" t="n"/>
      <c r="H176" s="6" t="n"/>
      <c r="I176" s="6" t="n"/>
      <c r="J176" s="6" t="n"/>
      <c r="K176" s="6" t="n"/>
    </row>
    <row r="177">
      <c r="F177" s="6" t="n"/>
      <c r="G177" s="6" t="n"/>
      <c r="H177" s="6" t="n"/>
      <c r="I177" s="6" t="n"/>
      <c r="J177" s="6" t="n"/>
      <c r="K177" s="6" t="n"/>
    </row>
    <row r="178">
      <c r="F178" s="6" t="n"/>
      <c r="G178" s="6" t="n"/>
      <c r="H178" s="6" t="n"/>
      <c r="I178" s="6" t="n"/>
      <c r="J178" s="6" t="n"/>
      <c r="K178" s="6" t="n"/>
    </row>
    <row r="179">
      <c r="F179" s="6" t="n"/>
      <c r="G179" s="6" t="n"/>
      <c r="H179" s="6" t="n"/>
      <c r="I179" s="6" t="n"/>
      <c r="J179" s="6" t="n"/>
      <c r="K179" s="6" t="n"/>
    </row>
    <row r="180">
      <c r="F180" s="6" t="n"/>
      <c r="G180" s="6" t="n"/>
      <c r="H180" s="6" t="n"/>
      <c r="I180" s="6" t="n"/>
      <c r="J180" s="6" t="n"/>
      <c r="K180" s="6" t="n"/>
    </row>
    <row r="181">
      <c r="F181" s="6" t="n"/>
      <c r="G181" s="6" t="n"/>
      <c r="H181" s="6" t="n"/>
      <c r="I181" s="6" t="n"/>
      <c r="J181" s="6" t="n"/>
      <c r="K181" s="6" t="n"/>
    </row>
    <row r="182">
      <c r="F182" s="6" t="n"/>
      <c r="G182" s="6" t="n"/>
      <c r="H182" s="6" t="n"/>
      <c r="I182" s="6" t="n"/>
      <c r="J182" s="6" t="n"/>
      <c r="K182" s="6" t="n"/>
    </row>
    <row r="183">
      <c r="F183" s="6" t="n"/>
      <c r="G183" s="6" t="n"/>
      <c r="H183" s="6" t="n"/>
      <c r="I183" s="6" t="n"/>
      <c r="J183" s="6" t="n"/>
      <c r="K183" s="6" t="n"/>
    </row>
    <row r="184">
      <c r="F184" s="6" t="n"/>
      <c r="G184" s="6" t="n"/>
      <c r="H184" s="6" t="n"/>
      <c r="I184" s="6" t="n"/>
      <c r="J184" s="6" t="n"/>
      <c r="K184" s="6" t="n"/>
    </row>
    <row r="185">
      <c r="F185" s="6" t="n"/>
      <c r="G185" s="6" t="n"/>
      <c r="H185" s="6" t="n"/>
      <c r="I185" s="6" t="n"/>
      <c r="J185" s="6" t="n"/>
      <c r="K185" s="6" t="n"/>
    </row>
    <row r="186">
      <c r="F186" s="6" t="n"/>
      <c r="G186" s="6" t="n"/>
      <c r="H186" s="6" t="n"/>
      <c r="I186" s="6" t="n"/>
      <c r="J186" s="6" t="n"/>
      <c r="K186" s="6" t="n"/>
    </row>
    <row r="187">
      <c r="F187" s="6" t="n"/>
      <c r="G187" s="6" t="n"/>
      <c r="H187" s="6" t="n"/>
      <c r="I187" s="6" t="n"/>
      <c r="J187" s="6" t="n"/>
      <c r="K187" s="6" t="n"/>
    </row>
    <row r="188">
      <c r="F188" s="6" t="n"/>
      <c r="G188" s="6" t="n"/>
      <c r="H188" s="6" t="n"/>
      <c r="I188" s="6" t="n"/>
      <c r="J188" s="6" t="n"/>
      <c r="K188" s="6" t="n"/>
    </row>
    <row r="189">
      <c r="F189" s="6" t="n"/>
      <c r="G189" s="6" t="n"/>
      <c r="H189" s="6" t="n"/>
      <c r="I189" s="6" t="n"/>
      <c r="J189" s="6" t="n"/>
      <c r="K189" s="6" t="n"/>
    </row>
    <row r="190">
      <c r="F190" s="6" t="n"/>
      <c r="G190" s="6" t="n"/>
      <c r="H190" s="6" t="n"/>
      <c r="I190" s="6" t="n"/>
      <c r="J190" s="6" t="n"/>
      <c r="K190" s="6" t="n"/>
    </row>
    <row r="191">
      <c r="F191" s="6" t="n"/>
      <c r="G191" s="6" t="n"/>
      <c r="H191" s="6" t="n"/>
      <c r="I191" s="6" t="n"/>
      <c r="J191" s="6" t="n"/>
      <c r="K191" s="6" t="n"/>
    </row>
    <row r="192">
      <c r="F192" s="6" t="n"/>
      <c r="G192" s="6" t="n"/>
      <c r="H192" s="6" t="n"/>
      <c r="I192" s="6" t="n"/>
      <c r="J192" s="6" t="n"/>
      <c r="K192" s="6" t="n"/>
    </row>
    <row r="193">
      <c r="F193" s="6" t="n"/>
      <c r="G193" s="6" t="n"/>
      <c r="H193" s="6" t="n"/>
      <c r="I193" s="6" t="n"/>
      <c r="J193" s="6" t="n"/>
      <c r="K193" s="6" t="n"/>
    </row>
    <row r="194">
      <c r="F194" s="6" t="n"/>
      <c r="G194" s="6" t="n"/>
      <c r="H194" s="6" t="n"/>
      <c r="I194" s="6" t="n"/>
      <c r="J194" s="6" t="n"/>
      <c r="K194" s="6" t="n"/>
    </row>
    <row r="195">
      <c r="F195" s="6" t="n"/>
      <c r="G195" s="6" t="n"/>
      <c r="H195" s="6" t="n"/>
      <c r="I195" s="6" t="n"/>
      <c r="J195" s="6" t="n"/>
      <c r="K195" s="6" t="n"/>
    </row>
    <row r="196">
      <c r="F196" s="6" t="n"/>
      <c r="G196" s="6" t="n"/>
      <c r="H196" s="6" t="n"/>
      <c r="I196" s="6" t="n"/>
      <c r="J196" s="6" t="n"/>
      <c r="K196" s="6" t="n"/>
    </row>
    <row r="197">
      <c r="F197" s="6" t="n"/>
      <c r="G197" s="6" t="n"/>
      <c r="H197" s="6" t="n"/>
      <c r="I197" s="6" t="n"/>
      <c r="J197" s="6" t="n"/>
      <c r="K197" s="6" t="n"/>
    </row>
    <row r="198">
      <c r="F198" s="6" t="n"/>
      <c r="G198" s="6" t="n"/>
      <c r="H198" s="6" t="n"/>
      <c r="I198" s="6" t="n"/>
      <c r="J198" s="6" t="n"/>
      <c r="K198" s="6" t="n"/>
    </row>
    <row r="199">
      <c r="F199" s="6" t="n"/>
      <c r="G199" s="6" t="n"/>
      <c r="H199" s="6" t="n"/>
      <c r="I199" s="6" t="n"/>
      <c r="J199" s="6" t="n"/>
      <c r="K199" s="6" t="n"/>
    </row>
    <row r="200">
      <c r="F200" s="6" t="n"/>
      <c r="G200" s="6" t="n"/>
      <c r="H200" s="6" t="n"/>
      <c r="I200" s="6" t="n"/>
      <c r="J200" s="6" t="n"/>
      <c r="K200" s="6" t="n"/>
    </row>
    <row r="201">
      <c r="F201" s="6" t="n"/>
      <c r="G201" s="6" t="n"/>
      <c r="H201" s="6" t="n"/>
      <c r="I201" s="6" t="n"/>
      <c r="J201" s="6" t="n"/>
      <c r="K201" s="6" t="n"/>
    </row>
    <row r="202">
      <c r="F202" s="6" t="n"/>
      <c r="G202" s="6" t="n"/>
      <c r="H202" s="6" t="n"/>
      <c r="I202" s="6" t="n"/>
      <c r="J202" s="6" t="n"/>
      <c r="K202" s="6" t="n"/>
    </row>
    <row r="203">
      <c r="F203" s="6" t="n"/>
      <c r="G203" s="6" t="n"/>
      <c r="H203" s="6" t="n"/>
      <c r="I203" s="6" t="n"/>
      <c r="J203" s="6" t="n"/>
      <c r="K203" s="6" t="n"/>
    </row>
    <row r="204">
      <c r="F204" s="6" t="n"/>
      <c r="G204" s="6" t="n"/>
      <c r="H204" s="6" t="n"/>
      <c r="I204" s="6" t="n"/>
      <c r="J204" s="6" t="n"/>
      <c r="K204" s="6" t="n"/>
    </row>
    <row r="205">
      <c r="F205" s="6" t="n"/>
      <c r="G205" s="6" t="n"/>
      <c r="H205" s="6" t="n"/>
      <c r="I205" s="6" t="n"/>
      <c r="J205" s="6" t="n"/>
      <c r="K205" s="6" t="n"/>
    </row>
    <row r="206">
      <c r="F206" s="6" t="n"/>
      <c r="G206" s="6" t="n"/>
      <c r="H206" s="6" t="n"/>
      <c r="I206" s="6" t="n"/>
      <c r="J206" s="6" t="n"/>
      <c r="K206" s="6" t="n"/>
    </row>
    <row r="207">
      <c r="F207" s="6" t="n"/>
      <c r="G207" s="6" t="n"/>
      <c r="H207" s="6" t="n"/>
      <c r="I207" s="6" t="n"/>
      <c r="J207" s="6" t="n"/>
      <c r="K207" s="6" t="n"/>
    </row>
    <row r="208">
      <c r="F208" s="6" t="n"/>
      <c r="G208" s="6" t="n"/>
      <c r="H208" s="6" t="n"/>
      <c r="I208" s="6" t="n"/>
      <c r="J208" s="6" t="n"/>
      <c r="K208" s="6" t="n"/>
    </row>
    <row r="209">
      <c r="F209" s="6" t="n"/>
      <c r="G209" s="6" t="n"/>
      <c r="H209" s="6" t="n"/>
      <c r="I209" s="6" t="n"/>
      <c r="J209" s="6" t="n"/>
      <c r="K209" s="6" t="n"/>
    </row>
    <row r="210">
      <c r="F210" s="6" t="n"/>
      <c r="G210" s="6" t="n"/>
      <c r="H210" s="6" t="n"/>
      <c r="I210" s="6" t="n"/>
      <c r="J210" s="6" t="n"/>
      <c r="K210" s="6" t="n"/>
    </row>
    <row r="211">
      <c r="F211" s="6" t="n"/>
      <c r="G211" s="6" t="n"/>
      <c r="H211" s="6" t="n"/>
      <c r="I211" s="6" t="n"/>
      <c r="J211" s="6" t="n"/>
      <c r="K211" s="6" t="n"/>
    </row>
    <row r="212">
      <c r="F212" s="6" t="n"/>
      <c r="G212" s="6" t="n"/>
      <c r="H212" s="6" t="n"/>
      <c r="I212" s="6" t="n"/>
      <c r="J212" s="6" t="n"/>
      <c r="K212" s="6" t="n"/>
    </row>
    <row r="213">
      <c r="F213" s="6" t="n"/>
      <c r="G213" s="6" t="n"/>
      <c r="H213" s="6" t="n"/>
      <c r="I213" s="6" t="n"/>
      <c r="J213" s="6" t="n"/>
      <c r="K213" s="6" t="n"/>
    </row>
    <row r="214">
      <c r="F214" s="6" t="n"/>
      <c r="G214" s="6" t="n"/>
      <c r="H214" s="6" t="n"/>
      <c r="I214" s="6" t="n"/>
      <c r="J214" s="6" t="n"/>
      <c r="K214" s="6" t="n"/>
    </row>
    <row r="215">
      <c r="F215" s="6" t="n"/>
      <c r="G215" s="6" t="n"/>
      <c r="H215" s="6" t="n"/>
      <c r="I215" s="6" t="n"/>
      <c r="J215" s="6" t="n"/>
      <c r="K215" s="6" t="n"/>
    </row>
    <row r="216">
      <c r="F216" s="6" t="n"/>
      <c r="G216" s="6" t="n"/>
      <c r="H216" s="6" t="n"/>
      <c r="I216" s="6" t="n"/>
      <c r="J216" s="6" t="n"/>
      <c r="K216" s="6" t="n"/>
    </row>
    <row r="217">
      <c r="F217" s="6" t="n"/>
      <c r="G217" s="6" t="n"/>
      <c r="H217" s="6" t="n"/>
      <c r="I217" s="6" t="n"/>
      <c r="J217" s="6" t="n"/>
      <c r="K217" s="6" t="n"/>
    </row>
    <row r="218">
      <c r="F218" s="6" t="n"/>
      <c r="G218" s="6" t="n"/>
      <c r="H218" s="6" t="n"/>
      <c r="I218" s="6" t="n"/>
      <c r="J218" s="6" t="n"/>
      <c r="K218" s="6" t="n"/>
    </row>
    <row r="219">
      <c r="F219" s="6" t="n"/>
      <c r="G219" s="6" t="n"/>
      <c r="H219" s="6" t="n"/>
      <c r="I219" s="6" t="n"/>
      <c r="J219" s="6" t="n"/>
      <c r="K219" s="6" t="n"/>
    </row>
    <row r="220">
      <c r="F220" s="6" t="n"/>
      <c r="G220" s="6" t="n"/>
      <c r="H220" s="6" t="n"/>
      <c r="I220" s="6" t="n"/>
      <c r="J220" s="6" t="n"/>
      <c r="K220" s="6" t="n"/>
    </row>
    <row r="221">
      <c r="F221" s="6" t="n"/>
      <c r="G221" s="6" t="n"/>
      <c r="H221" s="6" t="n"/>
      <c r="I221" s="6" t="n"/>
      <c r="J221" s="6" t="n"/>
      <c r="K221" s="6" t="n"/>
    </row>
    <row r="222">
      <c r="F222" s="6" t="n"/>
      <c r="G222" s="6" t="n"/>
      <c r="H222" s="6" t="n"/>
      <c r="I222" s="6" t="n"/>
      <c r="J222" s="6" t="n"/>
      <c r="K222" s="6" t="n"/>
    </row>
    <row r="223">
      <c r="F223" s="6" t="n"/>
      <c r="G223" s="6" t="n"/>
      <c r="H223" s="6" t="n"/>
      <c r="I223" s="6" t="n"/>
      <c r="J223" s="6" t="n"/>
      <c r="K223" s="6" t="n"/>
    </row>
    <row r="224">
      <c r="F224" s="6" t="n"/>
      <c r="G224" s="6" t="n"/>
      <c r="H224" s="6" t="n"/>
      <c r="I224" s="6" t="n"/>
      <c r="J224" s="6" t="n"/>
      <c r="K224" s="6" t="n"/>
    </row>
    <row r="225">
      <c r="F225" s="6" t="n"/>
      <c r="G225" s="6" t="n"/>
      <c r="H225" s="6" t="n"/>
      <c r="I225" s="6" t="n"/>
      <c r="J225" s="6" t="n"/>
      <c r="K225" s="6" t="n"/>
    </row>
    <row r="226">
      <c r="F226" s="6" t="n"/>
      <c r="G226" s="6" t="n"/>
      <c r="H226" s="6" t="n"/>
      <c r="I226" s="6" t="n"/>
      <c r="J226" s="6" t="n"/>
      <c r="K226" s="6" t="n"/>
    </row>
    <row r="227">
      <c r="F227" s="6" t="n"/>
      <c r="G227" s="6" t="n"/>
      <c r="H227" s="6" t="n"/>
      <c r="I227" s="6" t="n"/>
      <c r="J227" s="6" t="n"/>
      <c r="K227" s="6" t="n"/>
    </row>
    <row r="228">
      <c r="F228" s="6" t="n"/>
      <c r="G228" s="6" t="n"/>
      <c r="H228" s="6" t="n"/>
      <c r="I228" s="6" t="n"/>
      <c r="J228" s="6" t="n"/>
      <c r="K228" s="6" t="n"/>
    </row>
    <row r="229">
      <c r="F229" s="6" t="n"/>
      <c r="G229" s="6" t="n"/>
      <c r="H229" s="6" t="n"/>
      <c r="I229" s="6" t="n"/>
      <c r="J229" s="6" t="n"/>
      <c r="K229" s="6" t="n"/>
    </row>
    <row r="230">
      <c r="F230" s="6" t="n"/>
      <c r="G230" s="6" t="n"/>
      <c r="H230" s="6" t="n"/>
      <c r="I230" s="6" t="n"/>
      <c r="J230" s="6" t="n"/>
      <c r="K230" s="6" t="n"/>
    </row>
    <row r="231">
      <c r="F231" s="6" t="n"/>
      <c r="G231" s="6" t="n"/>
      <c r="H231" s="6" t="n"/>
      <c r="I231" s="6" t="n"/>
      <c r="J231" s="6" t="n"/>
      <c r="K231" s="6" t="n"/>
    </row>
    <row r="232">
      <c r="F232" s="6" t="n"/>
      <c r="G232" s="6" t="n"/>
      <c r="H232" s="6" t="n"/>
      <c r="I232" s="6" t="n"/>
      <c r="J232" s="6" t="n"/>
      <c r="K232" s="6" t="n"/>
    </row>
    <row r="233">
      <c r="F233" s="6" t="n"/>
      <c r="G233" s="6" t="n"/>
      <c r="H233" s="6" t="n"/>
      <c r="I233" s="6" t="n"/>
      <c r="J233" s="6" t="n"/>
      <c r="K233" s="6" t="n"/>
    </row>
    <row r="234">
      <c r="F234" s="6" t="n"/>
      <c r="G234" s="6" t="n"/>
      <c r="H234" s="6" t="n"/>
      <c r="I234" s="6" t="n"/>
      <c r="J234" s="6" t="n"/>
      <c r="K234" s="6" t="n"/>
    </row>
    <row r="235">
      <c r="F235" s="6" t="n"/>
      <c r="G235" s="6" t="n"/>
      <c r="H235" s="6" t="n"/>
      <c r="I235" s="6" t="n"/>
      <c r="J235" s="6" t="n"/>
      <c r="K235" s="6" t="n"/>
    </row>
    <row r="236">
      <c r="F236" s="6" t="n"/>
      <c r="G236" s="6" t="n"/>
      <c r="H236" s="6" t="n"/>
      <c r="I236" s="6" t="n"/>
      <c r="J236" s="6" t="n"/>
      <c r="K236" s="6" t="n"/>
    </row>
    <row r="237">
      <c r="F237" s="6" t="n"/>
      <c r="G237" s="6" t="n"/>
      <c r="H237" s="6" t="n"/>
      <c r="I237" s="6" t="n"/>
      <c r="J237" s="6" t="n"/>
      <c r="K237" s="6" t="n"/>
    </row>
    <row r="238">
      <c r="F238" s="6" t="n"/>
      <c r="G238" s="6" t="n"/>
      <c r="H238" s="6" t="n"/>
      <c r="I238" s="6" t="n"/>
      <c r="J238" s="6" t="n"/>
      <c r="K238" s="6" t="n"/>
    </row>
    <row r="239">
      <c r="F239" s="6" t="n"/>
      <c r="G239" s="6" t="n"/>
      <c r="H239" s="6" t="n"/>
      <c r="I239" s="6" t="n"/>
      <c r="J239" s="6" t="n"/>
      <c r="K239" s="6" t="n"/>
    </row>
    <row r="240">
      <c r="F240" s="6" t="n"/>
      <c r="G240" s="6" t="n"/>
      <c r="H240" s="6" t="n"/>
      <c r="I240" s="6" t="n"/>
      <c r="J240" s="6" t="n"/>
      <c r="K240" s="6" t="n"/>
    </row>
    <row r="241">
      <c r="F241" s="6" t="n"/>
      <c r="G241" s="6" t="n"/>
      <c r="H241" s="6" t="n"/>
      <c r="I241" s="6" t="n"/>
      <c r="J241" s="6" t="n"/>
      <c r="K241" s="6" t="n"/>
    </row>
    <row r="242">
      <c r="F242" s="6" t="n"/>
      <c r="G242" s="6" t="n"/>
      <c r="H242" s="6" t="n"/>
      <c r="I242" s="6" t="n"/>
      <c r="J242" s="6" t="n"/>
      <c r="K242" s="6" t="n"/>
    </row>
    <row r="243">
      <c r="F243" s="6" t="n"/>
      <c r="G243" s="6" t="n"/>
      <c r="H243" s="6" t="n"/>
      <c r="I243" s="6" t="n"/>
      <c r="J243" s="6" t="n"/>
      <c r="K243" s="6" t="n"/>
    </row>
    <row r="244">
      <c r="F244" s="6" t="n"/>
      <c r="G244" s="6" t="n"/>
      <c r="H244" s="6" t="n"/>
      <c r="I244" s="6" t="n"/>
      <c r="J244" s="6" t="n"/>
      <c r="K244" s="6" t="n"/>
    </row>
    <row r="245">
      <c r="F245" s="6" t="n"/>
      <c r="G245" s="6" t="n"/>
      <c r="H245" s="6" t="n"/>
      <c r="I245" s="6" t="n"/>
      <c r="J245" s="6" t="n"/>
      <c r="K245" s="6" t="n"/>
    </row>
    <row r="246">
      <c r="F246" s="6" t="n"/>
      <c r="G246" s="6" t="n"/>
      <c r="H246" s="6" t="n"/>
      <c r="I246" s="6" t="n"/>
      <c r="J246" s="6" t="n"/>
      <c r="K246" s="6" t="n"/>
    </row>
    <row r="247">
      <c r="F247" s="6" t="n"/>
      <c r="G247" s="6" t="n"/>
      <c r="H247" s="6" t="n"/>
      <c r="I247" s="6" t="n"/>
      <c r="J247" s="6" t="n"/>
      <c r="K247" s="6" t="n"/>
    </row>
    <row r="248">
      <c r="F248" s="6" t="n"/>
      <c r="G248" s="6" t="n"/>
      <c r="H248" s="6" t="n"/>
      <c r="I248" s="6" t="n"/>
      <c r="J248" s="6" t="n"/>
      <c r="K248" s="6" t="n"/>
    </row>
    <row r="249">
      <c r="F249" s="6" t="n"/>
      <c r="G249" s="6" t="n"/>
      <c r="H249" s="6" t="n"/>
      <c r="I249" s="6" t="n"/>
      <c r="J249" s="6" t="n"/>
      <c r="K249" s="6" t="n"/>
    </row>
    <row r="250">
      <c r="F250" s="6" t="n"/>
      <c r="G250" s="6" t="n"/>
      <c r="H250" s="6" t="n"/>
      <c r="I250" s="6" t="n"/>
      <c r="J250" s="6" t="n"/>
      <c r="K250" s="6" t="n"/>
    </row>
    <row r="251">
      <c r="F251" s="6" t="n"/>
      <c r="G251" s="6" t="n"/>
      <c r="H251" s="6" t="n"/>
      <c r="I251" s="6" t="n"/>
      <c r="J251" s="6" t="n"/>
      <c r="K251" s="6" t="n"/>
    </row>
    <row r="252">
      <c r="F252" s="6" t="n"/>
      <c r="G252" s="6" t="n"/>
      <c r="H252" s="6" t="n"/>
      <c r="I252" s="6" t="n"/>
      <c r="J252" s="6" t="n"/>
      <c r="K252" s="6" t="n"/>
    </row>
    <row r="253">
      <c r="F253" s="6" t="n"/>
      <c r="G253" s="6" t="n"/>
      <c r="H253" s="6" t="n"/>
      <c r="I253" s="6" t="n"/>
      <c r="J253" s="6" t="n"/>
      <c r="K253" s="6" t="n"/>
    </row>
    <row r="254">
      <c r="F254" s="6" t="n"/>
      <c r="G254" s="6" t="n"/>
      <c r="H254" s="6" t="n"/>
      <c r="I254" s="6" t="n"/>
      <c r="J254" s="6" t="n"/>
      <c r="K254" s="6" t="n"/>
    </row>
    <row r="255">
      <c r="F255" s="6" t="n"/>
      <c r="G255" s="6" t="n"/>
      <c r="H255" s="6" t="n"/>
      <c r="I255" s="6" t="n"/>
      <c r="J255" s="6" t="n"/>
      <c r="K255" s="6" t="n"/>
    </row>
    <row r="256">
      <c r="F256" s="6" t="n"/>
      <c r="G256" s="6" t="n"/>
      <c r="H256" s="6" t="n"/>
      <c r="I256" s="6" t="n"/>
      <c r="J256" s="6" t="n"/>
      <c r="K256" s="6" t="n"/>
    </row>
    <row r="257">
      <c r="F257" s="6" t="n"/>
      <c r="G257" s="6" t="n"/>
      <c r="H257" s="6" t="n"/>
      <c r="I257" s="6" t="n"/>
      <c r="J257" s="6" t="n"/>
      <c r="K257" s="6" t="n"/>
    </row>
    <row r="258">
      <c r="F258" s="6" t="n"/>
      <c r="G258" s="6" t="n"/>
      <c r="H258" s="6" t="n"/>
      <c r="I258" s="6" t="n"/>
      <c r="J258" s="6" t="n"/>
      <c r="K258" s="6" t="n"/>
    </row>
    <row r="259">
      <c r="F259" s="6" t="n"/>
      <c r="G259" s="6" t="n"/>
      <c r="H259" s="6" t="n"/>
      <c r="I259" s="6" t="n"/>
      <c r="J259" s="6" t="n"/>
      <c r="K259" s="6" t="n"/>
    </row>
    <row r="260">
      <c r="F260" s="6" t="n"/>
      <c r="G260" s="6" t="n"/>
      <c r="H260" s="6" t="n"/>
      <c r="I260" s="6" t="n"/>
      <c r="J260" s="6" t="n"/>
      <c r="K260" s="6" t="n"/>
    </row>
    <row r="261">
      <c r="F261" s="6" t="n"/>
      <c r="G261" s="6" t="n"/>
      <c r="H261" s="6" t="n"/>
      <c r="I261" s="6" t="n"/>
      <c r="J261" s="6" t="n"/>
      <c r="K261" s="6" t="n"/>
    </row>
    <row r="262">
      <c r="F262" s="6" t="n"/>
      <c r="G262" s="6" t="n"/>
      <c r="H262" s="6" t="n"/>
      <c r="I262" s="6" t="n"/>
      <c r="J262" s="6" t="n"/>
      <c r="K262" s="6" t="n"/>
    </row>
    <row r="263">
      <c r="F263" s="6" t="n"/>
      <c r="G263" s="6" t="n"/>
      <c r="H263" s="6" t="n"/>
      <c r="I263" s="6" t="n"/>
      <c r="J263" s="6" t="n"/>
      <c r="K263" s="6" t="n"/>
    </row>
    <row r="264">
      <c r="F264" s="6" t="n"/>
      <c r="G264" s="6" t="n"/>
      <c r="H264" s="6" t="n"/>
      <c r="I264" s="6" t="n"/>
      <c r="J264" s="6" t="n"/>
      <c r="K264" s="6" t="n"/>
    </row>
    <row r="265">
      <c r="F265" s="6" t="n"/>
      <c r="G265" s="6" t="n"/>
      <c r="H265" s="6" t="n"/>
      <c r="I265" s="6" t="n"/>
      <c r="J265" s="6" t="n"/>
      <c r="K265" s="6" t="n"/>
    </row>
    <row r="266">
      <c r="F266" s="6" t="n"/>
      <c r="G266" s="6" t="n"/>
      <c r="H266" s="6" t="n"/>
      <c r="I266" s="6" t="n"/>
      <c r="J266" s="6" t="n"/>
      <c r="K266" s="6" t="n"/>
    </row>
    <row r="267">
      <c r="F267" s="6" t="n"/>
      <c r="G267" s="6" t="n"/>
      <c r="H267" s="6" t="n"/>
      <c r="I267" s="6" t="n"/>
      <c r="J267" s="6" t="n"/>
      <c r="K267" s="6" t="n"/>
    </row>
    <row r="268">
      <c r="F268" s="6" t="n"/>
      <c r="G268" s="6" t="n"/>
      <c r="H268" s="6" t="n"/>
      <c r="I268" s="6" t="n"/>
      <c r="J268" s="6" t="n"/>
      <c r="K268" s="6" t="n"/>
    </row>
    <row r="269">
      <c r="F269" s="6" t="n"/>
      <c r="G269" s="6" t="n"/>
      <c r="H269" s="6" t="n"/>
      <c r="I269" s="6" t="n"/>
      <c r="J269" s="6" t="n"/>
      <c r="K269" s="6" t="n"/>
    </row>
    <row r="270">
      <c r="F270" s="6" t="n"/>
      <c r="G270" s="6" t="n"/>
      <c r="H270" s="6" t="n"/>
      <c r="I270" s="6" t="n"/>
      <c r="J270" s="6" t="n"/>
      <c r="K270" s="6" t="n"/>
    </row>
    <row r="271">
      <c r="F271" s="6" t="n"/>
      <c r="G271" s="6" t="n"/>
      <c r="H271" s="6" t="n"/>
      <c r="I271" s="6" t="n"/>
      <c r="J271" s="6" t="n"/>
      <c r="K271" s="6" t="n"/>
    </row>
    <row r="272">
      <c r="F272" s="6" t="n"/>
      <c r="G272" s="6" t="n"/>
      <c r="H272" s="6" t="n"/>
      <c r="I272" s="6" t="n"/>
      <c r="J272" s="6" t="n"/>
      <c r="K272" s="6" t="n"/>
    </row>
    <row r="273">
      <c r="F273" s="6" t="n"/>
      <c r="G273" s="6" t="n"/>
      <c r="H273" s="6" t="n"/>
      <c r="I273" s="6" t="n"/>
      <c r="J273" s="6" t="n"/>
      <c r="K273" s="6" t="n"/>
    </row>
    <row r="274">
      <c r="F274" s="6" t="n"/>
      <c r="G274" s="6" t="n"/>
      <c r="H274" s="6" t="n"/>
      <c r="I274" s="6" t="n"/>
      <c r="J274" s="6" t="n"/>
      <c r="K274" s="6" t="n"/>
    </row>
    <row r="275">
      <c r="F275" s="6" t="n"/>
      <c r="G275" s="6" t="n"/>
      <c r="H275" s="6" t="n"/>
      <c r="I275" s="6" t="n"/>
      <c r="J275" s="6" t="n"/>
      <c r="K275" s="6" t="n"/>
    </row>
    <row r="276">
      <c r="F276" s="6" t="n"/>
      <c r="G276" s="6" t="n"/>
      <c r="H276" s="6" t="n"/>
      <c r="I276" s="6" t="n"/>
      <c r="J276" s="6" t="n"/>
      <c r="K276" s="6" t="n"/>
    </row>
    <row r="277">
      <c r="F277" s="6" t="n"/>
      <c r="G277" s="6" t="n"/>
      <c r="H277" s="6" t="n"/>
      <c r="I277" s="6" t="n"/>
      <c r="J277" s="6" t="n"/>
      <c r="K277" s="6" t="n"/>
    </row>
    <row r="278">
      <c r="F278" s="6" t="n"/>
      <c r="G278" s="6" t="n"/>
      <c r="H278" s="6" t="n"/>
      <c r="I278" s="6" t="n"/>
      <c r="J278" s="6" t="n"/>
      <c r="K278" s="6" t="n"/>
    </row>
    <row r="279">
      <c r="F279" s="6" t="n"/>
      <c r="G279" s="6" t="n"/>
      <c r="H279" s="6" t="n"/>
      <c r="I279" s="6" t="n"/>
      <c r="J279" s="6" t="n"/>
      <c r="K279" s="6" t="n"/>
    </row>
    <row r="280">
      <c r="F280" s="6" t="n"/>
      <c r="G280" s="6" t="n"/>
      <c r="H280" s="6" t="n"/>
      <c r="I280" s="6" t="n"/>
      <c r="J280" s="6" t="n"/>
      <c r="K280" s="6" t="n"/>
    </row>
    <row r="281">
      <c r="F281" s="6" t="n"/>
      <c r="G281" s="6" t="n"/>
      <c r="H281" s="6" t="n"/>
      <c r="I281" s="6" t="n"/>
      <c r="J281" s="6" t="n"/>
      <c r="K281" s="6" t="n"/>
    </row>
    <row r="282">
      <c r="F282" s="6" t="n"/>
      <c r="G282" s="6" t="n"/>
      <c r="H282" s="6" t="n"/>
      <c r="I282" s="6" t="n"/>
      <c r="J282" s="6" t="n"/>
      <c r="K282" s="6" t="n"/>
    </row>
    <row r="283">
      <c r="F283" s="6" t="n"/>
      <c r="G283" s="6" t="n"/>
      <c r="H283" s="6" t="n"/>
      <c r="I283" s="6" t="n"/>
      <c r="J283" s="6" t="n"/>
      <c r="K283" s="6" t="n"/>
    </row>
    <row r="284">
      <c r="F284" s="6" t="n"/>
      <c r="G284" s="6" t="n"/>
      <c r="H284" s="6" t="n"/>
      <c r="I284" s="6" t="n"/>
      <c r="J284" s="6" t="n"/>
      <c r="K284" s="6" t="n"/>
    </row>
    <row r="285">
      <c r="F285" s="6" t="n"/>
      <c r="G285" s="6" t="n"/>
      <c r="H285" s="6" t="n"/>
      <c r="I285" s="6" t="n"/>
      <c r="J285" s="6" t="n"/>
      <c r="K285" s="6" t="n"/>
    </row>
    <row r="286">
      <c r="F286" s="6" t="n"/>
      <c r="G286" s="6" t="n"/>
      <c r="H286" s="6" t="n"/>
      <c r="I286" s="6" t="n"/>
      <c r="J286" s="6" t="n"/>
      <c r="K286" s="6" t="n"/>
    </row>
    <row r="287">
      <c r="F287" s="6" t="n"/>
      <c r="G287" s="6" t="n"/>
      <c r="H287" s="6" t="n"/>
      <c r="I287" s="6" t="n"/>
      <c r="J287" s="6" t="n"/>
      <c r="K287" s="6" t="n"/>
    </row>
    <row r="288">
      <c r="F288" s="6" t="n"/>
      <c r="G288" s="6" t="n"/>
      <c r="H288" s="6" t="n"/>
      <c r="I288" s="6" t="n"/>
      <c r="J288" s="6" t="n"/>
      <c r="K288" s="6" t="n"/>
    </row>
    <row r="289">
      <c r="F289" s="6" t="n"/>
      <c r="G289" s="6" t="n"/>
      <c r="H289" s="6" t="n"/>
      <c r="I289" s="6" t="n"/>
      <c r="J289" s="6" t="n"/>
      <c r="K289" s="6" t="n"/>
    </row>
    <row r="290">
      <c r="F290" s="6" t="n"/>
      <c r="G290" s="6" t="n"/>
      <c r="H290" s="6" t="n"/>
      <c r="I290" s="6" t="n"/>
      <c r="J290" s="6" t="n"/>
      <c r="K290" s="6" t="n"/>
    </row>
    <row r="291">
      <c r="F291" s="6" t="n"/>
      <c r="G291" s="6" t="n"/>
      <c r="H291" s="6" t="n"/>
      <c r="I291" s="6" t="n"/>
      <c r="J291" s="6" t="n"/>
      <c r="K291" s="6" t="n"/>
    </row>
    <row r="292">
      <c r="F292" s="6" t="n"/>
      <c r="G292" s="6" t="n"/>
      <c r="H292" s="6" t="n"/>
      <c r="I292" s="6" t="n"/>
      <c r="J292" s="6" t="n"/>
      <c r="K292" s="6" t="n"/>
    </row>
    <row r="293">
      <c r="F293" s="6" t="n"/>
      <c r="G293" s="6" t="n"/>
      <c r="H293" s="6" t="n"/>
      <c r="I293" s="6" t="n"/>
      <c r="J293" s="6" t="n"/>
      <c r="K293" s="6" t="n"/>
    </row>
    <row r="294">
      <c r="F294" s="6" t="n"/>
      <c r="G294" s="6" t="n"/>
      <c r="H294" s="6" t="n"/>
      <c r="I294" s="6" t="n"/>
      <c r="J294" s="6" t="n"/>
      <c r="K294" s="6" t="n"/>
    </row>
    <row r="295">
      <c r="F295" s="6" t="n"/>
      <c r="G295" s="6" t="n"/>
      <c r="H295" s="6" t="n"/>
      <c r="I295" s="6" t="n"/>
      <c r="J295" s="6" t="n"/>
      <c r="K295" s="6" t="n"/>
    </row>
    <row r="296">
      <c r="F296" s="6" t="n"/>
      <c r="G296" s="6" t="n"/>
      <c r="H296" s="6" t="n"/>
      <c r="I296" s="6" t="n"/>
      <c r="J296" s="6" t="n"/>
      <c r="K296" s="6" t="n"/>
    </row>
    <row r="297">
      <c r="F297" s="6" t="n"/>
      <c r="G297" s="6" t="n"/>
      <c r="H297" s="6" t="n"/>
      <c r="I297" s="6" t="n"/>
      <c r="J297" s="6" t="n"/>
      <c r="K297" s="6" t="n"/>
    </row>
    <row r="298">
      <c r="F298" s="6" t="n"/>
      <c r="G298" s="6" t="n"/>
      <c r="H298" s="6" t="n"/>
      <c r="I298" s="6" t="n"/>
      <c r="J298" s="6" t="n"/>
      <c r="K298" s="6" t="n"/>
    </row>
    <row r="299">
      <c r="F299" s="6" t="n"/>
      <c r="G299" s="6" t="n"/>
      <c r="H299" s="6" t="n"/>
      <c r="I299" s="6" t="n"/>
      <c r="J299" s="6" t="n"/>
      <c r="K299" s="6" t="n"/>
    </row>
    <row r="300">
      <c r="F300" s="6" t="n"/>
      <c r="G300" s="6" t="n"/>
      <c r="H300" s="6" t="n"/>
      <c r="I300" s="6" t="n"/>
      <c r="J300" s="6" t="n"/>
      <c r="K300" s="6" t="n"/>
    </row>
    <row r="301">
      <c r="F301" s="6" t="n"/>
      <c r="G301" s="6" t="n"/>
      <c r="H301" s="6" t="n"/>
      <c r="I301" s="6" t="n"/>
      <c r="J301" s="6" t="n"/>
      <c r="K301" s="6" t="n"/>
    </row>
    <row r="302">
      <c r="F302" s="6" t="n"/>
      <c r="G302" s="6" t="n"/>
      <c r="H302" s="6" t="n"/>
      <c r="I302" s="6" t="n"/>
      <c r="J302" s="6" t="n"/>
      <c r="K302" s="6" t="n"/>
    </row>
    <row r="303">
      <c r="F303" s="6" t="n"/>
      <c r="G303" s="6" t="n"/>
      <c r="H303" s="6" t="n"/>
      <c r="I303" s="6" t="n"/>
      <c r="J303" s="6" t="n"/>
      <c r="K303" s="6" t="n"/>
    </row>
    <row r="304">
      <c r="F304" s="6" t="n"/>
      <c r="G304" s="6" t="n"/>
      <c r="H304" s="6" t="n"/>
      <c r="I304" s="6" t="n"/>
      <c r="J304" s="6" t="n"/>
      <c r="K304" s="6" t="n"/>
    </row>
    <row r="305">
      <c r="F305" s="6" t="n"/>
      <c r="G305" s="6" t="n"/>
      <c r="H305" s="6" t="n"/>
      <c r="I305" s="6" t="n"/>
      <c r="J305" s="6" t="n"/>
      <c r="K305" s="6" t="n"/>
    </row>
    <row r="306">
      <c r="F306" s="6" t="n"/>
      <c r="G306" s="6" t="n"/>
      <c r="H306" s="6" t="n"/>
      <c r="I306" s="6" t="n"/>
      <c r="J306" s="6" t="n"/>
      <c r="K306" s="6" t="n"/>
    </row>
    <row r="307">
      <c r="F307" s="6" t="n"/>
      <c r="G307" s="6" t="n"/>
      <c r="H307" s="6" t="n"/>
      <c r="I307" s="6" t="n"/>
      <c r="J307" s="6" t="n"/>
      <c r="K307" s="6" t="n"/>
    </row>
    <row r="308">
      <c r="F308" s="6" t="n"/>
      <c r="G308" s="6" t="n"/>
      <c r="H308" s="6" t="n"/>
      <c r="I308" s="6" t="n"/>
      <c r="J308" s="6" t="n"/>
      <c r="K308" s="6" t="n"/>
    </row>
    <row r="309">
      <c r="F309" s="6" t="n"/>
      <c r="G309" s="6" t="n"/>
      <c r="H309" s="6" t="n"/>
      <c r="I309" s="6" t="n"/>
      <c r="J309" s="6" t="n"/>
      <c r="K309" s="6" t="n"/>
    </row>
    <row r="310">
      <c r="F310" s="6" t="n"/>
      <c r="G310" s="6" t="n"/>
      <c r="H310" s="6" t="n"/>
      <c r="I310" s="6" t="n"/>
      <c r="J310" s="6" t="n"/>
      <c r="K310" s="6" t="n"/>
    </row>
    <row r="311">
      <c r="F311" s="6" t="n"/>
      <c r="G311" s="6" t="n"/>
      <c r="H311" s="6" t="n"/>
      <c r="I311" s="6" t="n"/>
      <c r="J311" s="6" t="n"/>
      <c r="K311" s="6" t="n"/>
    </row>
  </sheetData>
  <autoFilter ref="A1:K311"/>
  <pageMargins left="0.75" right="0.75" top="1" bottom="1" header="0.5" footer="0.5"/>
  <headerFooter>
    <oddHeader>&amp;L&amp;"Aptos"&amp;1 &amp;KFF0000 LGUplus-InternalUseOnly(사내한)/2026-09-17T08:35:21/kjch444@lguplus.co.kr#_x000d_</oddHeader>
    <oddFooter>&amp;R&amp;"Aptos"&amp;11 &amp;KFF0000_x000d_# LGUplus-InternalUseOnly(사내한)/2026-09-17T08:35:21/kjch444@lguplus.co.kr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6.5"/>
  <cols>
    <col width="24" customWidth="1" style="27" min="1" max="2"/>
    <col width="24" customWidth="1" style="27" min="2" max="2"/>
  </cols>
  <sheetData>
    <row r="1" ht="20.25" customHeight="1" s="27">
      <c r="A1" s="52" t="inlineStr">
        <is>
          <t>모요 요금제 요약 및 통계</t>
        </is>
      </c>
    </row>
    <row r="2">
      <c r="A2" t="inlineStr">
        <is>
          <t>생성시각</t>
        </is>
      </c>
      <c r="B2" t="inlineStr">
        <is>
          <t>2026-10-24 21:43:16</t>
        </is>
      </c>
    </row>
    <row r="3">
      <c r="A3" t="inlineStr">
        <is>
          <t>기준</t>
        </is>
      </c>
      <c r="B3" t="inlineStr">
        <is>
          <t>페이백 미포함</t>
        </is>
      </c>
    </row>
    <row r="4"/>
    <row r="5">
      <c r="A5" s="53" t="inlineStr">
        <is>
          <t>전체 저장 행</t>
        </is>
      </c>
      <c r="B5" t="n">
        <v>1986</v>
      </c>
    </row>
    <row r="6">
      <c r="A6" s="53" t="inlineStr">
        <is>
          <t>RS</t>
        </is>
      </c>
      <c r="B6" t="n">
        <v>956</v>
      </c>
    </row>
    <row r="7">
      <c r="A7" s="53" t="inlineStr">
        <is>
          <t>RM</t>
        </is>
      </c>
      <c r="B7" t="n">
        <v>0</v>
      </c>
    </row>
    <row r="8">
      <c r="A8" s="53" t="inlineStr">
        <is>
          <t>미분류</t>
        </is>
      </c>
      <c r="B8" t="n">
        <v>1030</v>
      </c>
    </row>
    <row r="9">
      <c r="A9" s="53" t="inlineStr">
        <is>
          <t>RS 가이드 위반</t>
        </is>
      </c>
      <c r="B9" t="n">
        <v>0</v>
      </c>
    </row>
    <row r="10">
      <c r="A10" s="53" t="inlineStr">
        <is>
          <t>RM 가이드 위반</t>
        </is>
      </c>
      <c r="B10" t="n">
        <v>0</v>
      </c>
    </row>
    <row r="11">
      <c r="A11" s="53" t="n"/>
    </row>
    <row r="12">
      <c r="A12" s="53" t="inlineStr">
        <is>
          <t>LG U+망</t>
        </is>
      </c>
      <c r="B12" t="n">
        <v>885</v>
      </c>
    </row>
    <row r="13">
      <c r="A13" s="53" t="inlineStr">
        <is>
          <t>KT망</t>
        </is>
      </c>
      <c r="B13" t="n">
        <v>707</v>
      </c>
    </row>
    <row r="14">
      <c r="A14" s="53" t="inlineStr">
        <is>
          <t>SKT망</t>
        </is>
      </c>
      <c r="B14" t="n">
        <v>394</v>
      </c>
    </row>
    <row r="15">
      <c r="A15" s="53" t="inlineStr">
        <is>
          <t>망정보 미확인</t>
        </is>
      </c>
      <c r="B15" t="n">
        <v>0</v>
      </c>
    </row>
    <row r="16">
      <c r="A16" s="53" t="inlineStr">
        <is>
          <t>LTE</t>
        </is>
      </c>
      <c r="B16" t="n">
        <v>1540</v>
      </c>
    </row>
    <row r="17">
      <c r="A17" s="53" t="inlineStr">
        <is>
          <t>5G</t>
        </is>
      </c>
      <c r="B17" t="n">
        <v>446</v>
      </c>
    </row>
    <row r="18">
      <c r="A18" s="53" t="n"/>
    </row>
    <row r="19">
      <c r="A19" s="53" t="inlineStr">
        <is>
          <t>전일 대비 신규</t>
        </is>
      </c>
      <c r="B19" t="n">
        <v>1</v>
      </c>
    </row>
    <row r="20">
      <c r="A20" s="53" t="inlineStr">
        <is>
          <t>전일 대비 삭제</t>
        </is>
      </c>
      <c r="B20" t="n">
        <v>1</v>
      </c>
    </row>
    <row r="21">
      <c r="A21" s="53" t="inlineStr">
        <is>
          <t>월요금 인상</t>
        </is>
      </c>
      <c r="B21" t="n">
        <v>0</v>
      </c>
    </row>
    <row r="22">
      <c r="A22" s="53" t="inlineStr">
        <is>
          <t>월요금 인하</t>
        </is>
      </c>
      <c r="B22" t="n">
        <v>0</v>
      </c>
    </row>
    <row r="23">
      <c r="A23" s="53" t="inlineStr">
        <is>
          <t>기타 변경</t>
        </is>
      </c>
      <c r="B23" t="n">
        <v>0</v>
      </c>
    </row>
  </sheetData>
  <pageMargins left="0.75" right="0.75" top="1" bottom="1" header="0.5" footer="0.5"/>
  <headerFooter>
    <oddHeader>&amp;L&amp;"Aptos"&amp;1 &amp;KFF0000 LGUplus-InternalUseOnly(사내한)/2026-09-17T08:35:21/kjch444@lguplus.co.kr#_x000d_</oddHeader>
    <oddFooter>&amp;R&amp;"Aptos"&amp;11 &amp;KFF0000_x000d_# LGUplus-InternalUseOnly(사내한)/2026-09-17T08:35:21/kjch444@lguplus.co.kr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tabSelected="1" zoomScale="85" zoomScaleNormal="85" workbookViewId="0">
      <selection activeCell="B2" sqref="B2"/>
    </sheetView>
  </sheetViews>
  <sheetFormatPr baseColWidth="8" defaultRowHeight="16.5"/>
  <cols>
    <col width="11.375" customWidth="1" style="27" min="2" max="2"/>
    <col width="9.375" bestFit="1" customWidth="1" style="27" min="4" max="4"/>
    <col width="9.125" bestFit="1" customWidth="1" style="27" min="5" max="5"/>
    <col width="12.875" bestFit="1" customWidth="1" style="27" min="6" max="6"/>
    <col width="9.375" bestFit="1" customWidth="1" style="27" min="7" max="7"/>
    <col width="9.125" bestFit="1" customWidth="1" style="27" min="8" max="8"/>
    <col width="12.875" bestFit="1" customWidth="1" style="54" min="9" max="9"/>
    <col width="9.375" bestFit="1" customWidth="1" style="54" min="10" max="10"/>
    <col width="9.125" bestFit="1" customWidth="1" style="27" min="11" max="11"/>
    <col width="12.875" bestFit="1" customWidth="1" style="27" min="12" max="12"/>
    <col width="9.375" bestFit="1" customWidth="1" style="27" min="13" max="13"/>
    <col width="9.125" bestFit="1" customWidth="1" style="27" min="14" max="14"/>
    <col width="12.875" bestFit="1" customWidth="1" style="27" min="15" max="15"/>
    <col width="9.375" bestFit="1" customWidth="1" style="27" min="16" max="16"/>
    <col width="9.125" bestFit="1" customWidth="1" style="27" min="17" max="17"/>
    <col width="12.875" bestFit="1" customWidth="1" style="27" min="18" max="18"/>
    <col width="9.375" bestFit="1" customWidth="1" style="27" min="19" max="19"/>
    <col width="9.125" bestFit="1" customWidth="1" style="27" min="20" max="20"/>
    <col width="12.875" bestFit="1" customWidth="1" style="27" min="21" max="21"/>
    <col width="9.375" bestFit="1" customWidth="1" style="27" min="22" max="22"/>
    <col width="9.125" bestFit="1" customWidth="1" style="27" min="23" max="23"/>
    <col width="12.875" bestFit="1" customWidth="1" style="27" min="24" max="24"/>
    <col width="9.375" bestFit="1" customWidth="1" style="27" min="25" max="25"/>
    <col width="9.125" bestFit="1" customWidth="1" style="27" min="26" max="26"/>
    <col width="12.875" bestFit="1" customWidth="1" style="27" min="27" max="27"/>
  </cols>
  <sheetData>
    <row r="1">
      <c r="Z1" s="46" t="n"/>
      <c r="AA1" t="inlineStr">
        <is>
          <t>사업자 최저가</t>
        </is>
      </c>
    </row>
    <row r="2">
      <c r="B2" t="inlineStr">
        <is>
          <t>■모요 채널 요금제 판가 비교 자료</t>
        </is>
      </c>
      <c r="Z2" s="45" t="n"/>
      <c r="AA2" t="inlineStr">
        <is>
          <t>요금제 최저가</t>
        </is>
      </c>
    </row>
    <row r="3">
      <c r="B3" s="14" t="inlineStr">
        <is>
          <t>사업자</t>
        </is>
      </c>
      <c r="C3" s="15" t="inlineStr">
        <is>
          <t>망</t>
        </is>
      </c>
      <c r="D3" s="16" t="inlineStr">
        <is>
          <t>7G</t>
        </is>
      </c>
      <c r="E3" s="55" t="n"/>
      <c r="F3" s="56" t="n"/>
      <c r="G3" s="11" t="inlineStr">
        <is>
          <t>15GB + 100분</t>
        </is>
      </c>
      <c r="H3" s="55" t="n"/>
      <c r="I3" s="56" t="n"/>
      <c r="J3" s="11" t="inlineStr">
        <is>
          <t>15GB + 300분</t>
        </is>
      </c>
      <c r="K3" s="55" t="n"/>
      <c r="L3" s="56" t="n"/>
      <c r="M3" s="11" t="inlineStr">
        <is>
          <t>11G</t>
        </is>
      </c>
      <c r="N3" s="55" t="n"/>
      <c r="O3" s="56" t="n"/>
      <c r="P3" s="11" t="inlineStr">
        <is>
          <t>100GB</t>
        </is>
      </c>
      <c r="Q3" s="55" t="n"/>
      <c r="R3" s="56" t="n"/>
      <c r="S3" s="11" t="inlineStr">
        <is>
          <t>95GB</t>
        </is>
      </c>
      <c r="T3" s="55" t="n"/>
      <c r="U3" s="56" t="n"/>
      <c r="V3" s="11" t="inlineStr">
        <is>
          <t>125GB</t>
        </is>
      </c>
      <c r="W3" s="55" t="n"/>
      <c r="X3" s="56" t="n"/>
      <c r="Y3" s="11" t="inlineStr">
        <is>
          <t>150GB</t>
        </is>
      </c>
      <c r="Z3" s="55" t="n"/>
      <c r="AA3" s="56" t="n"/>
    </row>
    <row r="4">
      <c r="B4" s="57" t="n"/>
      <c r="C4" s="58" t="n"/>
      <c r="D4" s="19" t="inlineStr">
        <is>
          <t>월 요금</t>
        </is>
      </c>
      <c r="E4" s="20" t="inlineStr">
        <is>
          <t>할인 기간</t>
        </is>
      </c>
      <c r="F4" s="20" t="inlineStr">
        <is>
          <t>기간 이후 요금</t>
        </is>
      </c>
      <c r="G4" s="19" t="inlineStr">
        <is>
          <t>월 요금</t>
        </is>
      </c>
      <c r="H4" s="20" t="inlineStr">
        <is>
          <t>할인 기간</t>
        </is>
      </c>
      <c r="I4" s="20" t="inlineStr">
        <is>
          <t>기간 이후 요금</t>
        </is>
      </c>
      <c r="J4" s="19" t="inlineStr">
        <is>
          <t>월 요금</t>
        </is>
      </c>
      <c r="K4" s="20" t="inlineStr">
        <is>
          <t>할인 기간</t>
        </is>
      </c>
      <c r="L4" s="20" t="inlineStr">
        <is>
          <t>기간 이후 요금</t>
        </is>
      </c>
      <c r="M4" s="19" t="inlineStr">
        <is>
          <t>월 요금</t>
        </is>
      </c>
      <c r="N4" s="20" t="inlineStr">
        <is>
          <t>할인 기간</t>
        </is>
      </c>
      <c r="O4" s="20" t="inlineStr">
        <is>
          <t>기간 이후 요금</t>
        </is>
      </c>
      <c r="P4" s="19" t="inlineStr">
        <is>
          <t>월 요금</t>
        </is>
      </c>
      <c r="Q4" s="20" t="inlineStr">
        <is>
          <t>할인 기간</t>
        </is>
      </c>
      <c r="R4" s="20" t="inlineStr">
        <is>
          <t>기간 이후 요금</t>
        </is>
      </c>
      <c r="S4" s="19" t="inlineStr">
        <is>
          <t>월 요금</t>
        </is>
      </c>
      <c r="T4" s="20" t="inlineStr">
        <is>
          <t>할인 기간</t>
        </is>
      </c>
      <c r="U4" s="20" t="inlineStr">
        <is>
          <t>기간 이후 요금</t>
        </is>
      </c>
      <c r="V4" s="19" t="inlineStr">
        <is>
          <t>월 요금</t>
        </is>
      </c>
      <c r="W4" s="20" t="inlineStr">
        <is>
          <t>할인 기간</t>
        </is>
      </c>
      <c r="X4" s="20" t="inlineStr">
        <is>
          <t>기간 이후 요금</t>
        </is>
      </c>
      <c r="Y4" s="19" t="inlineStr">
        <is>
          <t>월 요금</t>
        </is>
      </c>
      <c r="Z4" s="20" t="inlineStr">
        <is>
          <t>할인 기간</t>
        </is>
      </c>
      <c r="AA4" s="21" t="inlineStr">
        <is>
          <t>기간 이후 요금</t>
        </is>
      </c>
    </row>
    <row r="5">
      <c r="B5" s="22" t="inlineStr">
        <is>
          <t>프리티</t>
        </is>
      </c>
      <c r="C5" s="23" t="inlineStr">
        <is>
          <t>SK</t>
        </is>
      </c>
      <c r="D5" s="59">
        <f t="array" ref="D5">_xlfn.LET(_xlpm.d,'페이백 미포함'!$A$2:$K$2061,_xlpm.p,_xlfn.XLOOKUP($B5,참조!$K$2:$K$30,IF(참조!$L$2:$L$30&lt;&gt;"",참조!$L$2:$L$30,참조!$M$2:$M$30),""),_xlpm.n,IF(OR($C5="SK",$C5="SKT"),"SKT",$C5)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5" s="60" t="n"/>
      <c r="F5" s="61" t="n"/>
      <c r="G5" s="59">
        <f t="array" ref="G5:I5">_xlfn.LET(_xlpm.d,'페이백 미포함'!$A$2:$K$2061,_xlpm.p,_xlfn.XLOOKUP($B5,참조!$K$2:$K$30,IF(참조!$L$2:$L$30&lt;&gt;"",참조!$L$2:$L$30,참조!$M$2:$M$30),""),_xlpm.n,IF(OR($C5="SK",$C5="SKT"),"SKT",$C5)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5" s="60" t="n">
        <v>12</v>
      </c>
      <c r="I5" s="61" t="n">
        <v>30800</v>
      </c>
      <c r="J5" s="59">
        <f t="array" ref="J5">_xlfn.LET(_xlpm.d,'페이백 미포함'!$A$2:$K$2061,_xlpm.p,_xlfn.XLOOKUP($B5,참조!$K$2:$K$30,IF(참조!$L$2:$L$30&lt;&gt;"",참조!$L$2:$L$30,참조!$M$2:$M$30),""),_xlpm.n,IF(OR($C5="SK",$C5="SKT"),"SKT",$C5)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5" s="60" t="n"/>
      <c r="L5" s="61" t="n"/>
      <c r="M5" s="59">
        <f t="array" ref="M5">_xlfn.LET(_xlpm.d,'페이백 미포함'!$A$2:$K$2061,_xlpm.p,_xlfn.XLOOKUP($B5,참조!$K$2:$K$30,IF(참조!$L$2:$L$30&lt;&gt;"",참조!$L$2:$L$30,참조!$M$2:$M$30),""),_xlpm.n,IF(OR($C5="SK",$C5="SKT"),"SKT",$C5)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5" s="60" t="n"/>
      <c r="O5" s="61" t="n"/>
      <c r="P5" s="59">
        <f t="array" ref="P5">_xlfn.LET(_xlpm.d,'페이백 미포함'!$A$2:$K$2061,_xlpm.p,_xlfn.XLOOKUP($B5,참조!$K$2:$K$30,IF(참조!$L$2:$L$30&lt;&gt;"",참조!$L$2:$L$30,참조!$M$2:$M$30),""),_xlpm.n,IF(OR($C5="SK",$C5="SKT"),"SKT",$C5)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5" s="60" t="n"/>
      <c r="R5" s="61" t="n"/>
      <c r="S5" s="59">
        <f t="array" ref="S5">_xlfn.LET(_xlpm.d,'페이백 미포함'!$A$2:$K$2061,_xlpm.p,_xlfn.XLOOKUP($B5,참조!$K$2:$K$30,IF(참조!$L$2:$L$30&lt;&gt;"",참조!$L$2:$L$30,참조!$M$2:$M$30),""),_xlpm.n,IF(OR($C5="SK",$C5="SKT"),"SKT",$C5)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5" s="60" t="n"/>
      <c r="U5" s="61" t="n"/>
      <c r="V5" s="59">
        <f t="array" ref="V5">_xlfn.LET(_xlpm.d,'페이백 미포함'!$A$2:$K$2061,_xlpm.p,_xlfn.XLOOKUP($B5,참조!$K$2:$K$30,IF(참조!$L$2:$L$30&lt;&gt;"",참조!$L$2:$L$30,참조!$M$2:$M$30),""),_xlpm.n,IF(OR($C5="SK",$C5="SKT"),"SKT",$C5)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5" s="60" t="n"/>
      <c r="X5" s="61" t="n"/>
      <c r="Y5" s="59">
        <f t="array" ref="Y5">_xlfn.LET(_xlpm.d,'페이백 미포함'!$A$2:$K$2061,_xlpm.p,_xlfn.XLOOKUP($B5,참조!$K$2:$K$30,IF(참조!$L$2:$L$30&lt;&gt;"",참조!$L$2:$L$30,참조!$M$2:$M$30),""),_xlpm.n,IF(OR($C5="SK",$C5="SKT"),"SKT",$C5)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5" s="60" t="n"/>
      <c r="AA5" s="61" t="n"/>
    </row>
    <row r="6">
      <c r="B6" s="26">
        <f>B5</f>
        <v/>
      </c>
      <c r="C6" t="inlineStr">
        <is>
          <t>KT</t>
        </is>
      </c>
      <c r="D6" s="62">
        <f t="array" ref="D6">_xlfn.LET(_xlpm.d,'페이백 미포함'!$A$2:$K$2061,_xlpm.p,_xlfn.XLOOKUP($B6,참조!$K$2:$K$30,IF(참조!$L$2:$L$30&lt;&gt;"",참조!$L$2:$L$30,참조!$M$2:$M$30),""),_xlpm.n,IF(OR($C6="SK",$C6="SKT"),"SKT",$C6)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6" s="54" t="n"/>
      <c r="F6" s="63" t="n"/>
      <c r="G6" s="62">
        <f t="array" ref="G6:I6">_xlfn.LET(_xlpm.d,'페이백 미포함'!$A$2:$K$2061,_xlpm.p,_xlfn.XLOOKUP($B6,참조!$K$2:$K$30,IF(참조!$L$2:$L$30&lt;&gt;"",참조!$L$2:$L$30,참조!$M$2:$M$30),""),_xlpm.n,IF(OR($C6="SK",$C6="SKT"),"SKT",$C6)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6" s="54" t="n">
        <v>7</v>
      </c>
      <c r="I6" s="63" t="n">
        <v>33000</v>
      </c>
      <c r="J6" s="62">
        <f t="array" ref="J6">_xlfn.LET(_xlpm.d,'페이백 미포함'!$A$2:$K$2061,_xlpm.p,_xlfn.XLOOKUP($B6,참조!$K$2:$K$30,IF(참조!$L$2:$L$30&lt;&gt;"",참조!$L$2:$L$30,참조!$M$2:$M$30),""),_xlpm.n,IF(OR($C6="SK",$C6="SKT"),"SKT",$C6)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6" s="54" t="n"/>
      <c r="L6" s="63" t="n"/>
      <c r="M6" s="62">
        <f t="array" ref="M6">_xlfn.LET(_xlpm.d,'페이백 미포함'!$A$2:$K$2061,_xlpm.p,_xlfn.XLOOKUP($B6,참조!$K$2:$K$30,IF(참조!$L$2:$L$30&lt;&gt;"",참조!$L$2:$L$30,참조!$M$2:$M$30),""),_xlpm.n,IF(OR($C6="SK",$C6="SKT"),"SKT",$C6)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6" s="54" t="n"/>
      <c r="O6" s="63" t="n"/>
      <c r="P6" s="62">
        <f t="array" ref="P6">_xlfn.LET(_xlpm.d,'페이백 미포함'!$A$2:$K$2061,_xlpm.p,_xlfn.XLOOKUP($B6,참조!$K$2:$K$30,IF(참조!$L$2:$L$30&lt;&gt;"",참조!$L$2:$L$30,참조!$M$2:$M$30),""),_xlpm.n,IF(OR($C6="SK",$C6="SKT"),"SKT",$C6)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6" s="54" t="n"/>
      <c r="R6" s="63" t="n"/>
      <c r="S6" s="62">
        <f t="array" ref="S6">_xlfn.LET(_xlpm.d,'페이백 미포함'!$A$2:$K$2061,_xlpm.p,_xlfn.XLOOKUP($B6,참조!$K$2:$K$30,IF(참조!$L$2:$L$30&lt;&gt;"",참조!$L$2:$L$30,참조!$M$2:$M$30),""),_xlpm.n,IF(OR($C6="SK",$C6="SKT"),"SKT",$C6)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6" s="54" t="n"/>
      <c r="U6" s="63" t="n"/>
      <c r="V6" s="62">
        <f t="array" ref="V6">_xlfn.LET(_xlpm.d,'페이백 미포함'!$A$2:$K$2061,_xlpm.p,_xlfn.XLOOKUP($B6,참조!$K$2:$K$30,IF(참조!$L$2:$L$30&lt;&gt;"",참조!$L$2:$L$30,참조!$M$2:$M$30),""),_xlpm.n,IF(OR($C6="SK",$C6="SKT"),"SKT",$C6)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6" s="54" t="n"/>
      <c r="X6" s="63" t="n"/>
      <c r="Y6" s="62">
        <f t="array" ref="Y6">_xlfn.LET(_xlpm.d,'페이백 미포함'!$A$2:$K$2061,_xlpm.p,_xlfn.XLOOKUP($B6,참조!$K$2:$K$30,IF(참조!$L$2:$L$30&lt;&gt;"",참조!$L$2:$L$30,참조!$M$2:$M$30),""),_xlpm.n,IF(OR($C6="SK",$C6="SKT"),"SKT",$C6)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6" s="54" t="n"/>
      <c r="AA6" s="63" t="n"/>
    </row>
    <row r="7">
      <c r="B7" s="30">
        <f>B6</f>
        <v/>
      </c>
      <c r="C7" s="31" t="inlineStr">
        <is>
          <t>LG U+</t>
        </is>
      </c>
      <c r="D7" s="64">
        <f t="array" ref="D7">_xlfn.LET(_xlpm.d,'페이백 미포함'!$A$2:$K$2061,_xlpm.p,_xlfn.XLOOKUP($B7,참조!$K$2:$K$30,IF(참조!$L$2:$L$30&lt;&gt;"",참조!$L$2:$L$30,참조!$M$2:$M$30),""),_xlpm.n,IF(OR($C7="SK",$C7="SKT"),"SKT",$C7)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7" s="65" t="n"/>
      <c r="F7" s="66" t="n"/>
      <c r="G7" s="64">
        <f t="array" ref="G7:I7">_xlfn.LET(_xlpm.d,'페이백 미포함'!$A$2:$K$2061,_xlpm.p,_xlfn.XLOOKUP($B7,참조!$K$2:$K$30,IF(참조!$L$2:$L$30&lt;&gt;"",참조!$L$2:$L$30,참조!$M$2:$M$30),""),_xlpm.n,IF(OR($C7="SK",$C7="SKT"),"SKT",$C7)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7" s="65" t="n">
        <v>7</v>
      </c>
      <c r="I7" s="66" t="n">
        <v>33000</v>
      </c>
      <c r="J7" s="64">
        <f t="array" ref="J7:L7">_xlfn.LET(_xlpm.d,'페이백 미포함'!$A$2:$K$2061,_xlpm.p,_xlfn.XLOOKUP($B7,참조!$K$2:$K$30,IF(참조!$L$2:$L$30&lt;&gt;"",참조!$L$2:$L$30,참조!$M$2:$M$30),""),_xlpm.n,IF(OR($C7="SK",$C7="SKT"),"SKT",$C7)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7" s="65" t="n">
        <v>24</v>
      </c>
      <c r="L7" s="66" t="n">
        <v>36300</v>
      </c>
      <c r="M7" s="64">
        <f t="array" ref="M7">_xlfn.LET(_xlpm.d,'페이백 미포함'!$A$2:$K$2061,_xlpm.p,_xlfn.XLOOKUP($B7,참조!$K$2:$K$30,IF(참조!$L$2:$L$30&lt;&gt;"",참조!$L$2:$L$30,참조!$M$2:$M$30),""),_xlpm.n,IF(OR($C7="SK",$C7="SKT"),"SKT",$C7)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7" s="65" t="n"/>
      <c r="O7" s="66" t="n"/>
      <c r="P7" s="64">
        <f t="array" ref="P7">_xlfn.LET(_xlpm.d,'페이백 미포함'!$A$2:$K$2061,_xlpm.p,_xlfn.XLOOKUP($B7,참조!$K$2:$K$30,IF(참조!$L$2:$L$30&lt;&gt;"",참조!$L$2:$L$30,참조!$M$2:$M$30),""),_xlpm.n,IF(OR($C7="SK",$C7="SKT"),"SKT",$C7)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7" s="65" t="n"/>
      <c r="R7" s="66" t="n"/>
      <c r="S7" s="64">
        <f t="array" ref="S7">_xlfn.LET(_xlpm.d,'페이백 미포함'!$A$2:$K$2061,_xlpm.p,_xlfn.XLOOKUP($B7,참조!$K$2:$K$30,IF(참조!$L$2:$L$30&lt;&gt;"",참조!$L$2:$L$30,참조!$M$2:$M$30),""),_xlpm.n,IF(OR($C7="SK",$C7="SKT"),"SKT",$C7)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7" s="65" t="n"/>
      <c r="U7" s="66" t="n"/>
      <c r="V7" s="64">
        <f t="array" ref="V7">_xlfn.LET(_xlpm.d,'페이백 미포함'!$A$2:$K$2061,_xlpm.p,_xlfn.XLOOKUP($B7,참조!$K$2:$K$30,IF(참조!$L$2:$L$30&lt;&gt;"",참조!$L$2:$L$30,참조!$M$2:$M$30),""),_xlpm.n,IF(OR($C7="SK",$C7="SKT"),"SKT",$C7)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7" s="65" t="n"/>
      <c r="X7" s="66" t="n"/>
      <c r="Y7" s="64">
        <f t="array" ref="Y7">_xlfn.LET(_xlpm.d,'페이백 미포함'!$A$2:$K$2061,_xlpm.p,_xlfn.XLOOKUP($B7,참조!$K$2:$K$30,IF(참조!$L$2:$L$30&lt;&gt;"",참조!$L$2:$L$30,참조!$M$2:$M$30),""),_xlpm.n,IF(OR($C7="SK",$C7="SKT"),"SKT",$C7)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7" s="65" t="n"/>
      <c r="AA7" s="66" t="n"/>
    </row>
    <row r="8">
      <c r="B8" s="22" t="inlineStr">
        <is>
          <t>유니컴즈</t>
        </is>
      </c>
      <c r="C8" s="37" t="inlineStr">
        <is>
          <t>SK</t>
        </is>
      </c>
      <c r="D8" s="59">
        <f t="array" ref="D8:F8">_xlfn.LET(_xlpm.d,'페이백 미포함'!$A$2:$K$2061,_xlpm.p,_xlfn.XLOOKUP($B8,참조!$K$2:$K$30,IF(참조!$L$2:$L$30&lt;&gt;"",참조!$L$2:$L$30,참조!$M$2:$M$30),""),_xlpm.n,IF(OR($C8="SK",$C8="SKT"),"SKT",$C8)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8" s="60" t="n">
        <v>7</v>
      </c>
      <c r="F8" s="61" t="n">
        <v>26400</v>
      </c>
      <c r="G8" s="59">
        <f t="array" ref="G8:I8">_xlfn.LET(_xlpm.d,'페이백 미포함'!$A$2:$K$2061,_xlpm.p,_xlfn.XLOOKUP($B8,참조!$K$2:$K$30,IF(참조!$L$2:$L$30&lt;&gt;"",참조!$L$2:$L$30,참조!$M$2:$M$30),""),_xlpm.n,IF(OR($C8="SK",$C8="SKT"),"SKT",$C8)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8" s="60" t="n">
        <v>7</v>
      </c>
      <c r="I8" s="61" t="n">
        <v>36300</v>
      </c>
      <c r="J8" s="59">
        <f t="array" ref="J8:L8">_xlfn.LET(_xlpm.d,'페이백 미포함'!$A$2:$K$2061,_xlpm.p,_xlfn.XLOOKUP($B8,참조!$K$2:$K$30,IF(참조!$L$2:$L$30&lt;&gt;"",참조!$L$2:$L$30,참조!$M$2:$M$30),""),_xlpm.n,IF(OR($C8="SK",$C8="SKT"),"SKT",$C8)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8" s="60" t="n">
        <v>7</v>
      </c>
      <c r="L8" s="61" t="n">
        <v>40700</v>
      </c>
      <c r="M8" s="59">
        <f t="array" ref="M8:O8">_xlfn.LET(_xlpm.d,'페이백 미포함'!$A$2:$K$2061,_xlpm.p,_xlfn.XLOOKUP($B8,참조!$K$2:$K$30,IF(참조!$L$2:$L$30&lt;&gt;"",참조!$L$2:$L$30,참조!$M$2:$M$30),""),_xlpm.n,IF(OR($C8="SK",$C8="SKT"),"SKT",$C8)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8" s="60" t="n">
        <v>7</v>
      </c>
      <c r="O8" s="61" t="n">
        <v>46200</v>
      </c>
      <c r="P8" s="54">
        <f t="array" ref="P8:R8">_xlfn.LET(_xlpm.d,'페이백 미포함'!$A$2:$K$2061,_xlpm.p,_xlfn.XLOOKUP($B8,참조!$K$2:$K$30,IF(참조!$L$2:$L$30&lt;&gt;"",참조!$L$2:$L$30,참조!$M$2:$M$30),""),_xlpm.n,IF(OR($C8="SK",$C8="SKT"),"SKT",$C8)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8" s="54" t="n">
        <v>7</v>
      </c>
      <c r="R8" s="54" t="n">
        <v>53900</v>
      </c>
      <c r="S8" s="59">
        <f t="array" ref="S8">_xlfn.LET(_xlpm.d,'페이백 미포함'!$A$2:$K$2061,_xlpm.p,_xlfn.XLOOKUP($B8,참조!$K$2:$K$30,IF(참조!$L$2:$L$30&lt;&gt;"",참조!$L$2:$L$30,참조!$M$2:$M$30),""),_xlpm.n,IF(OR($C8="SK",$C8="SKT"),"SKT",$C8)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8" s="60" t="n"/>
      <c r="U8" s="61" t="n"/>
      <c r="V8" s="59">
        <f t="array" ref="V8">_xlfn.LET(_xlpm.d,'페이백 미포함'!$A$2:$K$2061,_xlpm.p,_xlfn.XLOOKUP($B8,참조!$K$2:$K$30,IF(참조!$L$2:$L$30&lt;&gt;"",참조!$L$2:$L$30,참조!$M$2:$M$30),""),_xlpm.n,IF(OR($C8="SK",$C8="SKT"),"SKT",$C8)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8" s="60" t="n"/>
      <c r="X8" s="61" t="n"/>
      <c r="Y8" s="59">
        <f t="array" ref="Y8">_xlfn.LET(_xlpm.d,'페이백 미포함'!$A$2:$K$2061,_xlpm.p,_xlfn.XLOOKUP($B8,참조!$K$2:$K$30,IF(참조!$L$2:$L$30&lt;&gt;"",참조!$L$2:$L$30,참조!$M$2:$M$30),""),_xlpm.n,IF(OR($C8="SK",$C8="SKT"),"SKT",$C8)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8" s="60" t="n"/>
      <c r="AA8" s="61" t="n"/>
    </row>
    <row r="9">
      <c r="B9" s="26">
        <f>B8</f>
        <v/>
      </c>
      <c r="C9" s="38" t="inlineStr">
        <is>
          <t>KT</t>
        </is>
      </c>
      <c r="D9" s="62">
        <f t="array" ref="D9:F9">_xlfn.LET(_xlpm.d,'페이백 미포함'!$A$2:$K$2061,_xlpm.p,_xlfn.XLOOKUP($B9,참조!$K$2:$K$30,IF(참조!$L$2:$L$30&lt;&gt;"",참조!$L$2:$L$30,참조!$M$2:$M$30),""),_xlpm.n,IF(OR($C9="SK",$C9="SKT"),"SKT",$C9)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9" s="54" t="n">
        <v>7</v>
      </c>
      <c r="F9" s="63" t="n">
        <v>26400</v>
      </c>
      <c r="G9" s="62">
        <f t="array" ref="G9:I9">_xlfn.LET(_xlpm.d,'페이백 미포함'!$A$2:$K$2061,_xlpm.p,_xlfn.XLOOKUP($B9,참조!$K$2:$K$30,IF(참조!$L$2:$L$30&lt;&gt;"",참조!$L$2:$L$30,참조!$M$2:$M$30),""),_xlpm.n,IF(OR($C9="SK",$C9="SKT"),"SKT",$C9)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9" s="54" t="n">
        <v>7</v>
      </c>
      <c r="I9" s="63" t="n">
        <v>37400</v>
      </c>
      <c r="J9" s="62">
        <f t="array" ref="J9:L9">_xlfn.LET(_xlpm.d,'페이백 미포함'!$A$2:$K$2061,_xlpm.p,_xlfn.XLOOKUP($B9,참조!$K$2:$K$30,IF(참조!$L$2:$L$30&lt;&gt;"",참조!$L$2:$L$30,참조!$M$2:$M$30),""),_xlpm.n,IF(OR($C9="SK",$C9="SKT"),"SKT",$C9)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9" s="54" t="n">
        <v>7</v>
      </c>
      <c r="L9" s="63" t="n">
        <v>45100</v>
      </c>
      <c r="M9" s="62">
        <f t="array" ref="M9:O9">_xlfn.LET(_xlpm.d,'페이백 미포함'!$A$2:$K$2061,_xlpm.p,_xlfn.XLOOKUP($B9,참조!$K$2:$K$30,IF(참조!$L$2:$L$30&lt;&gt;"",참조!$L$2:$L$30,참조!$M$2:$M$30),""),_xlpm.n,IF(OR($C9="SK",$C9="SKT"),"SKT",$C9)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9" s="54" t="n">
        <v>7</v>
      </c>
      <c r="O9" s="63" t="n">
        <v>48400</v>
      </c>
      <c r="P9" s="54">
        <f t="array" ref="P9:R9">_xlfn.LET(_xlpm.d,'페이백 미포함'!$A$2:$K$2061,_xlpm.p,_xlfn.XLOOKUP($B9,참조!$K$2:$K$30,IF(참조!$L$2:$L$30&lt;&gt;"",참조!$L$2:$L$30,참조!$M$2:$M$30),""),_xlpm.n,IF(OR($C9="SK",$C9="SKT"),"SKT",$C9)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9" s="54" t="n">
        <v>7</v>
      </c>
      <c r="R9" s="54" t="n">
        <v>50600</v>
      </c>
      <c r="S9" s="62">
        <f t="array" ref="S9">_xlfn.LET(_xlpm.d,'페이백 미포함'!$A$2:$K$2061,_xlpm.p,_xlfn.XLOOKUP($B9,참조!$K$2:$K$30,IF(참조!$L$2:$L$30&lt;&gt;"",참조!$L$2:$L$30,참조!$M$2:$M$30),""),_xlpm.n,IF(OR($C9="SK",$C9="SKT"),"SKT",$C9)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9" s="54" t="n"/>
      <c r="U9" s="63" t="n"/>
      <c r="V9" s="62">
        <f t="array" ref="V9">_xlfn.LET(_xlpm.d,'페이백 미포함'!$A$2:$K$2061,_xlpm.p,_xlfn.XLOOKUP($B9,참조!$K$2:$K$30,IF(참조!$L$2:$L$30&lt;&gt;"",참조!$L$2:$L$30,참조!$M$2:$M$30),""),_xlpm.n,IF(OR($C9="SK",$C9="SKT"),"SKT",$C9)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9" s="54" t="n"/>
      <c r="X9" s="63" t="n"/>
      <c r="Y9" s="62">
        <f t="array" ref="Y9">_xlfn.LET(_xlpm.d,'페이백 미포함'!$A$2:$K$2061,_xlpm.p,_xlfn.XLOOKUP($B9,참조!$K$2:$K$30,IF(참조!$L$2:$L$30&lt;&gt;"",참조!$L$2:$L$30,참조!$M$2:$M$30),""),_xlpm.n,IF(OR($C9="SK",$C9="SKT"),"SKT",$C9)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9" s="54" t="n"/>
      <c r="AA9" s="63" t="n"/>
    </row>
    <row r="10">
      <c r="B10" s="30">
        <f>B9</f>
        <v/>
      </c>
      <c r="C10" s="39" t="inlineStr">
        <is>
          <t>LG U+</t>
        </is>
      </c>
      <c r="D10" s="64">
        <f t="array" ref="D10:F10">_xlfn.LET(_xlpm.d,'페이백 미포함'!$A$2:$K$2061,_xlpm.p,_xlfn.XLOOKUP($B10,참조!$K$2:$K$30,IF(참조!$L$2:$L$30&lt;&gt;"",참조!$L$2:$L$30,참조!$M$2:$M$30),""),_xlpm.n,IF(OR($C10="SK",$C10="SKT"),"SKT",$C10)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0" s="65" t="n">
        <v>7</v>
      </c>
      <c r="F10" s="66" t="n">
        <v>26400</v>
      </c>
      <c r="G10" s="64">
        <f t="array" ref="G10:I10">_xlfn.LET(_xlpm.d,'페이백 미포함'!$A$2:$K$2061,_xlpm.p,_xlfn.XLOOKUP($B10,참조!$K$2:$K$30,IF(참조!$L$2:$L$30&lt;&gt;"",참조!$L$2:$L$30,참조!$M$2:$M$30),""),_xlpm.n,IF(OR($C10="SK",$C10="SKT"),"SKT",$C10)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0" s="65" t="n">
        <v>7</v>
      </c>
      <c r="I10" s="66" t="n">
        <v>36300</v>
      </c>
      <c r="J10" s="64">
        <f t="array" ref="J10:L10">_xlfn.LET(_xlpm.d,'페이백 미포함'!$A$2:$K$2061,_xlpm.p,_xlfn.XLOOKUP($B10,참조!$K$2:$K$30,IF(참조!$L$2:$L$30&lt;&gt;"",참조!$L$2:$L$30,참조!$M$2:$M$30),""),_xlpm.n,IF(OR($C10="SK",$C10="SKT"),"SKT",$C10)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0" s="65" t="n">
        <v>7</v>
      </c>
      <c r="L10" s="66" t="n">
        <v>40000</v>
      </c>
      <c r="M10" s="64">
        <f t="array" ref="M10:O10">_xlfn.LET(_xlpm.d,'페이백 미포함'!$A$2:$K$2061,_xlpm.p,_xlfn.XLOOKUP($B10,참조!$K$2:$K$30,IF(참조!$L$2:$L$30&lt;&gt;"",참조!$L$2:$L$30,참조!$M$2:$M$30),""),_xlpm.n,IF(OR($C10="SK",$C10="SKT"),"SKT",$C10)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0" s="65" t="n">
        <v>7</v>
      </c>
      <c r="O10" s="66" t="n">
        <v>48400</v>
      </c>
      <c r="P10" s="54">
        <f t="array" ref="P10:R10">_xlfn.LET(_xlpm.d,'페이백 미포함'!$A$2:$K$2061,_xlpm.p,_xlfn.XLOOKUP($B10,참조!$K$2:$K$30,IF(참조!$L$2:$L$30&lt;&gt;"",참조!$L$2:$L$30,참조!$M$2:$M$30),""),_xlpm.n,IF(OR($C10="SK",$C10="SKT"),"SKT",$C10)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0" s="54" t="n">
        <v>7</v>
      </c>
      <c r="R10" s="54" t="n">
        <v>53900</v>
      </c>
      <c r="S10" s="64">
        <f t="array" ref="S10:U10">_xlfn.LET(_xlpm.d,'페이백 미포함'!$A$2:$K$2061,_xlpm.p,_xlfn.XLOOKUP($B10,참조!$K$2:$K$30,IF(참조!$L$2:$L$30&lt;&gt;"",참조!$L$2:$L$30,참조!$M$2:$M$30),""),_xlpm.n,IF(OR($C10="SK",$C10="SKT"),"SKT",$C10)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0" s="65" t="n">
        <v>7</v>
      </c>
      <c r="U10" s="66" t="n">
        <v>51700</v>
      </c>
      <c r="V10" s="64">
        <f t="array" ref="V10:X10">_xlfn.LET(_xlpm.d,'페이백 미포함'!$A$2:$K$2061,_xlpm.p,_xlfn.XLOOKUP($B10,참조!$K$2:$K$30,IF(참조!$L$2:$L$30&lt;&gt;"",참조!$L$2:$L$30,참조!$M$2:$M$30),""),_xlpm.n,IF(OR($C10="SK",$C10="SKT"),"SKT",$C10)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0" s="65" t="n">
        <v>7</v>
      </c>
      <c r="X10" s="66" t="n">
        <v>53900</v>
      </c>
      <c r="Y10" s="64">
        <f t="array" ref="Y10:AA10">_xlfn.LET(_xlpm.d,'페이백 미포함'!$A$2:$K$2061,_xlpm.p,_xlfn.XLOOKUP($B10,참조!$K$2:$K$30,IF(참조!$L$2:$L$30&lt;&gt;"",참조!$L$2:$L$30,참조!$M$2:$M$30),""),_xlpm.n,IF(OR($C10="SK",$C10="SKT"),"SKT",$C10)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0" s="65" t="n">
        <v>7</v>
      </c>
      <c r="AA10" s="66" t="n">
        <v>63800</v>
      </c>
    </row>
    <row r="11">
      <c r="B11" s="22" t="inlineStr">
        <is>
          <t>큰사람</t>
        </is>
      </c>
      <c r="C11" s="37" t="inlineStr">
        <is>
          <t>SK</t>
        </is>
      </c>
      <c r="D11" s="59">
        <f t="array" ref="D11:F11">_xlfn.LET(_xlpm.d,'페이백 미포함'!$A$2:$K$2061,_xlpm.p,_xlfn.XLOOKUP($B11,참조!$K$2:$K$30,IF(참조!$L$2:$L$30&lt;&gt;"",참조!$L$2:$L$30,참조!$M$2:$M$30),""),_xlpm.n,IF(OR($C11="SK",$C11="SKT"),"SKT",$C11)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1" s="60" t="n">
        <v>7</v>
      </c>
      <c r="F11" s="61" t="n">
        <v>24200</v>
      </c>
      <c r="G11" s="59">
        <f t="array" ref="G11:I11">_xlfn.LET(_xlpm.d,'페이백 미포함'!$A$2:$K$2061,_xlpm.p,_xlfn.XLOOKUP($B11,참조!$K$2:$K$30,IF(참조!$L$2:$L$30&lt;&gt;"",참조!$L$2:$L$30,참조!$M$2:$M$30),""),_xlpm.n,IF(OR($C11="SK",$C11="SKT"),"SKT",$C11)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1" s="60" t="n">
        <v>7</v>
      </c>
      <c r="I11" s="61" t="n">
        <v>31900</v>
      </c>
      <c r="J11" s="59">
        <f t="array" ref="J11:L11">_xlfn.LET(_xlpm.d,'페이백 미포함'!$A$2:$K$2061,_xlpm.p,_xlfn.XLOOKUP($B11,참조!$K$2:$K$30,IF(참조!$L$2:$L$30&lt;&gt;"",참조!$L$2:$L$30,참조!$M$2:$M$30),""),_xlpm.n,IF(OR($C11="SK",$C11="SKT"),"SKT",$C11)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1" s="60" t="n">
        <v>7</v>
      </c>
      <c r="L11" s="61" t="n">
        <v>36300</v>
      </c>
      <c r="M11" s="59">
        <f t="array" ref="M11:O11">_xlfn.LET(_xlpm.d,'페이백 미포함'!$A$2:$K$2061,_xlpm.p,_xlfn.XLOOKUP($B11,참조!$K$2:$K$30,IF(참조!$L$2:$L$30&lt;&gt;"",참조!$L$2:$L$30,참조!$M$2:$M$30),""),_xlpm.n,IF(OR($C11="SK",$C11="SKT"),"SKT",$C11)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1" s="60" t="n">
        <v>7</v>
      </c>
      <c r="O11" s="61" t="n">
        <v>39600</v>
      </c>
      <c r="P11" s="59">
        <f t="array" ref="P11:R11">_xlfn.LET(_xlpm.d,'페이백 미포함'!$A$2:$K$2061,_xlpm.p,_xlfn.XLOOKUP($B11,참조!$K$2:$K$30,IF(참조!$L$2:$L$30&lt;&gt;"",참조!$L$2:$L$30,참조!$M$2:$M$30),""),_xlpm.n,IF(OR($C11="SK",$C11="SKT"),"SKT",$C11)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1" s="60" t="n">
        <v>7</v>
      </c>
      <c r="R11" s="61" t="n">
        <v>49500</v>
      </c>
      <c r="S11" s="59">
        <f t="array" ref="S11">_xlfn.LET(_xlpm.d,'페이백 미포함'!$A$2:$K$2061,_xlpm.p,_xlfn.XLOOKUP($B11,참조!$K$2:$K$30,IF(참조!$L$2:$L$30&lt;&gt;"",참조!$L$2:$L$30,참조!$M$2:$M$30),""),_xlpm.n,IF(OR($C11="SK",$C11="SKT"),"SKT",$C11)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1" s="60" t="n"/>
      <c r="U11" s="61" t="n"/>
      <c r="V11" s="59">
        <f t="array" ref="V11">_xlfn.LET(_xlpm.d,'페이백 미포함'!$A$2:$K$2061,_xlpm.p,_xlfn.XLOOKUP($B11,참조!$K$2:$K$30,IF(참조!$L$2:$L$30&lt;&gt;"",참조!$L$2:$L$30,참조!$M$2:$M$30),""),_xlpm.n,IF(OR($C11="SK",$C11="SKT"),"SKT",$C11)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1" s="60" t="n"/>
      <c r="X11" s="61" t="n"/>
      <c r="Y11" s="59">
        <f t="array" ref="Y11">_xlfn.LET(_xlpm.d,'페이백 미포함'!$A$2:$K$2061,_xlpm.p,_xlfn.XLOOKUP($B11,참조!$K$2:$K$30,IF(참조!$L$2:$L$30&lt;&gt;"",참조!$L$2:$L$30,참조!$M$2:$M$30),""),_xlpm.n,IF(OR($C11="SK",$C11="SKT"),"SKT",$C11)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1" s="60" t="n"/>
      <c r="AA11" s="61" t="n"/>
    </row>
    <row r="12">
      <c r="B12" s="26">
        <f>B11</f>
        <v/>
      </c>
      <c r="C12" s="38" t="inlineStr">
        <is>
          <t>KT</t>
        </is>
      </c>
      <c r="D12" s="62">
        <f t="array" ref="D12:F12">_xlfn.LET(_xlpm.d,'페이백 미포함'!$A$2:$K$2061,_xlpm.p,_xlfn.XLOOKUP($B12,참조!$K$2:$K$30,IF(참조!$L$2:$L$30&lt;&gt;"",참조!$L$2:$L$30,참조!$M$2:$M$30),""),_xlpm.n,IF(OR($C12="SK",$C12="SKT"),"SKT",$C12)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2" s="54" t="n">
        <v>7</v>
      </c>
      <c r="F12" s="63" t="n">
        <v>24200</v>
      </c>
      <c r="G12" s="62">
        <f t="array" ref="G12:I12">_xlfn.LET(_xlpm.d,'페이백 미포함'!$A$2:$K$2061,_xlpm.p,_xlfn.XLOOKUP($B12,참조!$K$2:$K$30,IF(참조!$L$2:$L$30&lt;&gt;"",참조!$L$2:$L$30,참조!$M$2:$M$30),""),_xlpm.n,IF(OR($C12="SK",$C12="SKT"),"SKT",$C12)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2" s="54" t="n">
        <v>7</v>
      </c>
      <c r="I12" s="63" t="n">
        <v>33000</v>
      </c>
      <c r="J12" s="62">
        <f t="array" ref="J12">_xlfn.LET(_xlpm.d,'페이백 미포함'!$A$2:$K$2061,_xlpm.p,_xlfn.XLOOKUP($B12,참조!$K$2:$K$30,IF(참조!$L$2:$L$30&lt;&gt;"",참조!$L$2:$L$30,참조!$M$2:$M$30),""),_xlpm.n,IF(OR($C12="SK",$C12="SKT"),"SKT",$C12)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2" s="54" t="n"/>
      <c r="L12" s="63" t="n"/>
      <c r="M12" s="62">
        <f t="array" ref="M12:O12">_xlfn.LET(_xlpm.d,'페이백 미포함'!$A$2:$K$2061,_xlpm.p,_xlfn.XLOOKUP($B12,참조!$K$2:$K$30,IF(참조!$L$2:$L$30&lt;&gt;"",참조!$L$2:$L$30,참조!$M$2:$M$30),""),_xlpm.n,IF(OR($C12="SK",$C12="SKT"),"SKT",$C12)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2" s="54" t="n">
        <v>7</v>
      </c>
      <c r="O12" s="63" t="n">
        <v>40590</v>
      </c>
      <c r="P12" s="62">
        <f t="array" ref="P12:R12">_xlfn.LET(_xlpm.d,'페이백 미포함'!$A$2:$K$2061,_xlpm.p,_xlfn.XLOOKUP($B12,참조!$K$2:$K$30,IF(참조!$L$2:$L$30&lt;&gt;"",참조!$L$2:$L$30,참조!$M$2:$M$30),""),_xlpm.n,IF(OR($C12="SK",$C12="SKT"),"SKT",$C12)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2" s="54" t="n">
        <v>7</v>
      </c>
      <c r="R12" s="63" t="n">
        <v>49200</v>
      </c>
      <c r="S12" s="62">
        <f t="array" ref="S12">_xlfn.LET(_xlpm.d,'페이백 미포함'!$A$2:$K$2061,_xlpm.p,_xlfn.XLOOKUP($B12,참조!$K$2:$K$30,IF(참조!$L$2:$L$30&lt;&gt;"",참조!$L$2:$L$30,참조!$M$2:$M$30),""),_xlpm.n,IF(OR($C12="SK",$C12="SKT"),"SKT",$C12)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2" s="54" t="n"/>
      <c r="U12" s="63" t="n"/>
      <c r="V12" s="62">
        <f t="array" ref="V12">_xlfn.LET(_xlpm.d,'페이백 미포함'!$A$2:$K$2061,_xlpm.p,_xlfn.XLOOKUP($B12,참조!$K$2:$K$30,IF(참조!$L$2:$L$30&lt;&gt;"",참조!$L$2:$L$30,참조!$M$2:$M$30),""),_xlpm.n,IF(OR($C12="SK",$C12="SKT"),"SKT",$C12)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2" s="54" t="n"/>
      <c r="X12" s="63" t="n"/>
      <c r="Y12" s="62">
        <f t="array" ref="Y12">_xlfn.LET(_xlpm.d,'페이백 미포함'!$A$2:$K$2061,_xlpm.p,_xlfn.XLOOKUP($B12,참조!$K$2:$K$30,IF(참조!$L$2:$L$30&lt;&gt;"",참조!$L$2:$L$30,참조!$M$2:$M$30),""),_xlpm.n,IF(OR($C12="SK",$C12="SKT"),"SKT",$C12)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2" s="54" t="n"/>
      <c r="AA12" s="63" t="n"/>
    </row>
    <row r="13">
      <c r="B13" s="30">
        <f>B12</f>
        <v/>
      </c>
      <c r="C13" s="39" t="inlineStr">
        <is>
          <t>LG U+</t>
        </is>
      </c>
      <c r="D13" s="64">
        <f t="array" ref="D13:F13">_xlfn.LET(_xlpm.d,'페이백 미포함'!$A$2:$K$2061,_xlpm.p,_xlfn.XLOOKUP($B13,참조!$K$2:$K$30,IF(참조!$L$2:$L$30&lt;&gt;"",참조!$L$2:$L$30,참조!$M$2:$M$30),""),_xlpm.n,IF(OR($C13="SK",$C13="SKT"),"SKT",$C13)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3" s="65" t="n">
        <v>7</v>
      </c>
      <c r="F13" s="66" t="n">
        <v>24200</v>
      </c>
      <c r="G13" s="64">
        <f t="array" ref="G13:I13">_xlfn.LET(_xlpm.d,'페이백 미포함'!$A$2:$K$2061,_xlpm.p,_xlfn.XLOOKUP($B13,참조!$K$2:$K$30,IF(참조!$L$2:$L$30&lt;&gt;"",참조!$L$2:$L$30,참조!$M$2:$M$30),""),_xlpm.n,IF(OR($C13="SK",$C13="SKT"),"SKT",$C13)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3" s="65" t="n">
        <v>7</v>
      </c>
      <c r="I13" s="66" t="n">
        <v>31900</v>
      </c>
      <c r="J13" s="64">
        <f t="array" ref="J13:L13">_xlfn.LET(_xlpm.d,'페이백 미포함'!$A$2:$K$2061,_xlpm.p,_xlfn.XLOOKUP($B13,참조!$K$2:$K$30,IF(참조!$L$2:$L$30&lt;&gt;"",참조!$L$2:$L$30,참조!$M$2:$M$30),""),_xlpm.n,IF(OR($C13="SK",$C13="SKT"),"SKT",$C13)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3" s="65" t="n">
        <v>7</v>
      </c>
      <c r="L13" s="66" t="n">
        <v>33000</v>
      </c>
      <c r="M13" s="64">
        <f t="array" ref="M13:O13">_xlfn.LET(_xlpm.d,'페이백 미포함'!$A$2:$K$2061,_xlpm.p,_xlfn.XLOOKUP($B13,참조!$K$2:$K$30,IF(참조!$L$2:$L$30&lt;&gt;"",참조!$L$2:$L$30,참조!$M$2:$M$30),""),_xlpm.n,IF(OR($C13="SK",$C13="SKT"),"SKT",$C13)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3" s="65" t="n">
        <v>7</v>
      </c>
      <c r="O13" s="66" t="n">
        <v>39600</v>
      </c>
      <c r="P13" s="64">
        <f t="array" ref="P13:R13">_xlfn.LET(_xlpm.d,'페이백 미포함'!$A$2:$K$2061,_xlpm.p,_xlfn.XLOOKUP($B13,참조!$K$2:$K$30,IF(참조!$L$2:$L$30&lt;&gt;"",참조!$L$2:$L$30,참조!$M$2:$M$30),""),_xlpm.n,IF(OR($C13="SK",$C13="SKT"),"SKT",$C13)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3" s="65" t="n">
        <v>7</v>
      </c>
      <c r="R13" s="66" t="n">
        <v>46200</v>
      </c>
      <c r="S13" s="64">
        <f t="array" ref="S13:U13">_xlfn.LET(_xlpm.d,'페이백 미포함'!$A$2:$K$2061,_xlpm.p,_xlfn.XLOOKUP($B13,참조!$K$2:$K$30,IF(참조!$L$2:$L$30&lt;&gt;"",참조!$L$2:$L$30,참조!$M$2:$M$30),""),_xlpm.n,IF(OR($C13="SK",$C13="SKT"),"SKT",$C13)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3" s="65" t="n">
        <v>24</v>
      </c>
      <c r="U13" s="66" t="n">
        <v>44000</v>
      </c>
      <c r="V13" s="64">
        <f t="array" ref="V13:X13">_xlfn.LET(_xlpm.d,'페이백 미포함'!$A$2:$K$2061,_xlpm.p,_xlfn.XLOOKUP($B13,참조!$K$2:$K$30,IF(참조!$L$2:$L$30&lt;&gt;"",참조!$L$2:$L$30,참조!$M$2:$M$30),""),_xlpm.n,IF(OR($C13="SK",$C13="SKT"),"SKT",$C13)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3" s="65" t="n">
        <v>7</v>
      </c>
      <c r="X13" s="66" t="n">
        <v>46200</v>
      </c>
      <c r="Y13" s="64">
        <f t="array" ref="Y13:AA13">_xlfn.LET(_xlpm.d,'페이백 미포함'!$A$2:$K$2061,_xlpm.p,_xlfn.XLOOKUP($B13,참조!$K$2:$K$30,IF(참조!$L$2:$L$30&lt;&gt;"",참조!$L$2:$L$30,참조!$M$2:$M$30),""),_xlpm.n,IF(OR($C13="SK",$C13="SKT"),"SKT",$C13)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3" s="65" t="n">
        <v>24</v>
      </c>
      <c r="AA13" s="66" t="n">
        <v>48400</v>
      </c>
    </row>
    <row r="14">
      <c r="B14" s="22" t="inlineStr">
        <is>
          <t>아이즈비전</t>
        </is>
      </c>
      <c r="C14" s="37" t="inlineStr">
        <is>
          <t>SK</t>
        </is>
      </c>
      <c r="D14" s="59">
        <f t="array" ref="D14:F14">_xlfn.LET(_xlpm.d,'페이백 미포함'!$A$2:$K$2061,_xlpm.p,_xlfn.XLOOKUP($B14,참조!$K$2:$K$30,IF(참조!$L$2:$L$30&lt;&gt;"",참조!$L$2:$L$30,참조!$M$2:$M$30),""),_xlpm.n,IF(OR($C14="SK",$C14="SKT"),"SKT",$C14)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4" s="60" t="n">
        <v>7</v>
      </c>
      <c r="F14" s="61" t="n">
        <v>18900</v>
      </c>
      <c r="G14" s="59">
        <f t="array" ref="G14:I14">_xlfn.LET(_xlpm.d,'페이백 미포함'!$A$2:$K$2061,_xlpm.p,_xlfn.XLOOKUP($B14,참조!$K$2:$K$30,IF(참조!$L$2:$L$30&lt;&gt;"",참조!$L$2:$L$30,참조!$M$2:$M$30),""),_xlpm.n,IF(OR($C14="SK",$C14="SKT"),"SKT",$C14)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4" s="60" t="n">
        <v>7</v>
      </c>
      <c r="I14" s="61" t="n">
        <v>26400</v>
      </c>
      <c r="J14" s="59">
        <f t="array" ref="J14:L14">_xlfn.LET(_xlpm.d,'페이백 미포함'!$A$2:$K$2061,_xlpm.p,_xlfn.XLOOKUP($B14,참조!$K$2:$K$30,IF(참조!$L$2:$L$30&lt;&gt;"",참조!$L$2:$L$30,참조!$M$2:$M$30),""),_xlpm.n,IF(OR($C14="SK",$C14="SKT"),"SKT",$C14)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4" s="60" t="n">
        <v>7</v>
      </c>
      <c r="L14" s="61" t="n">
        <v>29900</v>
      </c>
      <c r="M14" s="59">
        <f t="array" ref="M14:O14">_xlfn.LET(_xlpm.d,'페이백 미포함'!$A$2:$K$2061,_xlpm.p,_xlfn.XLOOKUP($B14,참조!$K$2:$K$30,IF(참조!$L$2:$L$30&lt;&gt;"",참조!$L$2:$L$30,참조!$M$2:$M$30),""),_xlpm.n,IF(OR($C14="SK",$C14="SKT"),"SKT",$C14)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4" s="60" t="n">
        <v>7</v>
      </c>
      <c r="O14" s="61" t="n">
        <v>36300</v>
      </c>
      <c r="P14" s="59">
        <f t="array" ref="P14:R14">_xlfn.LET(_xlpm.d,'페이백 미포함'!$A$2:$K$2061,_xlpm.p,_xlfn.XLOOKUP($B14,참조!$K$2:$K$30,IF(참조!$L$2:$L$30&lt;&gt;"",참조!$L$2:$L$30,참조!$M$2:$M$30),""),_xlpm.n,IF(OR($C14="SK",$C14="SKT"),"SKT",$C14)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4" s="60" t="n">
        <v>7</v>
      </c>
      <c r="R14" s="61" t="n">
        <v>45100</v>
      </c>
      <c r="S14" s="59">
        <f t="array" ref="S14">_xlfn.LET(_xlpm.d,'페이백 미포함'!$A$2:$K$2061,_xlpm.p,_xlfn.XLOOKUP($B14,참조!$K$2:$K$30,IF(참조!$L$2:$L$30&lt;&gt;"",참조!$L$2:$L$30,참조!$M$2:$M$30),""),_xlpm.n,IF(OR($C14="SK",$C14="SKT"),"SKT",$C14)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4" s="60" t="n"/>
      <c r="U14" s="61" t="n"/>
      <c r="V14" s="59">
        <f t="array" ref="V14">_xlfn.LET(_xlpm.d,'페이백 미포함'!$A$2:$K$2061,_xlpm.p,_xlfn.XLOOKUP($B14,참조!$K$2:$K$30,IF(참조!$L$2:$L$30&lt;&gt;"",참조!$L$2:$L$30,참조!$M$2:$M$30),""),_xlpm.n,IF(OR($C14="SK",$C14="SKT"),"SKT",$C14)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4" s="60" t="n"/>
      <c r="X14" s="61" t="n"/>
      <c r="Y14" s="59">
        <f t="array" ref="Y14">_xlfn.LET(_xlpm.d,'페이백 미포함'!$A$2:$K$2061,_xlpm.p,_xlfn.XLOOKUP($B14,참조!$K$2:$K$30,IF(참조!$L$2:$L$30&lt;&gt;"",참조!$L$2:$L$30,참조!$M$2:$M$30),""),_xlpm.n,IF(OR($C14="SK",$C14="SKT"),"SKT",$C14)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4" s="60" t="n"/>
      <c r="AA14" s="61" t="n"/>
    </row>
    <row r="15">
      <c r="B15" s="26">
        <f>B14</f>
        <v/>
      </c>
      <c r="C15" s="38" t="inlineStr">
        <is>
          <t>KT</t>
        </is>
      </c>
      <c r="D15" s="62">
        <f t="array" ref="D15:F15">_xlfn.LET(_xlpm.d,'페이백 미포함'!$A$2:$K$2061,_xlpm.p,_xlfn.XLOOKUP($B15,참조!$K$2:$K$30,IF(참조!$L$2:$L$30&lt;&gt;"",참조!$L$2:$L$30,참조!$M$2:$M$30),""),_xlpm.n,IF(OR($C15="SK",$C15="SKT"),"SKT",$C15)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5" s="54" t="n">
        <v>7</v>
      </c>
      <c r="F15" s="63" t="n">
        <v>28600</v>
      </c>
      <c r="G15" s="62">
        <f t="array" ref="G15:I15">_xlfn.LET(_xlpm.d,'페이백 미포함'!$A$2:$K$2061,_xlpm.p,_xlfn.XLOOKUP($B15,참조!$K$2:$K$30,IF(참조!$L$2:$L$30&lt;&gt;"",참조!$L$2:$L$30,참조!$M$2:$M$30),""),_xlpm.n,IF(OR($C15="SK",$C15="SKT"),"SKT",$C15)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5" s="54" t="n">
        <v>7</v>
      </c>
      <c r="I15" s="63" t="n">
        <v>38500</v>
      </c>
      <c r="J15" s="62">
        <f t="array" ref="J15:L15">_xlfn.LET(_xlpm.d,'페이백 미포함'!$A$2:$K$2061,_xlpm.p,_xlfn.XLOOKUP($B15,참조!$K$2:$K$30,IF(참조!$L$2:$L$30&lt;&gt;"",참조!$L$2:$L$30,참조!$M$2:$M$30),""),_xlpm.n,IF(OR($C15="SK",$C15="SKT"),"SKT",$C15)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5" s="54" t="n">
        <v>7</v>
      </c>
      <c r="L15" s="63" t="n">
        <v>41800</v>
      </c>
      <c r="M15" s="62">
        <f t="array" ref="M15:O15">_xlfn.LET(_xlpm.d,'페이백 미포함'!$A$2:$K$2061,_xlpm.p,_xlfn.XLOOKUP($B15,참조!$K$2:$K$30,IF(참조!$L$2:$L$30&lt;&gt;"",참조!$L$2:$L$30,참조!$M$2:$M$30),""),_xlpm.n,IF(OR($C15="SK",$C15="SKT"),"SKT",$C15)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5" s="54" t="n">
        <v>7</v>
      </c>
      <c r="O15" s="63" t="n">
        <v>48400</v>
      </c>
      <c r="P15" s="62">
        <f t="array" ref="P15:R15">_xlfn.LET(_xlpm.d,'페이백 미포함'!$A$2:$K$2061,_xlpm.p,_xlfn.XLOOKUP($B15,참조!$K$2:$K$30,IF(참조!$L$2:$L$30&lt;&gt;"",참조!$L$2:$L$30,참조!$M$2:$M$30),""),_xlpm.n,IF(OR($C15="SK",$C15="SKT"),"SKT",$C15)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5" s="54" t="n">
        <v>7</v>
      </c>
      <c r="R15" s="63" t="n">
        <v>55000</v>
      </c>
      <c r="S15" s="62">
        <f t="array" ref="S15">_xlfn.LET(_xlpm.d,'페이백 미포함'!$A$2:$K$2061,_xlpm.p,_xlfn.XLOOKUP($B15,참조!$K$2:$K$30,IF(참조!$L$2:$L$30&lt;&gt;"",참조!$L$2:$L$30,참조!$M$2:$M$30),""),_xlpm.n,IF(OR($C15="SK",$C15="SKT"),"SKT",$C15)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5" s="54" t="n"/>
      <c r="U15" s="63" t="n"/>
      <c r="V15" s="62">
        <f t="array" ref="V15">_xlfn.LET(_xlpm.d,'페이백 미포함'!$A$2:$K$2061,_xlpm.p,_xlfn.XLOOKUP($B15,참조!$K$2:$K$30,IF(참조!$L$2:$L$30&lt;&gt;"",참조!$L$2:$L$30,참조!$M$2:$M$30),""),_xlpm.n,IF(OR($C15="SK",$C15="SKT"),"SKT",$C15)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5" s="54" t="n"/>
      <c r="X15" s="63" t="n"/>
      <c r="Y15" s="62">
        <f t="array" ref="Y15">_xlfn.LET(_xlpm.d,'페이백 미포함'!$A$2:$K$2061,_xlpm.p,_xlfn.XLOOKUP($B15,참조!$K$2:$K$30,IF(참조!$L$2:$L$30&lt;&gt;"",참조!$L$2:$L$30,참조!$M$2:$M$30),""),_xlpm.n,IF(OR($C15="SK",$C15="SKT"),"SKT",$C15)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5" s="54" t="n"/>
      <c r="AA15" s="63" t="n"/>
    </row>
    <row r="16">
      <c r="B16" s="30">
        <f>B15</f>
        <v/>
      </c>
      <c r="C16" s="39" t="inlineStr">
        <is>
          <t>LG U+</t>
        </is>
      </c>
      <c r="D16" s="64">
        <f t="array" ref="D16:F16">_xlfn.LET(_xlpm.d,'페이백 미포함'!$A$2:$K$2061,_xlpm.p,_xlfn.XLOOKUP($B16,참조!$K$2:$K$30,IF(참조!$L$2:$L$30&lt;&gt;"",참조!$L$2:$L$30,참조!$M$2:$M$30),""),_xlpm.n,IF(OR($C16="SK",$C16="SKT"),"SKT",$C16)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6" s="65" t="n">
        <v>7</v>
      </c>
      <c r="F16" s="66" t="n">
        <v>27500</v>
      </c>
      <c r="G16" s="64">
        <f t="array" ref="G16:I16">_xlfn.LET(_xlpm.d,'페이백 미포함'!$A$2:$K$2061,_xlpm.p,_xlfn.XLOOKUP($B16,참조!$K$2:$K$30,IF(참조!$L$2:$L$30&lt;&gt;"",참조!$L$2:$L$30,참조!$M$2:$M$30),""),_xlpm.n,IF(OR($C16="SK",$C16="SKT"),"SKT",$C16)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6" s="65" t="n">
        <v>7</v>
      </c>
      <c r="I16" s="66" t="n">
        <v>37400</v>
      </c>
      <c r="J16" s="64">
        <f t="array" ref="J16:L16">_xlfn.LET(_xlpm.d,'페이백 미포함'!$A$2:$K$2061,_xlpm.p,_xlfn.XLOOKUP($B16,참조!$K$2:$K$30,IF(참조!$L$2:$L$30&lt;&gt;"",참조!$L$2:$L$30,참조!$M$2:$M$30),""),_xlpm.n,IF(OR($C16="SK",$C16="SKT"),"SKT",$C16)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6" s="65" t="n">
        <v>7</v>
      </c>
      <c r="L16" s="66" t="n">
        <v>34100</v>
      </c>
      <c r="M16" s="64">
        <f t="array" ref="M16:O16">_xlfn.LET(_xlpm.d,'페이백 미포함'!$A$2:$K$2061,_xlpm.p,_xlfn.XLOOKUP($B16,참조!$K$2:$K$30,IF(참조!$L$2:$L$30&lt;&gt;"",참조!$L$2:$L$30,참조!$M$2:$M$30),""),_xlpm.n,IF(OR($C16="SK",$C16="SKT"),"SKT",$C16)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6" s="65" t="n">
        <v>7</v>
      </c>
      <c r="O16" s="66" t="n">
        <v>48400</v>
      </c>
      <c r="P16" s="64">
        <f t="array" ref="P16:R16">_xlfn.LET(_xlpm.d,'페이백 미포함'!$A$2:$K$2061,_xlpm.p,_xlfn.XLOOKUP($B16,참조!$K$2:$K$30,IF(참조!$L$2:$L$30&lt;&gt;"",참조!$L$2:$L$30,참조!$M$2:$M$30),""),_xlpm.n,IF(OR($C16="SK",$C16="SKT"),"SKT",$C16)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6" s="65" t="n">
        <v>7</v>
      </c>
      <c r="R16" s="66" t="n">
        <v>61600</v>
      </c>
      <c r="S16" s="64">
        <f t="array" ref="S16:U16">_xlfn.LET(_xlpm.d,'페이백 미포함'!$A$2:$K$2061,_xlpm.p,_xlfn.XLOOKUP($B16,참조!$K$2:$K$30,IF(참조!$L$2:$L$30&lt;&gt;"",참조!$L$2:$L$30,참조!$M$2:$M$30),""),_xlpm.n,IF(OR($C16="SK",$C16="SKT"),"SKT",$C16)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6" s="65" t="n">
        <v>7</v>
      </c>
      <c r="U16" s="66" t="n">
        <v>53900</v>
      </c>
      <c r="V16" s="64">
        <f t="array" ref="V16:X16">_xlfn.LET(_xlpm.d,'페이백 미포함'!$A$2:$K$2061,_xlpm.p,_xlfn.XLOOKUP($B16,참조!$K$2:$K$30,IF(참조!$L$2:$L$30&lt;&gt;"",참조!$L$2:$L$30,참조!$M$2:$M$30),""),_xlpm.n,IF(OR($C16="SK",$C16="SKT"),"SKT",$C16)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6" s="65" t="n">
        <v>7</v>
      </c>
      <c r="X16" s="66" t="n">
        <v>58300</v>
      </c>
      <c r="Y16" s="64">
        <f t="array" ref="Y16:AA16">_xlfn.LET(_xlpm.d,'페이백 미포함'!$A$2:$K$2061,_xlpm.p,_xlfn.XLOOKUP($B16,참조!$K$2:$K$30,IF(참조!$L$2:$L$30&lt;&gt;"",참조!$L$2:$L$30,참조!$M$2:$M$30),""),_xlpm.n,IF(OR($C16="SK",$C16="SKT"),"SKT",$C16)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6" s="65" t="n">
        <v>7</v>
      </c>
      <c r="AA16" s="66" t="n">
        <v>62700</v>
      </c>
    </row>
    <row r="17">
      <c r="B17" s="22" t="inlineStr">
        <is>
          <t>에넥스</t>
        </is>
      </c>
      <c r="C17" s="37" t="inlineStr">
        <is>
          <t>SK</t>
        </is>
      </c>
      <c r="D17" s="59">
        <f t="array" ref="D17:F17">_xlfn.LET(_xlpm.d,'페이백 미포함'!$A$2:$K$2061,_xlpm.p,_xlfn.XLOOKUP($B17,참조!$K$2:$K$30,IF(참조!$L$2:$L$30&lt;&gt;"",참조!$L$2:$L$30,참조!$M$2:$M$30),""),_xlpm.n,IF(OR($C17="SK",$C17="SKT"),"SKT",$C17)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7" s="60" t="n">
        <v>7</v>
      </c>
      <c r="F17" s="61" t="n">
        <v>18900</v>
      </c>
      <c r="G17" s="59">
        <f t="array" ref="G17:I17">_xlfn.LET(_xlpm.d,'페이백 미포함'!$A$2:$K$2061,_xlpm.p,_xlfn.XLOOKUP($B17,참조!$K$2:$K$30,IF(참조!$L$2:$L$30&lt;&gt;"",참조!$L$2:$L$30,참조!$M$2:$M$30),""),_xlpm.n,IF(OR($C17="SK",$C17="SKT"),"SKT",$C17)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7" s="60" t="n">
        <v>7</v>
      </c>
      <c r="I17" s="61" t="n">
        <v>26400</v>
      </c>
      <c r="J17" s="59">
        <f t="array" ref="J17:L17">_xlfn.LET(_xlpm.d,'페이백 미포함'!$A$2:$K$2061,_xlpm.p,_xlfn.XLOOKUP($B17,참조!$K$2:$K$30,IF(참조!$L$2:$L$30&lt;&gt;"",참조!$L$2:$L$30,참조!$M$2:$M$30),""),_xlpm.n,IF(OR($C17="SK",$C17="SKT"),"SKT",$C17)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7" s="60" t="n">
        <v>7</v>
      </c>
      <c r="L17" s="61" t="n">
        <v>29900</v>
      </c>
      <c r="M17" s="59">
        <f t="array" ref="M17:O17">_xlfn.LET(_xlpm.d,'페이백 미포함'!$A$2:$K$2061,_xlpm.p,_xlfn.XLOOKUP($B17,참조!$K$2:$K$30,IF(참조!$L$2:$L$30&lt;&gt;"",참조!$L$2:$L$30,참조!$M$2:$M$30),""),_xlpm.n,IF(OR($C17="SK",$C17="SKT"),"SKT",$C17)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7" s="60" t="n">
        <v>7</v>
      </c>
      <c r="O17" s="61" t="n">
        <v>36300</v>
      </c>
      <c r="P17" s="59">
        <f t="array" ref="P17:R17">_xlfn.LET(_xlpm.d,'페이백 미포함'!$A$2:$K$2061,_xlpm.p,_xlfn.XLOOKUP($B17,참조!$K$2:$K$30,IF(참조!$L$2:$L$30&lt;&gt;"",참조!$L$2:$L$30,참조!$M$2:$M$30),""),_xlpm.n,IF(OR($C17="SK",$C17="SKT"),"SKT",$C17)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7" s="60" t="n">
        <v>7</v>
      </c>
      <c r="R17" s="61" t="n">
        <v>45100</v>
      </c>
      <c r="S17" s="59">
        <f t="array" ref="S17">_xlfn.LET(_xlpm.d,'페이백 미포함'!$A$2:$K$2061,_xlpm.p,_xlfn.XLOOKUP($B17,참조!$K$2:$K$30,IF(참조!$L$2:$L$30&lt;&gt;"",참조!$L$2:$L$30,참조!$M$2:$M$30),""),_xlpm.n,IF(OR($C17="SK",$C17="SKT"),"SKT",$C17)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7" s="60" t="n"/>
      <c r="U17" s="61" t="n"/>
      <c r="V17" s="59">
        <f t="array" ref="V17">_xlfn.LET(_xlpm.d,'페이백 미포함'!$A$2:$K$2061,_xlpm.p,_xlfn.XLOOKUP($B17,참조!$K$2:$K$30,IF(참조!$L$2:$L$30&lt;&gt;"",참조!$L$2:$L$30,참조!$M$2:$M$30),""),_xlpm.n,IF(OR($C17="SK",$C17="SKT"),"SKT",$C17)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7" s="60" t="n"/>
      <c r="X17" s="61" t="n"/>
      <c r="Y17" s="59">
        <f t="array" ref="Y17">_xlfn.LET(_xlpm.d,'페이백 미포함'!$A$2:$K$2061,_xlpm.p,_xlfn.XLOOKUP($B17,참조!$K$2:$K$30,IF(참조!$L$2:$L$30&lt;&gt;"",참조!$L$2:$L$30,참조!$M$2:$M$30),""),_xlpm.n,IF(OR($C17="SK",$C17="SKT"),"SKT",$C17)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7" s="60" t="n"/>
      <c r="AA17" s="61" t="n"/>
    </row>
    <row r="18">
      <c r="B18" s="26">
        <f>B17</f>
        <v/>
      </c>
      <c r="C18" s="38" t="inlineStr">
        <is>
          <t>KT</t>
        </is>
      </c>
      <c r="D18" s="62">
        <f t="array" ref="D18:F18">_xlfn.LET(_xlpm.d,'페이백 미포함'!$A$2:$K$2061,_xlpm.p,_xlfn.XLOOKUP($B18,참조!$K$2:$K$30,IF(참조!$L$2:$L$30&lt;&gt;"",참조!$L$2:$L$30,참조!$M$2:$M$30),""),_xlpm.n,IF(OR($C18="SK",$C18="SKT"),"SKT",$C18)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8" s="54" t="n">
        <v>7</v>
      </c>
      <c r="F18" s="63" t="n">
        <v>19800</v>
      </c>
      <c r="G18" s="62">
        <f t="array" ref="G18:I18">_xlfn.LET(_xlpm.d,'페이백 미포함'!$A$2:$K$2061,_xlpm.p,_xlfn.XLOOKUP($B18,참조!$K$2:$K$30,IF(참조!$L$2:$L$30&lt;&gt;"",참조!$L$2:$L$30,참조!$M$2:$M$30),""),_xlpm.n,IF(OR($C18="SK",$C18="SKT"),"SKT",$C18)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8" s="54" t="n">
        <v>7</v>
      </c>
      <c r="I18" s="63" t="n">
        <v>35200</v>
      </c>
      <c r="J18" s="62">
        <f t="array" ref="J18:L18">_xlfn.LET(_xlpm.d,'페이백 미포함'!$A$2:$K$2061,_xlpm.p,_xlfn.XLOOKUP($B18,참조!$K$2:$K$30,IF(참조!$L$2:$L$30&lt;&gt;"",참조!$L$2:$L$30,참조!$M$2:$M$30),""),_xlpm.n,IF(OR($C18="SK",$C18="SKT"),"SKT",$C18)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8" s="54" t="n">
        <v>7</v>
      </c>
      <c r="L18" s="63" t="n">
        <v>37400</v>
      </c>
      <c r="M18" s="62">
        <f t="array" ref="M18:O18">_xlfn.LET(_xlpm.d,'페이백 미포함'!$A$2:$K$2061,_xlpm.p,_xlfn.XLOOKUP($B18,참조!$K$2:$K$30,IF(참조!$L$2:$L$30&lt;&gt;"",참조!$L$2:$L$30,참조!$M$2:$M$30),""),_xlpm.n,IF(OR($C18="SK",$C18="SKT"),"SKT",$C18)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8" s="54" t="n">
        <v>7</v>
      </c>
      <c r="O18" s="63" t="n">
        <v>39600</v>
      </c>
      <c r="P18" s="62">
        <f t="array" ref="P18:R18">_xlfn.LET(_xlpm.d,'페이백 미포함'!$A$2:$K$2061,_xlpm.p,_xlfn.XLOOKUP($B18,참조!$K$2:$K$30,IF(참조!$L$2:$L$30&lt;&gt;"",참조!$L$2:$L$30,참조!$M$2:$M$30),""),_xlpm.n,IF(OR($C18="SK",$C18="SKT"),"SKT",$C18)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8" s="54" t="n">
        <v>7</v>
      </c>
      <c r="R18" s="63" t="n">
        <v>46200</v>
      </c>
      <c r="S18" s="62">
        <f t="array" ref="S18">_xlfn.LET(_xlpm.d,'페이백 미포함'!$A$2:$K$2061,_xlpm.p,_xlfn.XLOOKUP($B18,참조!$K$2:$K$30,IF(참조!$L$2:$L$30&lt;&gt;"",참조!$L$2:$L$30,참조!$M$2:$M$30),""),_xlpm.n,IF(OR($C18="SK",$C18="SKT"),"SKT",$C18)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8" s="54" t="n"/>
      <c r="U18" s="63" t="n"/>
      <c r="V18" s="62">
        <f t="array" ref="V18">_xlfn.LET(_xlpm.d,'페이백 미포함'!$A$2:$K$2061,_xlpm.p,_xlfn.XLOOKUP($B18,참조!$K$2:$K$30,IF(참조!$L$2:$L$30&lt;&gt;"",참조!$L$2:$L$30,참조!$M$2:$M$30),""),_xlpm.n,IF(OR($C18="SK",$C18="SKT"),"SKT",$C18)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8" s="54" t="n"/>
      <c r="X18" s="63" t="n"/>
      <c r="Y18" s="62">
        <f t="array" ref="Y18">_xlfn.LET(_xlpm.d,'페이백 미포함'!$A$2:$K$2061,_xlpm.p,_xlfn.XLOOKUP($B18,참조!$K$2:$K$30,IF(참조!$L$2:$L$30&lt;&gt;"",참조!$L$2:$L$30,참조!$M$2:$M$30),""),_xlpm.n,IF(OR($C18="SK",$C18="SKT"),"SKT",$C18)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8" s="54" t="n"/>
      <c r="AA18" s="63" t="n"/>
    </row>
    <row r="19">
      <c r="B19" s="30">
        <f>B18</f>
        <v/>
      </c>
      <c r="C19" s="39" t="inlineStr">
        <is>
          <t>LG U+</t>
        </is>
      </c>
      <c r="D19" s="64">
        <f t="array" ref="D19:F19">_xlfn.LET(_xlpm.d,'페이백 미포함'!$A$2:$K$2061,_xlpm.p,_xlfn.XLOOKUP($B19,참조!$K$2:$K$30,IF(참조!$L$2:$L$30&lt;&gt;"",참조!$L$2:$L$30,참조!$M$2:$M$30),""),_xlpm.n,IF(OR($C19="SK",$C19="SKT"),"SKT",$C19)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19" s="65" t="n">
        <v>7</v>
      </c>
      <c r="F19" s="66" t="n">
        <v>22000</v>
      </c>
      <c r="G19" s="64">
        <f t="array" ref="G19:I19">_xlfn.LET(_xlpm.d,'페이백 미포함'!$A$2:$K$2061,_xlpm.p,_xlfn.XLOOKUP($B19,참조!$K$2:$K$30,IF(참조!$L$2:$L$30&lt;&gt;"",참조!$L$2:$L$30,참조!$M$2:$M$30),""),_xlpm.n,IF(OR($C19="SK",$C19="SKT"),"SKT",$C19)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19" s="65" t="n">
        <v>7</v>
      </c>
      <c r="I19" s="66" t="n">
        <v>28600</v>
      </c>
      <c r="J19" s="64">
        <f t="array" ref="J19:L19">_xlfn.LET(_xlpm.d,'페이백 미포함'!$A$2:$K$2061,_xlpm.p,_xlfn.XLOOKUP($B19,참조!$K$2:$K$30,IF(참조!$L$2:$L$30&lt;&gt;"",참조!$L$2:$L$30,참조!$M$2:$M$30),""),_xlpm.n,IF(OR($C19="SK",$C19="SKT"),"SKT",$C19)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19" s="65" t="n">
        <v>7</v>
      </c>
      <c r="L19" s="66" t="n">
        <v>30800</v>
      </c>
      <c r="M19" s="64">
        <f t="array" ref="M19:O19">_xlfn.LET(_xlpm.d,'페이백 미포함'!$A$2:$K$2061,_xlpm.p,_xlfn.XLOOKUP($B19,참조!$K$2:$K$30,IF(참조!$L$2:$L$30&lt;&gt;"",참조!$L$2:$L$30,참조!$M$2:$M$30),""),_xlpm.n,IF(OR($C19="SK",$C19="SKT"),"SKT",$C19)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19" s="65" t="n">
        <v>7</v>
      </c>
      <c r="O19" s="66" t="n">
        <v>36300</v>
      </c>
      <c r="P19" s="64">
        <f t="array" ref="P19:R19">_xlfn.LET(_xlpm.d,'페이백 미포함'!$A$2:$K$2061,_xlpm.p,_xlfn.XLOOKUP($B19,참조!$K$2:$K$30,IF(참조!$L$2:$L$30&lt;&gt;"",참조!$L$2:$L$30,참조!$M$2:$M$30),""),_xlpm.n,IF(OR($C19="SK",$C19="SKT"),"SKT",$C19)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19" s="65" t="n">
        <v>7</v>
      </c>
      <c r="R19" s="66" t="n">
        <v>46200</v>
      </c>
      <c r="S19" s="64">
        <f t="array" ref="S19:U19">_xlfn.LET(_xlpm.d,'페이백 미포함'!$A$2:$K$2061,_xlpm.p,_xlfn.XLOOKUP($B19,참조!$K$2:$K$30,IF(참조!$L$2:$L$30&lt;&gt;"",참조!$L$2:$L$30,참조!$M$2:$M$30),""),_xlpm.n,IF(OR($C19="SK",$C19="SKT"),"SKT",$C19)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19" s="65" t="n">
        <v>7</v>
      </c>
      <c r="U19" s="66" t="n">
        <v>48420</v>
      </c>
      <c r="V19" s="64">
        <f t="array" ref="V19:X19">_xlfn.LET(_xlpm.d,'페이백 미포함'!$A$2:$K$2061,_xlpm.p,_xlfn.XLOOKUP($B19,참조!$K$2:$K$30,IF(참조!$L$2:$L$30&lt;&gt;"",참조!$L$2:$L$30,참조!$M$2:$M$30),""),_xlpm.n,IF(OR($C19="SK",$C19="SKT"),"SKT",$C19)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19" s="65" t="n">
        <v>7</v>
      </c>
      <c r="X19" s="66" t="n">
        <v>50200</v>
      </c>
      <c r="Y19" s="64">
        <f t="array" ref="Y19:AA19">_xlfn.LET(_xlpm.d,'페이백 미포함'!$A$2:$K$2061,_xlpm.p,_xlfn.XLOOKUP($B19,참조!$K$2:$K$30,IF(참조!$L$2:$L$30&lt;&gt;"",참조!$L$2:$L$30,참조!$M$2:$M$30),""),_xlpm.n,IF(OR($C19="SK",$C19="SKT"),"SKT",$C19)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19" s="65" t="n">
        <v>7</v>
      </c>
      <c r="AA19" s="66" t="n">
        <v>49001</v>
      </c>
    </row>
    <row r="20">
      <c r="B20" s="22" t="inlineStr">
        <is>
          <t>스마텔</t>
        </is>
      </c>
      <c r="C20" s="37" t="inlineStr">
        <is>
          <t>SK</t>
        </is>
      </c>
      <c r="D20" s="59">
        <f t="array" ref="D20:F20">_xlfn.LET(_xlpm.d,'페이백 미포함'!$A$2:$K$2061,_xlpm.p,_xlfn.XLOOKUP($B20,참조!$K$2:$K$30,IF(참조!$L$2:$L$30&lt;&gt;"",참조!$L$2:$L$30,참조!$M$2:$M$30),""),_xlpm.n,IF(OR($C20="SK",$C20="SKT"),"SKT",$C20)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0" s="60" t="n">
        <v>7</v>
      </c>
      <c r="F20" s="61" t="n">
        <v>24200</v>
      </c>
      <c r="G20" s="59">
        <f t="array" ref="G20:I20">_xlfn.LET(_xlpm.d,'페이백 미포함'!$A$2:$K$2061,_xlpm.p,_xlfn.XLOOKUP($B20,참조!$K$2:$K$30,IF(참조!$L$2:$L$30&lt;&gt;"",참조!$L$2:$L$30,참조!$M$2:$M$30),""),_xlpm.n,IF(OR($C20="SK",$C20="SKT"),"SKT",$C20)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0" s="60" t="n">
        <v>7</v>
      </c>
      <c r="I20" s="61" t="n">
        <v>33000</v>
      </c>
      <c r="J20" s="59">
        <f t="array" ref="J20:L20">_xlfn.LET(_xlpm.d,'페이백 미포함'!$A$2:$K$2061,_xlpm.p,_xlfn.XLOOKUP($B20,참조!$K$2:$K$30,IF(참조!$L$2:$L$30&lt;&gt;"",참조!$L$2:$L$30,참조!$M$2:$M$30),""),_xlpm.n,IF(OR($C20="SK",$C20="SKT"),"SKT",$C20)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0" s="60" t="n">
        <v>7</v>
      </c>
      <c r="L20" s="61" t="n">
        <v>34100</v>
      </c>
      <c r="M20" s="59">
        <f t="array" ref="M20:O20">_xlfn.LET(_xlpm.d,'페이백 미포함'!$A$2:$K$2061,_xlpm.p,_xlfn.XLOOKUP($B20,참조!$K$2:$K$30,IF(참조!$L$2:$L$30&lt;&gt;"",참조!$L$2:$L$30,참조!$M$2:$M$30),""),_xlpm.n,IF(OR($C20="SK",$C20="SKT"),"SKT",$C20)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0" s="60" t="n">
        <v>7</v>
      </c>
      <c r="O20" s="61" t="n">
        <v>40700</v>
      </c>
      <c r="P20" s="59">
        <f t="array" ref="P20:R20">_xlfn.LET(_xlpm.d,'페이백 미포함'!$A$2:$K$2061,_xlpm.p,_xlfn.XLOOKUP($B20,참조!$K$2:$K$30,IF(참조!$L$2:$L$30&lt;&gt;"",참조!$L$2:$L$30,참조!$M$2:$M$30),""),_xlpm.n,IF(OR($C20="SK",$C20="SKT"),"SKT",$C20)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0" s="60" t="n">
        <v>7</v>
      </c>
      <c r="R20" s="61" t="n">
        <v>47300</v>
      </c>
      <c r="S20" s="59">
        <f t="array" ref="S20">_xlfn.LET(_xlpm.d,'페이백 미포함'!$A$2:$K$2061,_xlpm.p,_xlfn.XLOOKUP($B20,참조!$K$2:$K$30,IF(참조!$L$2:$L$30&lt;&gt;"",참조!$L$2:$L$30,참조!$M$2:$M$30),""),_xlpm.n,IF(OR($C20="SK",$C20="SKT"),"SKT",$C20)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0" s="60" t="n"/>
      <c r="U20" s="61" t="n"/>
      <c r="V20" s="59">
        <f t="array" ref="V20">_xlfn.LET(_xlpm.d,'페이백 미포함'!$A$2:$K$2061,_xlpm.p,_xlfn.XLOOKUP($B20,참조!$K$2:$K$30,IF(참조!$L$2:$L$30&lt;&gt;"",참조!$L$2:$L$30,참조!$M$2:$M$30),""),_xlpm.n,IF(OR($C20="SK",$C20="SKT"),"SKT",$C20)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0" s="60" t="n"/>
      <c r="X20" s="61" t="n"/>
      <c r="Y20" s="59">
        <f t="array" ref="Y20">_xlfn.LET(_xlpm.d,'페이백 미포함'!$A$2:$K$2061,_xlpm.p,_xlfn.XLOOKUP($B20,참조!$K$2:$K$30,IF(참조!$L$2:$L$30&lt;&gt;"",참조!$L$2:$L$30,참조!$M$2:$M$30),""),_xlpm.n,IF(OR($C20="SK",$C20="SKT"),"SKT",$C20)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0" s="60" t="n"/>
      <c r="AA20" s="61" t="n"/>
    </row>
    <row r="21">
      <c r="B21" s="26">
        <f>B20</f>
        <v/>
      </c>
      <c r="C21" s="38" t="inlineStr">
        <is>
          <t>KT</t>
        </is>
      </c>
      <c r="D21" s="62">
        <f t="array" ref="D21:F21">_xlfn.LET(_xlpm.d,'페이백 미포함'!$A$2:$K$2061,_xlpm.p,_xlfn.XLOOKUP($B21,참조!$K$2:$K$30,IF(참조!$L$2:$L$30&lt;&gt;"",참조!$L$2:$L$30,참조!$M$2:$M$30),""),_xlpm.n,IF(OR($C21="SK",$C21="SKT"),"SKT",$C21)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1" s="54" t="n">
        <v>12</v>
      </c>
      <c r="F21" s="63" t="n">
        <v>25300</v>
      </c>
      <c r="G21" s="62">
        <f t="array" ref="G21:I21">_xlfn.LET(_xlpm.d,'페이백 미포함'!$A$2:$K$2061,_xlpm.p,_xlfn.XLOOKUP($B21,참조!$K$2:$K$30,IF(참조!$L$2:$L$30&lt;&gt;"",참조!$L$2:$L$30,참조!$M$2:$M$30),""),_xlpm.n,IF(OR($C21="SK",$C21="SKT"),"SKT",$C21)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1" s="54" t="n">
        <v>7</v>
      </c>
      <c r="I21" s="63" t="n">
        <v>33000</v>
      </c>
      <c r="J21" s="62">
        <f t="array" ref="J21:L21">_xlfn.LET(_xlpm.d,'페이백 미포함'!$A$2:$K$2061,_xlpm.p,_xlfn.XLOOKUP($B21,참조!$K$2:$K$30,IF(참조!$L$2:$L$30&lt;&gt;"",참조!$L$2:$L$30,참조!$M$2:$M$30),""),_xlpm.n,IF(OR($C21="SK",$C21="SKT"),"SKT",$C21)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1" s="54" t="n">
        <v>7</v>
      </c>
      <c r="L21" s="63" t="n">
        <v>34100</v>
      </c>
      <c r="M21" s="62">
        <f t="array" ref="M21:O21">_xlfn.LET(_xlpm.d,'페이백 미포함'!$A$2:$K$2061,_xlpm.p,_xlfn.XLOOKUP($B21,참조!$K$2:$K$30,IF(참조!$L$2:$L$30&lt;&gt;"",참조!$L$2:$L$30,참조!$M$2:$M$30),""),_xlpm.n,IF(OR($C21="SK",$C21="SKT"),"SKT",$C21)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1" s="54" t="n">
        <v>7</v>
      </c>
      <c r="O21" s="63" t="n">
        <v>40700</v>
      </c>
      <c r="P21" s="62">
        <f t="array" ref="P21:R21">_xlfn.LET(_xlpm.d,'페이백 미포함'!$A$2:$K$2061,_xlpm.p,_xlfn.XLOOKUP($B21,참조!$K$2:$K$30,IF(참조!$L$2:$L$30&lt;&gt;"",참조!$L$2:$L$30,참조!$M$2:$M$30),""),_xlpm.n,IF(OR($C21="SK",$C21="SKT"),"SKT",$C21)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1" s="54" t="n">
        <v>7</v>
      </c>
      <c r="R21" s="63" t="n">
        <v>47630</v>
      </c>
      <c r="S21" s="62">
        <f t="array" ref="S21">_xlfn.LET(_xlpm.d,'페이백 미포함'!$A$2:$K$2061,_xlpm.p,_xlfn.XLOOKUP($B21,참조!$K$2:$K$30,IF(참조!$L$2:$L$30&lt;&gt;"",참조!$L$2:$L$30,참조!$M$2:$M$30),""),_xlpm.n,IF(OR($C21="SK",$C21="SKT"),"SKT",$C21)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1" s="54" t="n"/>
      <c r="U21" s="63" t="n"/>
      <c r="V21" s="62">
        <f t="array" ref="V21">_xlfn.LET(_xlpm.d,'페이백 미포함'!$A$2:$K$2061,_xlpm.p,_xlfn.XLOOKUP($B21,참조!$K$2:$K$30,IF(참조!$L$2:$L$30&lt;&gt;"",참조!$L$2:$L$30,참조!$M$2:$M$30),""),_xlpm.n,IF(OR($C21="SK",$C21="SKT"),"SKT",$C21)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1" s="54" t="n"/>
      <c r="X21" s="63" t="n"/>
      <c r="Y21" s="62">
        <f t="array" ref="Y21">_xlfn.LET(_xlpm.d,'페이백 미포함'!$A$2:$K$2061,_xlpm.p,_xlfn.XLOOKUP($B21,참조!$K$2:$K$30,IF(참조!$L$2:$L$30&lt;&gt;"",참조!$L$2:$L$30,참조!$M$2:$M$30),""),_xlpm.n,IF(OR($C21="SK",$C21="SKT"),"SKT",$C21)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1" s="54" t="n"/>
      <c r="AA21" s="63" t="n"/>
    </row>
    <row r="22">
      <c r="B22" s="30">
        <f>B21</f>
        <v/>
      </c>
      <c r="C22" s="39" t="inlineStr">
        <is>
          <t>LG U+</t>
        </is>
      </c>
      <c r="D22" s="64">
        <f t="array" ref="D22:F22">_xlfn.LET(_xlpm.d,'페이백 미포함'!$A$2:$K$2061,_xlpm.p,_xlfn.XLOOKUP($B22,참조!$K$2:$K$30,IF(참조!$L$2:$L$30&lt;&gt;"",참조!$L$2:$L$30,참조!$M$2:$M$30),""),_xlpm.n,IF(OR($C22="SK",$C22="SKT"),"SKT",$C22)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2" s="65" t="n">
        <v>7</v>
      </c>
      <c r="F22" s="66" t="n">
        <v>24200</v>
      </c>
      <c r="G22" s="64">
        <f t="array" ref="G22:I22">_xlfn.LET(_xlpm.d,'페이백 미포함'!$A$2:$K$2061,_xlpm.p,_xlfn.XLOOKUP($B22,참조!$K$2:$K$30,IF(참조!$L$2:$L$30&lt;&gt;"",참조!$L$2:$L$30,참조!$M$2:$M$30),""),_xlpm.n,IF(OR($C22="SK",$C22="SKT"),"SKT",$C22)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2" s="65" t="n">
        <v>7</v>
      </c>
      <c r="I22" s="66" t="n">
        <v>33000</v>
      </c>
      <c r="J22" s="64">
        <f t="array" ref="J22:L22">_xlfn.LET(_xlpm.d,'페이백 미포함'!$A$2:$K$2061,_xlpm.p,_xlfn.XLOOKUP($B22,참조!$K$2:$K$30,IF(참조!$L$2:$L$30&lt;&gt;"",참조!$L$2:$L$30,참조!$M$2:$M$30),""),_xlpm.n,IF(OR($C22="SK",$C22="SKT"),"SKT",$C22)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2" s="65" t="n">
        <v>7</v>
      </c>
      <c r="L22" s="66" t="n">
        <v>34100</v>
      </c>
      <c r="M22" s="64">
        <f t="array" ref="M22:O22">_xlfn.LET(_xlpm.d,'페이백 미포함'!$A$2:$K$2061,_xlpm.p,_xlfn.XLOOKUP($B22,참조!$K$2:$K$30,IF(참조!$L$2:$L$30&lt;&gt;"",참조!$L$2:$L$30,참조!$M$2:$M$30),""),_xlpm.n,IF(OR($C22="SK",$C22="SKT"),"SKT",$C22)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2" s="65" t="n">
        <v>7</v>
      </c>
      <c r="O22" s="66" t="n">
        <v>40700</v>
      </c>
      <c r="P22" s="64">
        <f t="array" ref="P22:R22">_xlfn.LET(_xlpm.d,'페이백 미포함'!$A$2:$K$2061,_xlpm.p,_xlfn.XLOOKUP($B22,참조!$K$2:$K$30,IF(참조!$L$2:$L$30&lt;&gt;"",참조!$L$2:$L$30,참조!$M$2:$M$30),""),_xlpm.n,IF(OR($C22="SK",$C22="SKT"),"SKT",$C22)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2" s="65" t="n">
        <v>7</v>
      </c>
      <c r="R22" s="66" t="n">
        <v>47300</v>
      </c>
      <c r="S22" s="64">
        <f t="array" ref="S22:U22">_xlfn.LET(_xlpm.d,'페이백 미포함'!$A$2:$K$2061,_xlpm.p,_xlfn.XLOOKUP($B22,참조!$K$2:$K$30,IF(참조!$L$2:$L$30&lt;&gt;"",참조!$L$2:$L$30,참조!$M$2:$M$30),""),_xlpm.n,IF(OR($C22="SK",$C22="SKT"),"SKT",$C22)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2" s="65" t="n">
        <v>7</v>
      </c>
      <c r="U22" s="66" t="n">
        <v>49500</v>
      </c>
      <c r="V22" s="64">
        <f t="array" ref="V22:X22">_xlfn.LET(_xlpm.d,'페이백 미포함'!$A$2:$K$2061,_xlpm.p,_xlfn.XLOOKUP($B22,참조!$K$2:$K$30,IF(참조!$L$2:$L$30&lt;&gt;"",참조!$L$2:$L$30,참조!$M$2:$M$30),""),_xlpm.n,IF(OR($C22="SK",$C22="SKT"),"SKT",$C22)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2" s="65" t="n">
        <v>7</v>
      </c>
      <c r="X22" s="66" t="n">
        <v>52800</v>
      </c>
      <c r="Y22" s="64">
        <f t="array" ref="Y22:AA22">_xlfn.LET(_xlpm.d,'페이백 미포함'!$A$2:$K$2061,_xlpm.p,_xlfn.XLOOKUP($B22,참조!$K$2:$K$30,IF(참조!$L$2:$L$30&lt;&gt;"",참조!$L$2:$L$30,참조!$M$2:$M$30),""),_xlpm.n,IF(OR($C22="SK",$C22="SKT"),"SKT",$C22)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2" s="65" t="n">
        <v>24</v>
      </c>
      <c r="AA22" s="66" t="n">
        <v>55000</v>
      </c>
    </row>
    <row r="23">
      <c r="B23" s="22" t="inlineStr">
        <is>
          <t>이지모바일</t>
        </is>
      </c>
      <c r="C23" s="37" t="inlineStr">
        <is>
          <t>KT</t>
        </is>
      </c>
      <c r="D23" s="59">
        <f t="array" ref="D23:F23">_xlfn.LET(_xlpm.d,'페이백 미포함'!$A$2:$K$2061,_xlpm.p,_xlfn.XLOOKUP($B23,참조!$K$2:$K$30,IF(참조!$L$2:$L$30&lt;&gt;"",참조!$L$2:$L$30,참조!$M$2:$M$30),""),_xlpm.n,IF(OR($C23="SK",$C23="SKT"),"SKT",$C23)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3" s="60" t="n">
        <v>10</v>
      </c>
      <c r="F23" s="61" t="n">
        <v>22000</v>
      </c>
      <c r="G23" s="59">
        <f t="array" ref="G23:I23">_xlfn.LET(_xlpm.d,'페이백 미포함'!$A$2:$K$2061,_xlpm.p,_xlfn.XLOOKUP($B23,참조!$K$2:$K$30,IF(참조!$L$2:$L$30&lt;&gt;"",참조!$L$2:$L$30,참조!$M$2:$M$30),""),_xlpm.n,IF(OR($C23="SK",$C23="SKT"),"SKT",$C23)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3" s="60" t="n">
        <v>7</v>
      </c>
      <c r="I23" s="61" t="n">
        <v>29700</v>
      </c>
      <c r="J23" s="59">
        <f t="array" ref="J23:L23">_xlfn.LET(_xlpm.d,'페이백 미포함'!$A$2:$K$2061,_xlpm.p,_xlfn.XLOOKUP($B23,참조!$K$2:$K$30,IF(참조!$L$2:$L$30&lt;&gt;"",참조!$L$2:$L$30,참조!$M$2:$M$30),""),_xlpm.n,IF(OR($C23="SK",$C23="SKT"),"SKT",$C23)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3" s="60" t="n">
        <v>7</v>
      </c>
      <c r="L23" s="61" t="n">
        <v>33000</v>
      </c>
      <c r="M23" s="59">
        <f t="array" ref="M23:O23">_xlfn.LET(_xlpm.d,'페이백 미포함'!$A$2:$K$2061,_xlpm.p,_xlfn.XLOOKUP($B23,참조!$K$2:$K$30,IF(참조!$L$2:$L$30&lt;&gt;"",참조!$L$2:$L$30,참조!$M$2:$M$30),""),_xlpm.n,IF(OR($C23="SK",$C23="SKT"),"SKT",$C23)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3" s="60" t="n">
        <v>7</v>
      </c>
      <c r="O23" s="61" t="n">
        <v>37400</v>
      </c>
      <c r="P23" s="59">
        <f t="array" ref="P23:R23">_xlfn.LET(_xlpm.d,'페이백 미포함'!$A$2:$K$2061,_xlpm.p,_xlfn.XLOOKUP($B23,참조!$K$2:$K$30,IF(참조!$L$2:$L$30&lt;&gt;"",참조!$L$2:$L$30,참조!$M$2:$M$30),""),_xlpm.n,IF(OR($C23="SK",$C23="SKT"),"SKT",$C23)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3" s="60" t="n">
        <v>7</v>
      </c>
      <c r="R23" s="61" t="n">
        <v>44000</v>
      </c>
      <c r="S23" s="59">
        <f t="array" ref="S23">_xlfn.LET(_xlpm.d,'페이백 미포함'!$A$2:$K$2061,_xlpm.p,_xlfn.XLOOKUP($B23,참조!$K$2:$K$30,IF(참조!$L$2:$L$30&lt;&gt;"",참조!$L$2:$L$30,참조!$M$2:$M$30),""),_xlpm.n,IF(OR($C23="SK",$C23="SKT"),"SKT",$C23)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3" s="60" t="n"/>
      <c r="U23" s="61" t="n"/>
      <c r="V23" s="59">
        <f t="array" ref="V23">_xlfn.LET(_xlpm.d,'페이백 미포함'!$A$2:$K$2061,_xlpm.p,_xlfn.XLOOKUP($B23,참조!$K$2:$K$30,IF(참조!$L$2:$L$30&lt;&gt;"",참조!$L$2:$L$30,참조!$M$2:$M$30),""),_xlpm.n,IF(OR($C23="SK",$C23="SKT"),"SKT",$C23)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3" s="60" t="n"/>
      <c r="X23" s="61" t="n"/>
      <c r="Y23" s="59">
        <f t="array" ref="Y23">_xlfn.LET(_xlpm.d,'페이백 미포함'!$A$2:$K$2061,_xlpm.p,_xlfn.XLOOKUP($B23,참조!$K$2:$K$30,IF(참조!$L$2:$L$30&lt;&gt;"",참조!$L$2:$L$30,참조!$M$2:$M$30),""),_xlpm.n,IF(OR($C23="SK",$C23="SKT"),"SKT",$C23)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3" s="60" t="n"/>
      <c r="AA23" s="61" t="n"/>
    </row>
    <row r="24">
      <c r="B24" s="30">
        <f>B23</f>
        <v/>
      </c>
      <c r="C24" s="39" t="inlineStr">
        <is>
          <t>LG U+</t>
        </is>
      </c>
      <c r="D24" s="64">
        <f t="array" ref="D24:F24">_xlfn.LET(_xlpm.d,'페이백 미포함'!$A$2:$K$2061,_xlpm.p,_xlfn.XLOOKUP($B24,참조!$K$2:$K$30,IF(참조!$L$2:$L$30&lt;&gt;"",참조!$L$2:$L$30,참조!$M$2:$M$30),""),_xlpm.n,IF(OR($C24="SK",$C24="SKT"),"SKT",$C24)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4" s="65" t="n">
        <v>7</v>
      </c>
      <c r="F24" s="66" t="n">
        <v>20900</v>
      </c>
      <c r="G24" s="64">
        <f t="array" ref="G24">_xlfn.LET(_xlpm.d,'페이백 미포함'!$A$2:$K$2061,_xlpm.p,_xlfn.XLOOKUP($B24,참조!$K$2:$K$30,IF(참조!$L$2:$L$30&lt;&gt;"",참조!$L$2:$L$30,참조!$M$2:$M$30),""),_xlpm.n,IF(OR($C24="SK",$C24="SKT"),"SKT",$C24)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4" s="65" t="n"/>
      <c r="I24" s="66" t="n"/>
      <c r="J24" s="64">
        <f t="array" ref="J24:L24">_xlfn.LET(_xlpm.d,'페이백 미포함'!$A$2:$K$2061,_xlpm.p,_xlfn.XLOOKUP($B24,참조!$K$2:$K$30,IF(참조!$L$2:$L$30&lt;&gt;"",참조!$L$2:$L$30,참조!$M$2:$M$30),""),_xlpm.n,IF(OR($C24="SK",$C24="SKT"),"SKT",$C24)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4" s="65" t="n">
        <v>7</v>
      </c>
      <c r="L24" s="66" t="n">
        <v>31900</v>
      </c>
      <c r="M24" s="64">
        <f t="array" ref="M24:O24">_xlfn.LET(_xlpm.d,'페이백 미포함'!$A$2:$K$2061,_xlpm.p,_xlfn.XLOOKUP($B24,참조!$K$2:$K$30,IF(참조!$L$2:$L$30&lt;&gt;"",참조!$L$2:$L$30,참조!$M$2:$M$30),""),_xlpm.n,IF(OR($C24="SK",$C24="SKT"),"SKT",$C24)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4" s="65" t="n">
        <v>7</v>
      </c>
      <c r="O24" s="66" t="n">
        <v>39600</v>
      </c>
      <c r="P24" s="64">
        <f t="array" ref="P24:R24">_xlfn.LET(_xlpm.d,'페이백 미포함'!$A$2:$K$2061,_xlpm.p,_xlfn.XLOOKUP($B24,참조!$K$2:$K$30,IF(참조!$L$2:$L$30&lt;&gt;"",참조!$L$2:$L$30,참조!$M$2:$M$30),""),_xlpm.n,IF(OR($C24="SK",$C24="SKT"),"SKT",$C24)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4" s="65" t="n">
        <v>7</v>
      </c>
      <c r="R24" s="66" t="n">
        <v>46200</v>
      </c>
      <c r="S24" s="64">
        <f t="array" ref="S24:U24">_xlfn.LET(_xlpm.d,'페이백 미포함'!$A$2:$K$2061,_xlpm.p,_xlfn.XLOOKUP($B24,참조!$K$2:$K$30,IF(참조!$L$2:$L$30&lt;&gt;"",참조!$L$2:$L$30,참조!$M$2:$M$30),""),_xlpm.n,IF(OR($C24="SK",$C24="SKT"),"SKT",$C24)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4" s="65" t="n">
        <v>7</v>
      </c>
      <c r="U24" s="66" t="n">
        <v>51000</v>
      </c>
      <c r="V24" s="64">
        <f t="array" ref="V24:X24">_xlfn.LET(_xlpm.d,'페이백 미포함'!$A$2:$K$2061,_xlpm.p,_xlfn.XLOOKUP($B24,참조!$K$2:$K$30,IF(참조!$L$2:$L$30&lt;&gt;"",참조!$L$2:$L$30,참조!$M$2:$M$30),""),_xlpm.n,IF(OR($C24="SK",$C24="SKT"),"SKT",$C24)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4" s="65" t="n">
        <v>7</v>
      </c>
      <c r="X24" s="66" t="n">
        <v>52500</v>
      </c>
      <c r="Y24" s="64">
        <f t="array" ref="Y24">_xlfn.LET(_xlpm.d,'페이백 미포함'!$A$2:$K$2061,_xlpm.p,_xlfn.XLOOKUP($B24,참조!$K$2:$K$30,IF(참조!$L$2:$L$30&lt;&gt;"",참조!$L$2:$L$30,참조!$M$2:$M$30),""),_xlpm.n,IF(OR($C24="SK",$C24="SKT"),"SKT",$C24)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4" s="65" t="n"/>
      <c r="AA24" s="66" t="n"/>
    </row>
    <row r="25">
      <c r="B25" s="22" t="inlineStr">
        <is>
          <t>KCT</t>
        </is>
      </c>
      <c r="C25" s="37" t="inlineStr">
        <is>
          <t>SK</t>
        </is>
      </c>
      <c r="D25" s="59">
        <f t="array" ref="D25:F25">_xlfn.LET(_xlpm.d,'페이백 미포함'!$A$2:$K$2061,_xlpm.p,_xlfn.XLOOKUP($B25,참조!$K$2:$K$30,IF(참조!$L$2:$L$30&lt;&gt;"",참조!$L$2:$L$30,참조!$M$2:$M$30),""),_xlpm.n,IF(OR($C25="SK",$C25="SKT"),"SKT",$C25)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5" s="60" t="n">
        <v>9</v>
      </c>
      <c r="F25" s="61" t="n">
        <v>25300</v>
      </c>
      <c r="G25" s="59">
        <f t="array" ref="G25:I25">_xlfn.LET(_xlpm.d,'페이백 미포함'!$A$2:$K$2061,_xlpm.p,_xlfn.XLOOKUP($B25,참조!$K$2:$K$30,IF(참조!$L$2:$L$30&lt;&gt;"",참조!$L$2:$L$30,참조!$M$2:$M$30),""),_xlpm.n,IF(OR($C25="SK",$C25="SKT"),"SKT",$C25)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5" s="60" t="n">
        <v>12</v>
      </c>
      <c r="I25" s="61" t="n">
        <v>31900</v>
      </c>
      <c r="J25" s="59">
        <f t="array" ref="J25:L25">_xlfn.LET(_xlpm.d,'페이백 미포함'!$A$2:$K$2061,_xlpm.p,_xlfn.XLOOKUP($B25,참조!$K$2:$K$30,IF(참조!$L$2:$L$30&lt;&gt;"",참조!$L$2:$L$30,참조!$M$2:$M$30),""),_xlpm.n,IF(OR($C25="SK",$C25="SKT"),"SKT",$C25)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5" s="60" t="n">
        <v>9</v>
      </c>
      <c r="L25" s="61" t="n">
        <v>37400</v>
      </c>
      <c r="M25" s="59">
        <f t="array" ref="M25:O25">_xlfn.LET(_xlpm.d,'페이백 미포함'!$A$2:$K$2061,_xlpm.p,_xlfn.XLOOKUP($B25,참조!$K$2:$K$30,IF(참조!$L$2:$L$30&lt;&gt;"",참조!$L$2:$L$30,참조!$M$2:$M$30),""),_xlpm.n,IF(OR($C25="SK",$C25="SKT"),"SKT",$C25)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5" s="60" t="n">
        <v>9</v>
      </c>
      <c r="O25" s="61" t="n">
        <v>39600</v>
      </c>
      <c r="P25" s="59">
        <f t="array" ref="P25:R25">_xlfn.LET(_xlpm.d,'페이백 미포함'!$A$2:$K$2061,_xlpm.p,_xlfn.XLOOKUP($B25,참조!$K$2:$K$30,IF(참조!$L$2:$L$30&lt;&gt;"",참조!$L$2:$L$30,참조!$M$2:$M$30),""),_xlpm.n,IF(OR($C25="SK",$C25="SKT"),"SKT",$C25)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5" s="60" t="n">
        <v>9</v>
      </c>
      <c r="R25" s="61" t="n">
        <v>48400</v>
      </c>
      <c r="S25" s="59">
        <f t="array" ref="S25">_xlfn.LET(_xlpm.d,'페이백 미포함'!$A$2:$K$2061,_xlpm.p,_xlfn.XLOOKUP($B25,참조!$K$2:$K$30,IF(참조!$L$2:$L$30&lt;&gt;"",참조!$L$2:$L$30,참조!$M$2:$M$30),""),_xlpm.n,IF(OR($C25="SK",$C25="SKT"),"SKT",$C25)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5" s="60" t="n"/>
      <c r="U25" s="61" t="n"/>
      <c r="V25" s="59">
        <f t="array" ref="V25">_xlfn.LET(_xlpm.d,'페이백 미포함'!$A$2:$K$2061,_xlpm.p,_xlfn.XLOOKUP($B25,참조!$K$2:$K$30,IF(참조!$L$2:$L$30&lt;&gt;"",참조!$L$2:$L$30,참조!$M$2:$M$30),""),_xlpm.n,IF(OR($C25="SK",$C25="SKT"),"SKT",$C25)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5" s="60" t="n"/>
      <c r="X25" s="61" t="n"/>
      <c r="Y25" s="59">
        <f t="array" ref="Y25">_xlfn.LET(_xlpm.d,'페이백 미포함'!$A$2:$K$2061,_xlpm.p,_xlfn.XLOOKUP($B25,참조!$K$2:$K$30,IF(참조!$L$2:$L$30&lt;&gt;"",참조!$L$2:$L$30,참조!$M$2:$M$30),""),_xlpm.n,IF(OR($C25="SK",$C25="SKT"),"SKT",$C25)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5" s="60" t="n"/>
      <c r="AA25" s="61" t="n"/>
    </row>
    <row r="26">
      <c r="B26" s="26">
        <f>B25</f>
        <v/>
      </c>
      <c r="C26" s="38" t="inlineStr">
        <is>
          <t>KT</t>
        </is>
      </c>
      <c r="D26" s="62">
        <f t="array" ref="D26:F26">_xlfn.LET(_xlpm.d,'페이백 미포함'!$A$2:$K$2061,_xlpm.p,_xlfn.XLOOKUP($B26,참조!$K$2:$K$30,IF(참조!$L$2:$L$30&lt;&gt;"",참조!$L$2:$L$30,참조!$M$2:$M$30),""),_xlpm.n,IF(OR($C26="SK",$C26="SKT"),"SKT",$C26)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6" s="54" t="n">
        <v>7</v>
      </c>
      <c r="F26" s="63" t="n">
        <v>29700</v>
      </c>
      <c r="G26" s="62">
        <f t="array" ref="G26:I26">_xlfn.LET(_xlpm.d,'페이백 미포함'!$A$2:$K$2061,_xlpm.p,_xlfn.XLOOKUP($B26,참조!$K$2:$K$30,IF(참조!$L$2:$L$30&lt;&gt;"",참조!$L$2:$L$30,참조!$M$2:$M$30),""),_xlpm.n,IF(OR($C26="SK",$C26="SKT"),"SKT",$C26)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6" s="54" t="n">
        <v>7</v>
      </c>
      <c r="I26" s="63" t="n">
        <v>36300</v>
      </c>
      <c r="J26" s="62">
        <f t="array" ref="J26:L26">_xlfn.LET(_xlpm.d,'페이백 미포함'!$A$2:$K$2061,_xlpm.p,_xlfn.XLOOKUP($B26,참조!$K$2:$K$30,IF(참조!$L$2:$L$30&lt;&gt;"",참조!$L$2:$L$30,참조!$M$2:$M$30),""),_xlpm.n,IF(OR($C26="SK",$C26="SKT"),"SKT",$C26)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6" s="54" t="n">
        <v>7</v>
      </c>
      <c r="L26" s="63" t="n">
        <v>39600</v>
      </c>
      <c r="M26" s="62">
        <f t="array" ref="M26:O26">_xlfn.LET(_xlpm.d,'페이백 미포함'!$A$2:$K$2061,_xlpm.p,_xlfn.XLOOKUP($B26,참조!$K$2:$K$30,IF(참조!$L$2:$L$30&lt;&gt;"",참조!$L$2:$L$30,참조!$M$2:$M$30),""),_xlpm.n,IF(OR($C26="SK",$C26="SKT"),"SKT",$C26)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6" s="54" t="n">
        <v>7</v>
      </c>
      <c r="O26" s="63" t="n">
        <v>44000</v>
      </c>
      <c r="P26" s="62">
        <f t="array" ref="P26:R26">_xlfn.LET(_xlpm.d,'페이백 미포함'!$A$2:$K$2061,_xlpm.p,_xlfn.XLOOKUP($B26,참조!$K$2:$K$30,IF(참조!$L$2:$L$30&lt;&gt;"",참조!$L$2:$L$30,참조!$M$2:$M$30),""),_xlpm.n,IF(OR($C26="SK",$C26="SKT"),"SKT",$C26)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6" s="54" t="n">
        <v>7</v>
      </c>
      <c r="R26" s="63" t="n">
        <v>48400</v>
      </c>
      <c r="S26" s="62">
        <f t="array" ref="S26">_xlfn.LET(_xlpm.d,'페이백 미포함'!$A$2:$K$2061,_xlpm.p,_xlfn.XLOOKUP($B26,참조!$K$2:$K$30,IF(참조!$L$2:$L$30&lt;&gt;"",참조!$L$2:$L$30,참조!$M$2:$M$30),""),_xlpm.n,IF(OR($C26="SK",$C26="SKT"),"SKT",$C26)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6" s="54" t="n"/>
      <c r="U26" s="63" t="n"/>
      <c r="V26" s="62">
        <f t="array" ref="V26">_xlfn.LET(_xlpm.d,'페이백 미포함'!$A$2:$K$2061,_xlpm.p,_xlfn.XLOOKUP($B26,참조!$K$2:$K$30,IF(참조!$L$2:$L$30&lt;&gt;"",참조!$L$2:$L$30,참조!$M$2:$M$30),""),_xlpm.n,IF(OR($C26="SK",$C26="SKT"),"SKT",$C26)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6" s="54" t="n"/>
      <c r="X26" s="63" t="n"/>
      <c r="Y26" s="62">
        <f t="array" ref="Y26">_xlfn.LET(_xlpm.d,'페이백 미포함'!$A$2:$K$2061,_xlpm.p,_xlfn.XLOOKUP($B26,참조!$K$2:$K$30,IF(참조!$L$2:$L$30&lt;&gt;"",참조!$L$2:$L$30,참조!$M$2:$M$30),""),_xlpm.n,IF(OR($C26="SK",$C26="SKT"),"SKT",$C26)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6" s="54" t="n"/>
      <c r="AA26" s="63" t="n"/>
    </row>
    <row r="27">
      <c r="B27" s="30">
        <f>B26</f>
        <v/>
      </c>
      <c r="C27" s="39" t="inlineStr">
        <is>
          <t>LG U+</t>
        </is>
      </c>
      <c r="D27" s="64">
        <f t="array" ref="D27:F27">_xlfn.LET(_xlpm.d,'페이백 미포함'!$A$2:$K$2061,_xlpm.p,_xlfn.XLOOKUP($B27,참조!$K$2:$K$30,IF(참조!$L$2:$L$30&lt;&gt;"",참조!$L$2:$L$30,참조!$M$2:$M$30),""),_xlpm.n,IF(OR($C27="SK",$C27="SKT"),"SKT",$C27)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7" s="65" t="n">
        <v>7</v>
      </c>
      <c r="F27" s="66" t="n">
        <v>29700</v>
      </c>
      <c r="G27" s="64">
        <f t="array" ref="G27:I27">_xlfn.LET(_xlpm.d,'페이백 미포함'!$A$2:$K$2061,_xlpm.p,_xlfn.XLOOKUP($B27,참조!$K$2:$K$30,IF(참조!$L$2:$L$30&lt;&gt;"",참조!$L$2:$L$30,참조!$M$2:$M$30),""),_xlpm.n,IF(OR($C27="SK",$C27="SKT"),"SKT",$C27)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7" s="65" t="n">
        <v>7</v>
      </c>
      <c r="I27" s="66" t="n">
        <v>39600</v>
      </c>
      <c r="J27" s="64">
        <f t="array" ref="J27:L27">_xlfn.LET(_xlpm.d,'페이백 미포함'!$A$2:$K$2061,_xlpm.p,_xlfn.XLOOKUP($B27,참조!$K$2:$K$30,IF(참조!$L$2:$L$30&lt;&gt;"",참조!$L$2:$L$30,참조!$M$2:$M$30),""),_xlpm.n,IF(OR($C27="SK",$C27="SKT"),"SKT",$C27)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7" s="65" t="n">
        <v>7</v>
      </c>
      <c r="L27" s="66" t="n">
        <v>41800</v>
      </c>
      <c r="M27" s="64">
        <f t="array" ref="M27:O27">_xlfn.LET(_xlpm.d,'페이백 미포함'!$A$2:$K$2061,_xlpm.p,_xlfn.XLOOKUP($B27,참조!$K$2:$K$30,IF(참조!$L$2:$L$30&lt;&gt;"",참조!$L$2:$L$30,참조!$M$2:$M$30),""),_xlpm.n,IF(OR($C27="SK",$C27="SKT"),"SKT",$C27)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7" s="65" t="n">
        <v>7</v>
      </c>
      <c r="O27" s="66" t="n">
        <v>48400</v>
      </c>
      <c r="P27" s="64">
        <f t="array" ref="P27:R27">_xlfn.LET(_xlpm.d,'페이백 미포함'!$A$2:$K$2061,_xlpm.p,_xlfn.XLOOKUP($B27,참조!$K$2:$K$30,IF(참조!$L$2:$L$30&lt;&gt;"",참조!$L$2:$L$30,참조!$M$2:$M$30),""),_xlpm.n,IF(OR($C27="SK",$C27="SKT"),"SKT",$C27)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7" s="65" t="n">
        <v>7</v>
      </c>
      <c r="R27" s="66" t="n">
        <v>55000</v>
      </c>
      <c r="S27" s="64">
        <f t="array" ref="S27:U27">_xlfn.LET(_xlpm.d,'페이백 미포함'!$A$2:$K$2061,_xlpm.p,_xlfn.XLOOKUP($B27,참조!$K$2:$K$30,IF(참조!$L$2:$L$30&lt;&gt;"",참조!$L$2:$L$30,참조!$M$2:$M$30),""),_xlpm.n,IF(OR($C27="SK",$C27="SKT"),"SKT",$C27)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7" s="65" t="n">
        <v>24</v>
      </c>
      <c r="U27" s="66" t="n">
        <v>52800</v>
      </c>
      <c r="V27" s="64">
        <f t="array" ref="V27:X27">_xlfn.LET(_xlpm.d,'페이백 미포함'!$A$2:$K$2061,_xlpm.p,_xlfn.XLOOKUP($B27,참조!$K$2:$K$30,IF(참조!$L$2:$L$30&lt;&gt;"",참조!$L$2:$L$30,참조!$M$2:$M$30),""),_xlpm.n,IF(OR($C27="SK",$C27="SKT"),"SKT",$C27)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7" s="65" t="n">
        <v>7</v>
      </c>
      <c r="X27" s="66" t="n">
        <v>55000</v>
      </c>
      <c r="Y27" s="64">
        <f t="array" ref="Y27:AA27">_xlfn.LET(_xlpm.d,'페이백 미포함'!$A$2:$K$2061,_xlpm.p,_xlfn.XLOOKUP($B27,참조!$K$2:$K$30,IF(참조!$L$2:$L$30&lt;&gt;"",참조!$L$2:$L$30,참조!$M$2:$M$30),""),_xlpm.n,IF(OR($C27="SK",$C27="SKT"),"SKT",$C27)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7" s="65" t="n">
        <v>0</v>
      </c>
      <c r="AA27" s="66" t="n">
        <v>0</v>
      </c>
    </row>
    <row r="28">
      <c r="B28" s="40" t="inlineStr">
        <is>
          <t>인스코리아</t>
        </is>
      </c>
      <c r="C28" s="41" t="inlineStr">
        <is>
          <t>LG U+</t>
        </is>
      </c>
      <c r="D28" s="67">
        <f t="array" ref="D28:F28">_xlfn.LET(_xlpm.d,'페이백 미포함'!$A$2:$K$2061,_xlpm.p,_xlfn.XLOOKUP($B28,참조!$K$2:$K$30,IF(참조!$L$2:$L$30&lt;&gt;"",참조!$L$2:$L$30,참조!$M$2:$M$30),""),_xlpm.n,IF(OR($C28="SK",$C28="SKT"),"SKT",$C28)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8" s="68" t="n">
        <v>7</v>
      </c>
      <c r="F28" s="69" t="n">
        <v>29700</v>
      </c>
      <c r="G28" s="67">
        <f t="array" ref="G28:I28">_xlfn.LET(_xlpm.d,'페이백 미포함'!$A$2:$K$2061,_xlpm.p,_xlfn.XLOOKUP($B28,참조!$K$2:$K$30,IF(참조!$L$2:$L$30&lt;&gt;"",참조!$L$2:$L$30,참조!$M$2:$M$30),""),_xlpm.n,IF(OR($C28="SK",$C28="SKT"),"SKT",$C28)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8" s="68" t="n">
        <v>7</v>
      </c>
      <c r="I28" s="69" t="n">
        <v>29600</v>
      </c>
      <c r="J28" s="67">
        <f t="array" ref="J28">_xlfn.LET(_xlpm.d,'페이백 미포함'!$A$2:$K$2061,_xlpm.p,_xlfn.XLOOKUP($B28,참조!$K$2:$K$30,IF(참조!$L$2:$L$30&lt;&gt;"",참조!$L$2:$L$30,참조!$M$2:$M$30),""),_xlpm.n,IF(OR($C28="SK",$C28="SKT"),"SKT",$C28)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8" s="68" t="n"/>
      <c r="L28" s="69" t="n"/>
      <c r="M28" s="67">
        <f t="array" ref="M28:O28">_xlfn.LET(_xlpm.d,'페이백 미포함'!$A$2:$K$2061,_xlpm.p,_xlfn.XLOOKUP($B28,참조!$K$2:$K$30,IF(참조!$L$2:$L$30&lt;&gt;"",참조!$L$2:$L$30,참조!$M$2:$M$30),""),_xlpm.n,IF(OR($C28="SK",$C28="SKT"),"SKT",$C28)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8" s="68" t="n">
        <v>7</v>
      </c>
      <c r="O28" s="69" t="n">
        <v>39000</v>
      </c>
      <c r="P28" s="67">
        <f t="array" ref="P28:R28">_xlfn.LET(_xlpm.d,'페이백 미포함'!$A$2:$K$2061,_xlpm.p,_xlfn.XLOOKUP($B28,참조!$K$2:$K$30,IF(참조!$L$2:$L$30&lt;&gt;"",참조!$L$2:$L$30,참조!$M$2:$M$30),""),_xlpm.n,IF(OR($C28="SK",$C28="SKT"),"SKT",$C28)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8" s="68" t="n">
        <v>7</v>
      </c>
      <c r="R28" s="69" t="n">
        <v>47000</v>
      </c>
      <c r="S28" s="67">
        <f t="array" ref="S28:U28">_xlfn.LET(_xlpm.d,'페이백 미포함'!$A$2:$K$2061,_xlpm.p,_xlfn.XLOOKUP($B28,참조!$K$2:$K$30,IF(참조!$L$2:$L$30&lt;&gt;"",참조!$L$2:$L$30,참조!$M$2:$M$30),""),_xlpm.n,IF(OR($C28="SK",$C28="SKT"),"SKT",$C28)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8" s="68" t="n">
        <v>7</v>
      </c>
      <c r="U28" s="69" t="n">
        <v>53240</v>
      </c>
      <c r="V28" s="67">
        <f t="array" ref="V28:X28">_xlfn.LET(_xlpm.d,'페이백 미포함'!$A$2:$K$2061,_xlpm.p,_xlfn.XLOOKUP($B28,참조!$K$2:$K$30,IF(참조!$L$2:$L$30&lt;&gt;"",참조!$L$2:$L$30,참조!$M$2:$M$30),""),_xlpm.n,IF(OR($C28="SK",$C28="SKT"),"SKT",$C28)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8" s="68" t="n">
        <v>7</v>
      </c>
      <c r="X28" s="69" t="n">
        <v>51150</v>
      </c>
      <c r="Y28" s="67">
        <f t="array" ref="Y28:AA28">_xlfn.LET(_xlpm.d,'페이백 미포함'!$A$2:$K$2061,_xlpm.p,_xlfn.XLOOKUP($B28,참조!$K$2:$K$30,IF(참조!$L$2:$L$30&lt;&gt;"",참조!$L$2:$L$30,참조!$M$2:$M$30),""),_xlpm.n,IF(OR($C28="SK",$C28="SKT"),"SKT",$C28)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8" s="68" t="n">
        <v>7</v>
      </c>
      <c r="AA28" s="69" t="n">
        <v>59340</v>
      </c>
    </row>
    <row r="29">
      <c r="B29" s="40" t="inlineStr">
        <is>
          <t>아시아모바일</t>
        </is>
      </c>
      <c r="C29" s="41" t="inlineStr">
        <is>
          <t>LG U+</t>
        </is>
      </c>
      <c r="D29" s="67">
        <f t="array" ref="D29">_xlfn.LET(_xlpm.d,'페이백 미포함'!$A$2:$K$2061,_xlpm.p,_xlfn.XLOOKUP($B29,참조!$K$2:$K$30,IF(참조!$L$2:$L$30&lt;&gt;"",참조!$L$2:$L$30,참조!$M$2:$M$30),""),_xlpm.n,IF(OR($C29="SK",$C29="SKT"),"SKT",$C29)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29" s="68" t="n"/>
      <c r="F29" s="69" t="n"/>
      <c r="G29" s="67">
        <f t="array" ref="G29">_xlfn.LET(_xlpm.d,'페이백 미포함'!$A$2:$K$2061,_xlpm.p,_xlfn.XLOOKUP($B29,참조!$K$2:$K$30,IF(참조!$L$2:$L$30&lt;&gt;"",참조!$L$2:$L$30,참조!$M$2:$M$30),""),_xlpm.n,IF(OR($C29="SK",$C29="SKT"),"SKT",$C29)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29" s="68" t="n"/>
      <c r="I29" s="69" t="n"/>
      <c r="J29" s="67">
        <f t="array" ref="J29">_xlfn.LET(_xlpm.d,'페이백 미포함'!$A$2:$K$2061,_xlpm.p,_xlfn.XLOOKUP($B29,참조!$K$2:$K$30,IF(참조!$L$2:$L$30&lt;&gt;"",참조!$L$2:$L$30,참조!$M$2:$M$30),""),_xlpm.n,IF(OR($C29="SK",$C29="SKT"),"SKT",$C29)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29" s="68" t="n"/>
      <c r="L29" s="69" t="n"/>
      <c r="M29" s="67">
        <f t="array" ref="M29">_xlfn.LET(_xlpm.d,'페이백 미포함'!$A$2:$K$2061,_xlpm.p,_xlfn.XLOOKUP($B29,참조!$K$2:$K$30,IF(참조!$L$2:$L$30&lt;&gt;"",참조!$L$2:$L$30,참조!$M$2:$M$30),""),_xlpm.n,IF(OR($C29="SK",$C29="SKT"),"SKT",$C29)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29" s="68" t="n"/>
      <c r="O29" s="69" t="n"/>
      <c r="P29" s="67">
        <f t="array" ref="P29">_xlfn.LET(_xlpm.d,'페이백 미포함'!$A$2:$K$2061,_xlpm.p,_xlfn.XLOOKUP($B29,참조!$K$2:$K$30,IF(참조!$L$2:$L$30&lt;&gt;"",참조!$L$2:$L$30,참조!$M$2:$M$30),""),_xlpm.n,IF(OR($C29="SK",$C29="SKT"),"SKT",$C29)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29" s="68" t="n"/>
      <c r="R29" s="69" t="n"/>
      <c r="S29" s="67">
        <f t="array" ref="S29">_xlfn.LET(_xlpm.d,'페이백 미포함'!$A$2:$K$2061,_xlpm.p,_xlfn.XLOOKUP($B29,참조!$K$2:$K$30,IF(참조!$L$2:$L$30&lt;&gt;"",참조!$L$2:$L$30,참조!$M$2:$M$30),""),_xlpm.n,IF(OR($C29="SK",$C29="SKT"),"SKT",$C29)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29" s="68" t="n"/>
      <c r="U29" s="69" t="n"/>
      <c r="V29" s="67">
        <f t="array" ref="V29">_xlfn.LET(_xlpm.d,'페이백 미포함'!$A$2:$K$2061,_xlpm.p,_xlfn.XLOOKUP($B29,참조!$K$2:$K$30,IF(참조!$L$2:$L$30&lt;&gt;"",참조!$L$2:$L$30,참조!$M$2:$M$30),""),_xlpm.n,IF(OR($C29="SK",$C29="SKT"),"SKT",$C29)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29" s="68" t="n"/>
      <c r="X29" s="69" t="n"/>
      <c r="Y29" s="67">
        <f t="array" ref="Y29">_xlfn.LET(_xlpm.d,'페이백 미포함'!$A$2:$K$2061,_xlpm.p,_xlfn.XLOOKUP($B29,참조!$K$2:$K$30,IF(참조!$L$2:$L$30&lt;&gt;"",참조!$L$2:$L$30,참조!$M$2:$M$30),""),_xlpm.n,IF(OR($C29="SK",$C29="SKT"),"SKT",$C29)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29" s="68" t="n"/>
      <c r="AA29" s="69" t="n"/>
    </row>
    <row r="30">
      <c r="B30" s="40" t="inlineStr">
        <is>
          <t>찬스모바일</t>
        </is>
      </c>
      <c r="C30" s="41" t="inlineStr">
        <is>
          <t>LG U+</t>
        </is>
      </c>
      <c r="D30" s="67">
        <f t="array" ref="D30:F30">_xlfn.LET(_xlpm.d,'페이백 미포함'!$A$2:$K$2061,_xlpm.p,_xlfn.XLOOKUP($B30,참조!$K$2:$K$30,IF(참조!$L$2:$L$30&lt;&gt;"",참조!$L$2:$L$30,참조!$M$2:$M$30),""),_xlpm.n,IF(OR($C30="SK",$C30="SKT"),"SKT",$C30)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0" s="68" t="n">
        <v>7</v>
      </c>
      <c r="F30" s="69" t="n">
        <v>19800</v>
      </c>
      <c r="G30" s="67">
        <f t="array" ref="G30:I30">_xlfn.LET(_xlpm.d,'페이백 미포함'!$A$2:$K$2061,_xlpm.p,_xlfn.XLOOKUP($B30,참조!$K$2:$K$30,IF(참조!$L$2:$L$30&lt;&gt;"",참조!$L$2:$L$30,참조!$M$2:$M$30),""),_xlpm.n,IF(OR($C30="SK",$C30="SKT"),"SKT",$C30)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0" s="68" t="n">
        <v>7</v>
      </c>
      <c r="I30" s="69" t="n">
        <v>28600</v>
      </c>
      <c r="J30" s="67">
        <f t="array" ref="J30:L30">_xlfn.LET(_xlpm.d,'페이백 미포함'!$A$2:$K$2061,_xlpm.p,_xlfn.XLOOKUP($B30,참조!$K$2:$K$30,IF(참조!$L$2:$L$30&lt;&gt;"",참조!$L$2:$L$30,참조!$M$2:$M$30),""),_xlpm.n,IF(OR($C30="SK",$C30="SKT"),"SKT",$C30)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0" s="68" t="n">
        <v>7</v>
      </c>
      <c r="L30" s="69" t="n">
        <v>33000</v>
      </c>
      <c r="M30" s="67">
        <f t="array" ref="M30:O30">_xlfn.LET(_xlpm.d,'페이백 미포함'!$A$2:$K$2061,_xlpm.p,_xlfn.XLOOKUP($B30,참조!$K$2:$K$30,IF(참조!$L$2:$L$30&lt;&gt;"",참조!$L$2:$L$30,참조!$M$2:$M$30),""),_xlpm.n,IF(OR($C30="SK",$C30="SKT"),"SKT",$C30)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0" s="68" t="n">
        <v>7</v>
      </c>
      <c r="O30" s="69" t="n">
        <v>38940</v>
      </c>
      <c r="P30" s="67">
        <f t="array" ref="P30:R30">_xlfn.LET(_xlpm.d,'페이백 미포함'!$A$2:$K$2061,_xlpm.p,_xlfn.XLOOKUP($B30,참조!$K$2:$K$30,IF(참조!$L$2:$L$30&lt;&gt;"",참조!$L$2:$L$30,참조!$M$2:$M$30),""),_xlpm.n,IF(OR($C30="SK",$C30="SKT"),"SKT",$C30)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0" s="68" t="n">
        <v>7</v>
      </c>
      <c r="R30" s="69" t="n">
        <v>46200</v>
      </c>
      <c r="S30" s="67">
        <f t="array" ref="S30:U30">_xlfn.LET(_xlpm.d,'페이백 미포함'!$A$2:$K$2061,_xlpm.p,_xlfn.XLOOKUP($B30,참조!$K$2:$K$30,IF(참조!$L$2:$L$30&lt;&gt;"",참조!$L$2:$L$30,참조!$M$2:$M$30),""),_xlpm.n,IF(OR($C30="SK",$C30="SKT"),"SKT",$C30)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0" s="68" t="n">
        <v>7</v>
      </c>
      <c r="U30" s="69" t="n">
        <v>50600</v>
      </c>
      <c r="V30" s="67">
        <f t="array" ref="V30:X30">_xlfn.LET(_xlpm.d,'페이백 미포함'!$A$2:$K$2061,_xlpm.p,_xlfn.XLOOKUP($B30,참조!$K$2:$K$30,IF(참조!$L$2:$L$30&lt;&gt;"",참조!$L$2:$L$30,참조!$M$2:$M$30),""),_xlpm.n,IF(OR($C30="SK",$C30="SKT"),"SKT",$C30)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0" s="68" t="n">
        <v>7</v>
      </c>
      <c r="X30" s="69" t="n">
        <v>51700</v>
      </c>
      <c r="Y30" s="67">
        <f t="array" ref="Y30:AA30">_xlfn.LET(_xlpm.d,'페이백 미포함'!$A$2:$K$2061,_xlpm.p,_xlfn.XLOOKUP($B30,참조!$K$2:$K$30,IF(참조!$L$2:$L$30&lt;&gt;"",참조!$L$2:$L$30,참조!$M$2:$M$30),""),_xlpm.n,IF(OR($C30="SK",$C30="SKT"),"SKT",$C30)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0" s="68" t="n">
        <v>7</v>
      </c>
      <c r="AA30" s="69" t="n">
        <v>55000</v>
      </c>
    </row>
    <row r="31">
      <c r="B31" s="40" t="inlineStr">
        <is>
          <t>CK커뮤스트리</t>
        </is>
      </c>
      <c r="C31" s="41" t="inlineStr">
        <is>
          <t>LG U+</t>
        </is>
      </c>
      <c r="D31" s="67">
        <f t="array" ref="D31:F31">_xlfn.LET(_xlpm.d,'페이백 미포함'!$A$2:$K$2061,_xlpm.p,_xlfn.XLOOKUP($B31,참조!$K$2:$K$30,IF(참조!$L$2:$L$30&lt;&gt;"",참조!$L$2:$L$30,참조!$M$2:$M$30),""),_xlpm.n,IF(OR($C31="SK",$C31="SKT"),"SKT",$C31)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1" s="68" t="n">
        <v>7</v>
      </c>
      <c r="F31" s="69" t="n">
        <v>21980</v>
      </c>
      <c r="G31" s="67">
        <f t="array" ref="G31:I31">_xlfn.LET(_xlpm.d,'페이백 미포함'!$A$2:$K$2061,_xlpm.p,_xlfn.XLOOKUP($B31,참조!$K$2:$K$30,IF(참조!$L$2:$L$30&lt;&gt;"",참조!$L$2:$L$30,참조!$M$2:$M$30),""),_xlpm.n,IF(OR($C31="SK",$C31="SKT"),"SKT",$C31)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1" s="68" t="n">
        <v>7</v>
      </c>
      <c r="I31" s="69" t="n">
        <v>34490</v>
      </c>
      <c r="J31" s="67">
        <f t="array" ref="J31:L31">_xlfn.LET(_xlpm.d,'페이백 미포함'!$A$2:$K$2061,_xlpm.p,_xlfn.XLOOKUP($B31,참조!$K$2:$K$30,IF(참조!$L$2:$L$30&lt;&gt;"",참조!$L$2:$L$30,참조!$M$2:$M$30),""),_xlpm.n,IF(OR($C31="SK",$C31="SKT"),"SKT",$C31)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1" s="68" t="n">
        <v>7</v>
      </c>
      <c r="L31" s="69" t="n">
        <v>34000</v>
      </c>
      <c r="M31" s="67">
        <f t="array" ref="M31:O31">_xlfn.LET(_xlpm.d,'페이백 미포함'!$A$2:$K$2061,_xlpm.p,_xlfn.XLOOKUP($B31,참조!$K$2:$K$30,IF(참조!$L$2:$L$30&lt;&gt;"",참조!$L$2:$L$30,참조!$M$2:$M$30),""),_xlpm.n,IF(OR($C31="SK",$C31="SKT"),"SKT",$C31)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1" s="68" t="n">
        <v>7</v>
      </c>
      <c r="O31" s="69" t="n">
        <v>40900</v>
      </c>
      <c r="P31" s="67">
        <f t="array" ref="P31:R31">_xlfn.LET(_xlpm.d,'페이백 미포함'!$A$2:$K$2061,_xlpm.p,_xlfn.XLOOKUP($B31,참조!$K$2:$K$30,IF(참조!$L$2:$L$30&lt;&gt;"",참조!$L$2:$L$30,참조!$M$2:$M$30),""),_xlpm.n,IF(OR($C31="SK",$C31="SKT"),"SKT",$C31)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1" s="68" t="n">
        <v>7</v>
      </c>
      <c r="R31" s="69" t="n">
        <v>49000</v>
      </c>
      <c r="S31" s="67">
        <f t="array" ref="S31:U31">_xlfn.LET(_xlpm.d,'페이백 미포함'!$A$2:$K$2061,_xlpm.p,_xlfn.XLOOKUP($B31,참조!$K$2:$K$30,IF(참조!$L$2:$L$30&lt;&gt;"",참조!$L$2:$L$30,참조!$M$2:$M$30),""),_xlpm.n,IF(OR($C31="SK",$C31="SKT"),"SKT",$C31)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1" s="68" t="n">
        <v>7</v>
      </c>
      <c r="U31" s="69" t="n">
        <v>50050</v>
      </c>
      <c r="V31" s="67">
        <f t="array" ref="V31:X31">_xlfn.LET(_xlpm.d,'페이백 미포함'!$A$2:$K$2061,_xlpm.p,_xlfn.XLOOKUP($B31,참조!$K$2:$K$30,IF(참조!$L$2:$L$30&lt;&gt;"",참조!$L$2:$L$30,참조!$M$2:$M$30),""),_xlpm.n,IF(OR($C31="SK",$C31="SKT"),"SKT",$C31)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1" s="68" t="n">
        <v>7</v>
      </c>
      <c r="X31" s="69" t="n">
        <v>51700</v>
      </c>
      <c r="Y31" s="67">
        <f t="array" ref="Y31:AA31">_xlfn.LET(_xlpm.d,'페이백 미포함'!$A$2:$K$2061,_xlpm.p,_xlfn.XLOOKUP($B31,참조!$K$2:$K$30,IF(참조!$L$2:$L$30&lt;&gt;"",참조!$L$2:$L$30,참조!$M$2:$M$30),""),_xlpm.n,IF(OR($C31="SK",$C31="SKT"),"SKT",$C31)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1" s="68" t="n">
        <v>7</v>
      </c>
      <c r="AA31" s="69" t="n">
        <v>55000</v>
      </c>
    </row>
    <row r="32">
      <c r="B32" s="40" t="inlineStr">
        <is>
          <t>마블</t>
        </is>
      </c>
      <c r="C32" s="41" t="inlineStr">
        <is>
          <t>LG U+</t>
        </is>
      </c>
      <c r="D32" s="67">
        <f t="array" ref="D32:F32">_xlfn.LET(_xlpm.d,'페이백 미포함'!$A$2:$K$2061,_xlpm.p,_xlfn.XLOOKUP($B32,참조!$K$2:$K$30,IF(참조!$L$2:$L$30&lt;&gt;"",참조!$L$2:$L$30,참조!$M$2:$M$30),""),_xlpm.n,IF(OR($C32="SK",$C32="SKT"),"SKT",$C32)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2" s="68" t="n">
        <v>7</v>
      </c>
      <c r="F32" s="69" t="n">
        <v>24190</v>
      </c>
      <c r="G32" s="67">
        <f t="array" ref="G32:I32">_xlfn.LET(_xlpm.d,'페이백 미포함'!$A$2:$K$2061,_xlpm.p,_xlfn.XLOOKUP($B32,참조!$K$2:$K$30,IF(참조!$L$2:$L$30&lt;&gt;"",참조!$L$2:$L$30,참조!$M$2:$M$30),""),_xlpm.n,IF(OR($C32="SK",$C32="SKT"),"SKT",$C32)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2" s="68" t="n">
        <v>7</v>
      </c>
      <c r="I32" s="69" t="n">
        <v>27900</v>
      </c>
      <c r="J32" s="67">
        <f t="array" ref="J32:L32">_xlfn.LET(_xlpm.d,'페이백 미포함'!$A$2:$K$2061,_xlpm.p,_xlfn.XLOOKUP($B32,참조!$K$2:$K$30,IF(참조!$L$2:$L$30&lt;&gt;"",참조!$L$2:$L$30,참조!$M$2:$M$30),""),_xlpm.n,IF(OR($C32="SK",$C32="SKT"),"SKT",$C32)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2" s="68" t="n">
        <v>7</v>
      </c>
      <c r="L32" s="69" t="n">
        <v>29900</v>
      </c>
      <c r="M32" s="67">
        <f t="array" ref="M32:O32">_xlfn.LET(_xlpm.d,'페이백 미포함'!$A$2:$K$2061,_xlpm.p,_xlfn.XLOOKUP($B32,참조!$K$2:$K$30,IF(참조!$L$2:$L$30&lt;&gt;"",참조!$L$2:$L$30,참조!$M$2:$M$30),""),_xlpm.n,IF(OR($C32="SK",$C32="SKT"),"SKT",$C32)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2" s="68" t="n">
        <v>7</v>
      </c>
      <c r="O32" s="69" t="n">
        <v>38900</v>
      </c>
      <c r="P32" s="67">
        <f t="array" ref="P32:R32">_xlfn.LET(_xlpm.d,'페이백 미포함'!$A$2:$K$2061,_xlpm.p,_xlfn.XLOOKUP($B32,참조!$K$2:$K$30,IF(참조!$L$2:$L$30&lt;&gt;"",참조!$L$2:$L$30,참조!$M$2:$M$30),""),_xlpm.n,IF(OR($C32="SK",$C32="SKT"),"SKT",$C32)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2" s="68" t="n">
        <v>7</v>
      </c>
      <c r="R32" s="69" t="n">
        <v>45900</v>
      </c>
      <c r="S32" s="67">
        <f t="array" ref="S32:U32">_xlfn.LET(_xlpm.d,'페이백 미포함'!$A$2:$K$2061,_xlpm.p,_xlfn.XLOOKUP($B32,참조!$K$2:$K$30,IF(참조!$L$2:$L$30&lt;&gt;"",참조!$L$2:$L$30,참조!$M$2:$M$30),""),_xlpm.n,IF(OR($C32="SK",$C32="SKT"),"SKT",$C32)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2" s="68" t="n">
        <v>7</v>
      </c>
      <c r="U32" s="69" t="n">
        <v>44900</v>
      </c>
      <c r="V32" s="67">
        <f t="array" ref="V32:X32">_xlfn.LET(_xlpm.d,'페이백 미포함'!$A$2:$K$2061,_xlpm.p,_xlfn.XLOOKUP($B32,참조!$K$2:$K$30,IF(참조!$L$2:$L$30&lt;&gt;"",참조!$L$2:$L$30,참조!$M$2:$M$30),""),_xlpm.n,IF(OR($C32="SK",$C32="SKT"),"SKT",$C32)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2" s="68" t="n">
        <v>7</v>
      </c>
      <c r="X32" s="69" t="n">
        <v>46900</v>
      </c>
      <c r="Y32" s="67">
        <f t="array" ref="Y32:AA32">_xlfn.LET(_xlpm.d,'페이백 미포함'!$A$2:$K$2061,_xlpm.p,_xlfn.XLOOKUP($B32,참조!$K$2:$K$30,IF(참조!$L$2:$L$30&lt;&gt;"",참조!$L$2:$L$30,참조!$M$2:$M$30),""),_xlpm.n,IF(OR($C32="SK",$C32="SKT"),"SKT",$C32)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2" s="68" t="n">
        <v>7</v>
      </c>
      <c r="AA32" s="69" t="n">
        <v>48900</v>
      </c>
    </row>
    <row r="33">
      <c r="B33" s="40" t="inlineStr">
        <is>
          <t>에르엘</t>
        </is>
      </c>
      <c r="C33" s="41" t="inlineStr">
        <is>
          <t>LG U+</t>
        </is>
      </c>
      <c r="D33" s="67">
        <f t="array" ref="D33">_xlfn.LET(_xlpm.d,'페이백 미포함'!$A$2:$K$2061,_xlpm.p,_xlfn.XLOOKUP($B33,참조!$K$2:$K$30,IF(참조!$L$2:$L$30&lt;&gt;"",참조!$L$2:$L$30,참조!$M$2:$M$30),""),_xlpm.n,IF(OR($C33="SK",$C33="SKT"),"SKT",$C33)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3" s="68" t="n"/>
      <c r="F33" s="69" t="n"/>
      <c r="G33" s="67">
        <f t="array" ref="G33">_xlfn.LET(_xlpm.d,'페이백 미포함'!$A$2:$K$2061,_xlpm.p,_xlfn.XLOOKUP($B33,참조!$K$2:$K$30,IF(참조!$L$2:$L$30&lt;&gt;"",참조!$L$2:$L$30,참조!$M$2:$M$30),""),_xlpm.n,IF(OR($C33="SK",$C33="SKT"),"SKT",$C33)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3" s="68" t="n"/>
      <c r="I33" s="69" t="n"/>
      <c r="J33" s="67">
        <f t="array" ref="J33">_xlfn.LET(_xlpm.d,'페이백 미포함'!$A$2:$K$2061,_xlpm.p,_xlfn.XLOOKUP($B33,참조!$K$2:$K$30,IF(참조!$L$2:$L$30&lt;&gt;"",참조!$L$2:$L$30,참조!$M$2:$M$30),""),_xlpm.n,IF(OR($C33="SK",$C33="SKT"),"SKT",$C33)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3" s="68" t="n"/>
      <c r="L33" s="69" t="n"/>
      <c r="M33" s="67">
        <f t="array" ref="M33">_xlfn.LET(_xlpm.d,'페이백 미포함'!$A$2:$K$2061,_xlpm.p,_xlfn.XLOOKUP($B33,참조!$K$2:$K$30,IF(참조!$L$2:$L$30&lt;&gt;"",참조!$L$2:$L$30,참조!$M$2:$M$30),""),_xlpm.n,IF(OR($C33="SK",$C33="SKT"),"SKT",$C33)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3" s="68" t="n"/>
      <c r="O33" s="69" t="n"/>
      <c r="P33" s="67">
        <f t="array" ref="P33">_xlfn.LET(_xlpm.d,'페이백 미포함'!$A$2:$K$2061,_xlpm.p,_xlfn.XLOOKUP($B33,참조!$K$2:$K$30,IF(참조!$L$2:$L$30&lt;&gt;"",참조!$L$2:$L$30,참조!$M$2:$M$30),""),_xlpm.n,IF(OR($C33="SK",$C33="SKT"),"SKT",$C33)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3" s="68" t="n"/>
      <c r="R33" s="69" t="n"/>
      <c r="S33" s="67">
        <f t="array" ref="S33">_xlfn.LET(_xlpm.d,'페이백 미포함'!$A$2:$K$2061,_xlpm.p,_xlfn.XLOOKUP($B33,참조!$K$2:$K$30,IF(참조!$L$2:$L$30&lt;&gt;"",참조!$L$2:$L$30,참조!$M$2:$M$30),""),_xlpm.n,IF(OR($C33="SK",$C33="SKT"),"SKT",$C33)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3" s="68" t="n"/>
      <c r="U33" s="69" t="n"/>
      <c r="V33" s="67">
        <f t="array" ref="V33">_xlfn.LET(_xlpm.d,'페이백 미포함'!$A$2:$K$2061,_xlpm.p,_xlfn.XLOOKUP($B33,참조!$K$2:$K$30,IF(참조!$L$2:$L$30&lt;&gt;"",참조!$L$2:$L$30,참조!$M$2:$M$30),""),_xlpm.n,IF(OR($C33="SK",$C33="SKT"),"SKT",$C33)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3" s="68" t="n"/>
      <c r="X33" s="69" t="n"/>
      <c r="Y33" s="67">
        <f t="array" ref="Y33">_xlfn.LET(_xlpm.d,'페이백 미포함'!$A$2:$K$2061,_xlpm.p,_xlfn.XLOOKUP($B33,참조!$K$2:$K$30,IF(참조!$L$2:$L$30&lt;&gt;"",참조!$L$2:$L$30,참조!$M$2:$M$30),""),_xlpm.n,IF(OR($C33="SK",$C33="SKT"),"SKT",$C33)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3" s="68" t="n"/>
      <c r="AA33" s="69" t="n"/>
    </row>
    <row r="34">
      <c r="B34" s="40" t="inlineStr">
        <is>
          <t>KG모바일</t>
        </is>
      </c>
      <c r="C34" s="41" t="inlineStr">
        <is>
          <t>LG U+</t>
        </is>
      </c>
      <c r="D34" s="67">
        <f t="array" ref="D34:F34">_xlfn.LET(_xlpm.d,'페이백 미포함'!$A$2:$K$2061,_xlpm.p,_xlfn.XLOOKUP($B34,참조!$K$2:$K$30,IF(참조!$L$2:$L$30&lt;&gt;"",참조!$L$2:$L$30,참조!$M$2:$M$30),""),_xlpm.n,IF(OR($C34="SK",$C34="SKT"),"SKT",$C34)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4" s="68" t="n">
        <v>7</v>
      </c>
      <c r="F34" s="69" t="n">
        <v>24200</v>
      </c>
      <c r="G34" s="67">
        <f t="array" ref="G34:I34">_xlfn.LET(_xlpm.d,'페이백 미포함'!$A$2:$K$2061,_xlpm.p,_xlfn.XLOOKUP($B34,참조!$K$2:$K$30,IF(참조!$L$2:$L$30&lt;&gt;"",참조!$L$2:$L$30,참조!$M$2:$M$30),""),_xlpm.n,IF(OR($C34="SK",$C34="SKT"),"SKT",$C34)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4" s="68" t="n">
        <v>7</v>
      </c>
      <c r="I34" s="69" t="n">
        <v>29610</v>
      </c>
      <c r="J34" s="67">
        <f t="array" ref="J34:L34">_xlfn.LET(_xlpm.d,'페이백 미포함'!$A$2:$K$2061,_xlpm.p,_xlfn.XLOOKUP($B34,참조!$K$2:$K$30,IF(참조!$L$2:$L$30&lt;&gt;"",참조!$L$2:$L$30,참조!$M$2:$M$30),""),_xlpm.n,IF(OR($C34="SK",$C34="SKT"),"SKT",$C34)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4" s="68" t="n">
        <v>7</v>
      </c>
      <c r="L34" s="69" t="n">
        <v>35200</v>
      </c>
      <c r="M34" s="67">
        <f t="array" ref="M34:O34">_xlfn.LET(_xlpm.d,'페이백 미포함'!$A$2:$K$2061,_xlpm.p,_xlfn.XLOOKUP($B34,참조!$K$2:$K$30,IF(참조!$L$2:$L$30&lt;&gt;"",참조!$L$2:$L$30,참조!$M$2:$M$30),""),_xlpm.n,IF(OR($C34="SK",$C34="SKT"),"SKT",$C34)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4" s="68" t="n">
        <v>7</v>
      </c>
      <c r="O34" s="69" t="n">
        <v>34960</v>
      </c>
      <c r="P34" s="67">
        <f t="array" ref="P34:R34">_xlfn.LET(_xlpm.d,'페이백 미포함'!$A$2:$K$2061,_xlpm.p,_xlfn.XLOOKUP($B34,참조!$K$2:$K$30,IF(참조!$L$2:$L$30&lt;&gt;"",참조!$L$2:$L$30,참조!$M$2:$M$30),""),_xlpm.n,IF(OR($C34="SK",$C34="SKT"),"SKT",$C34)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4" s="68" t="n">
        <v>7</v>
      </c>
      <c r="R34" s="69" t="n">
        <v>41900</v>
      </c>
      <c r="S34" s="67">
        <f t="array" ref="S34:U34">_xlfn.LET(_xlpm.d,'페이백 미포함'!$A$2:$K$2061,_xlpm.p,_xlfn.XLOOKUP($B34,참조!$K$2:$K$30,IF(참조!$L$2:$L$30&lt;&gt;"",참조!$L$2:$L$30,참조!$M$2:$M$30),""),_xlpm.n,IF(OR($C34="SK",$C34="SKT"),"SKT",$C34)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4" s="68" t="n">
        <v>7</v>
      </c>
      <c r="U34" s="69" t="n">
        <v>49500</v>
      </c>
      <c r="V34" s="67">
        <f t="array" ref="V34:X34">_xlfn.LET(_xlpm.d,'페이백 미포함'!$A$2:$K$2061,_xlpm.p,_xlfn.XLOOKUP($B34,참조!$K$2:$K$30,IF(참조!$L$2:$L$30&lt;&gt;"",참조!$L$2:$L$30,참조!$M$2:$M$30),""),_xlpm.n,IF(OR($C34="SK",$C34="SKT"),"SKT",$C34)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4" s="68" t="n">
        <v>7</v>
      </c>
      <c r="X34" s="69" t="n">
        <v>51150</v>
      </c>
      <c r="Y34" s="67">
        <f t="array" ref="Y34:AA34">_xlfn.LET(_xlpm.d,'페이백 미포함'!$A$2:$K$2061,_xlpm.p,_xlfn.XLOOKUP($B34,참조!$K$2:$K$30,IF(참조!$L$2:$L$30&lt;&gt;"",참조!$L$2:$L$30,참조!$M$2:$M$30),""),_xlpm.n,IF(OR($C34="SK",$C34="SKT"),"SKT",$C34)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4" s="68" t="n">
        <v>7</v>
      </c>
      <c r="AA34" s="69" t="n">
        <v>56100</v>
      </c>
    </row>
    <row r="35">
      <c r="B35" s="40" t="inlineStr">
        <is>
          <t>코나아이</t>
        </is>
      </c>
      <c r="C35" s="41" t="inlineStr">
        <is>
          <t>LG U+</t>
        </is>
      </c>
      <c r="D35" s="67">
        <f t="array" ref="D35:F35">_xlfn.LET(_xlpm.d,'페이백 미포함'!$A$2:$K$2061,_xlpm.p,_xlfn.XLOOKUP($B35,참조!$K$2:$K$30,IF(참조!$L$2:$L$30&lt;&gt;"",참조!$L$2:$L$30,참조!$M$2:$M$30),""),_xlpm.n,IF(OR($C35="SK",$C35="SKT"),"SKT",$C35)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5" s="68" t="n">
        <v>7</v>
      </c>
      <c r="F35" s="69" t="n">
        <v>35200</v>
      </c>
      <c r="G35" s="67">
        <f t="array" ref="G35:I35">_xlfn.LET(_xlpm.d,'페이백 미포함'!$A$2:$K$2061,_xlpm.p,_xlfn.XLOOKUP($B35,참조!$K$2:$K$30,IF(참조!$L$2:$L$30&lt;&gt;"",참조!$L$2:$L$30,참조!$M$2:$M$30),""),_xlpm.n,IF(OR($C35="SK",$C35="SKT"),"SKT",$C35)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5" s="68" t="n">
        <v>24</v>
      </c>
      <c r="I35" s="69" t="n">
        <v>31900</v>
      </c>
      <c r="J35" s="67">
        <f t="array" ref="J35:L35">_xlfn.LET(_xlpm.d,'페이백 미포함'!$A$2:$K$2061,_xlpm.p,_xlfn.XLOOKUP($B35,참조!$K$2:$K$30,IF(참조!$L$2:$L$30&lt;&gt;"",참조!$L$2:$L$30,참조!$M$2:$M$30),""),_xlpm.n,IF(OR($C35="SK",$C35="SKT"),"SKT",$C35)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5" s="68" t="n">
        <v>24</v>
      </c>
      <c r="L35" s="69" t="n">
        <v>34100</v>
      </c>
      <c r="M35" s="67">
        <f t="array" ref="M35:O35">_xlfn.LET(_xlpm.d,'페이백 미포함'!$A$2:$K$2061,_xlpm.p,_xlfn.XLOOKUP($B35,참조!$K$2:$K$30,IF(참조!$L$2:$L$30&lt;&gt;"",참조!$L$2:$L$30,참조!$M$2:$M$30),""),_xlpm.n,IF(OR($C35="SK",$C35="SKT"),"SKT",$C35)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5" s="68" t="n">
        <v>7</v>
      </c>
      <c r="O35" s="69" t="n">
        <v>39600</v>
      </c>
      <c r="P35" s="67">
        <f t="array" ref="P35:R35">_xlfn.LET(_xlpm.d,'페이백 미포함'!$A$2:$K$2061,_xlpm.p,_xlfn.XLOOKUP($B35,참조!$K$2:$K$30,IF(참조!$L$2:$L$30&lt;&gt;"",참조!$L$2:$L$30,참조!$M$2:$M$30),""),_xlpm.n,IF(OR($C35="SK",$C35="SKT"),"SKT",$C35)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5" s="68" t="n">
        <v>7</v>
      </c>
      <c r="R35" s="69" t="n">
        <v>48400</v>
      </c>
      <c r="S35" s="67">
        <f t="array" ref="S35:U35">_xlfn.LET(_xlpm.d,'페이백 미포함'!$A$2:$K$2061,_xlpm.p,_xlfn.XLOOKUP($B35,참조!$K$2:$K$30,IF(참조!$L$2:$L$30&lt;&gt;"",참조!$L$2:$L$30,참조!$M$2:$M$30),""),_xlpm.n,IF(OR($C35="SK",$C35="SKT"),"SKT",$C35)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5" s="68" t="n">
        <v>24</v>
      </c>
      <c r="U35" s="69" t="n">
        <v>55000</v>
      </c>
      <c r="V35" s="67">
        <f t="array" ref="V35:X35">_xlfn.LET(_xlpm.d,'페이백 미포함'!$A$2:$K$2061,_xlpm.p,_xlfn.XLOOKUP($B35,참조!$K$2:$K$30,IF(참조!$L$2:$L$30&lt;&gt;"",참조!$L$2:$L$30,참조!$M$2:$M$30),""),_xlpm.n,IF(OR($C35="SK",$C35="SKT"),"SKT",$C35)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5" s="68" t="n">
        <v>24</v>
      </c>
      <c r="X35" s="69" t="n">
        <v>57200</v>
      </c>
      <c r="Y35" s="67">
        <f t="array" ref="Y35:AA35">_xlfn.LET(_xlpm.d,'페이백 미포함'!$A$2:$K$2061,_xlpm.p,_xlfn.XLOOKUP($B35,참조!$K$2:$K$30,IF(참조!$L$2:$L$30&lt;&gt;"",참조!$L$2:$L$30,참조!$M$2:$M$30),""),_xlpm.n,IF(OR($C35="SK",$C35="SKT"),"SKT",$C35)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5" s="68" t="n">
        <v>24</v>
      </c>
      <c r="AA35" s="69" t="n">
        <v>62700</v>
      </c>
    </row>
    <row r="36">
      <c r="B36" s="40" t="inlineStr">
        <is>
          <t>시월</t>
        </is>
      </c>
      <c r="C36" s="41" t="inlineStr">
        <is>
          <t>LG U+</t>
        </is>
      </c>
      <c r="D36" s="67">
        <f t="array" ref="D36:F36">_xlfn.LET(_xlpm.d,'페이백 미포함'!$A$2:$K$2061,_xlpm.p,_xlfn.XLOOKUP($B36,참조!$K$2:$K$30,IF(참조!$L$2:$L$30&lt;&gt;"",참조!$L$2:$L$30,참조!$M$2:$M$30),""),_xlpm.n,IF(OR($C36="SK",$C36="SKT"),"SKT",$C36)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6" s="68" t="n">
        <v>7</v>
      </c>
      <c r="F36" s="69" t="n">
        <v>19810</v>
      </c>
      <c r="G36" s="67">
        <f t="array" ref="G36:I36">_xlfn.LET(_xlpm.d,'페이백 미포함'!$A$2:$K$2061,_xlpm.p,_xlfn.XLOOKUP($B36,참조!$K$2:$K$30,IF(참조!$L$2:$L$30&lt;&gt;"",참조!$L$2:$L$30,참조!$M$2:$M$30),""),_xlpm.n,IF(OR($C36="SK",$C36="SKT"),"SKT",$C36)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6" s="68" t="n">
        <v>7</v>
      </c>
      <c r="I36" s="69" t="n">
        <v>28760</v>
      </c>
      <c r="J36" s="67">
        <f t="array" ref="J36:L36">_xlfn.LET(_xlpm.d,'페이백 미포함'!$A$2:$K$2061,_xlpm.p,_xlfn.XLOOKUP($B36,참조!$K$2:$K$30,IF(참조!$L$2:$L$30&lt;&gt;"",참조!$L$2:$L$30,참조!$M$2:$M$30),""),_xlpm.n,IF(OR($C36="SK",$C36="SKT"),"SKT",$C36)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6" s="68" t="n">
        <v>7</v>
      </c>
      <c r="L36" s="69" t="n">
        <v>30750</v>
      </c>
      <c r="M36" s="67">
        <f t="array" ref="M36:O36">_xlfn.LET(_xlpm.d,'페이백 미포함'!$A$2:$K$2061,_xlpm.p,_xlfn.XLOOKUP($B36,참조!$K$2:$K$30,IF(참조!$L$2:$L$30&lt;&gt;"",참조!$L$2:$L$30,참조!$M$2:$M$30),""),_xlpm.n,IF(OR($C36="SK",$C36="SKT"),"SKT",$C36)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6" s="68" t="n">
        <v>7</v>
      </c>
      <c r="O36" s="69" t="n">
        <v>39680</v>
      </c>
      <c r="P36" s="67">
        <f t="array" ref="P36:R36">_xlfn.LET(_xlpm.d,'페이백 미포함'!$A$2:$K$2061,_xlpm.p,_xlfn.XLOOKUP($B36,참조!$K$2:$K$30,IF(참조!$L$2:$L$30&lt;&gt;"",참조!$L$2:$L$30,참조!$M$2:$M$30),""),_xlpm.n,IF(OR($C36="SK",$C36="SKT"),"SKT",$C36)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6" s="68" t="n">
        <v>7</v>
      </c>
      <c r="R36" s="69" t="n">
        <v>46210</v>
      </c>
      <c r="S36" s="67">
        <f t="array" ref="S36">_xlfn.LET(_xlpm.d,'페이백 미포함'!$A$2:$K$2061,_xlpm.p,_xlfn.XLOOKUP($B36,참조!$K$2:$K$30,IF(참조!$L$2:$L$30&lt;&gt;"",참조!$L$2:$L$30,참조!$M$2:$M$30),""),_xlpm.n,IF(OR($C36="SK",$C36="SKT"),"SKT",$C36)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6" s="68" t="n"/>
      <c r="U36" s="69" t="n"/>
      <c r="V36" s="67">
        <f t="array" ref="V36">_xlfn.LET(_xlpm.d,'페이백 미포함'!$A$2:$K$2061,_xlpm.p,_xlfn.XLOOKUP($B36,참조!$K$2:$K$30,IF(참조!$L$2:$L$30&lt;&gt;"",참조!$L$2:$L$30,참조!$M$2:$M$30),""),_xlpm.n,IF(OR($C36="SK",$C36="SKT"),"SKT",$C36)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6" s="68" t="n"/>
      <c r="X36" s="69" t="n"/>
      <c r="Y36" s="67">
        <f t="array" ref="Y36">_xlfn.LET(_xlpm.d,'페이백 미포함'!$A$2:$K$2061,_xlpm.p,_xlfn.XLOOKUP($B36,참조!$K$2:$K$30,IF(참조!$L$2:$L$30&lt;&gt;"",참조!$L$2:$L$30,참조!$M$2:$M$30),""),_xlpm.n,IF(OR($C36="SK",$C36="SKT"),"SKT",$C36)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6" s="68" t="n"/>
      <c r="AA36" s="69" t="n"/>
    </row>
    <row r="37">
      <c r="B37" s="22" t="inlineStr">
        <is>
          <t>핀플레이</t>
        </is>
      </c>
      <c r="C37" s="37" t="inlineStr">
        <is>
          <t>SK</t>
        </is>
      </c>
      <c r="D37" s="59">
        <f t="array" ref="D37:F37">_xlfn.LET(_xlpm.d,'페이백 미포함'!$A$2:$K$2061,_xlpm.p,_xlfn.XLOOKUP($B37,참조!$K$2:$K$30,IF(참조!$L$2:$L$30&lt;&gt;"",참조!$L$2:$L$30,참조!$M$2:$M$30),""),_xlpm.n,IF(OR($C37="SK",$C37="SKT"),"SKT",$C37)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7" s="60" t="n">
        <v>7</v>
      </c>
      <c r="F37" s="61" t="n">
        <v>22000</v>
      </c>
      <c r="G37" s="59">
        <f t="array" ref="G37:I37">_xlfn.LET(_xlpm.d,'페이백 미포함'!$A$2:$K$2061,_xlpm.p,_xlfn.XLOOKUP($B37,참조!$K$2:$K$30,IF(참조!$L$2:$L$30&lt;&gt;"",참조!$L$2:$L$30,참조!$M$2:$M$30),""),_xlpm.n,IF(OR($C37="SK",$C37="SKT"),"SKT",$C37)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7" s="60" t="n">
        <v>7</v>
      </c>
      <c r="I37" s="61" t="n">
        <v>28600</v>
      </c>
      <c r="J37" s="59">
        <f t="array" ref="J37">_xlfn.LET(_xlpm.d,'페이백 미포함'!$A$2:$K$2061,_xlpm.p,_xlfn.XLOOKUP($B37,참조!$K$2:$K$30,IF(참조!$L$2:$L$30&lt;&gt;"",참조!$L$2:$L$30,참조!$M$2:$M$30),""),_xlpm.n,IF(OR($C37="SK",$C37="SKT"),"SKT",$C37)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7" s="60" t="n"/>
      <c r="L37" s="61" t="n"/>
      <c r="M37" s="59">
        <f t="array" ref="M37:O37">_xlfn.LET(_xlpm.d,'페이백 미포함'!$A$2:$K$2061,_xlpm.p,_xlfn.XLOOKUP($B37,참조!$K$2:$K$30,IF(참조!$L$2:$L$30&lt;&gt;"",참조!$L$2:$L$30,참조!$M$2:$M$30),""),_xlpm.n,IF(OR($C37="SK",$C37="SKT"),"SKT",$C37)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7" s="60" t="n">
        <v>7</v>
      </c>
      <c r="O37" s="61" t="n">
        <v>39600</v>
      </c>
      <c r="P37" s="59">
        <f t="array" ref="P37:R37">_xlfn.LET(_xlpm.d,'페이백 미포함'!$A$2:$K$2061,_xlpm.p,_xlfn.XLOOKUP($B37,참조!$K$2:$K$30,IF(참조!$L$2:$L$30&lt;&gt;"",참조!$L$2:$L$30,참조!$M$2:$M$30),""),_xlpm.n,IF(OR($C37="SK",$C37="SKT"),"SKT",$C37)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7" s="60" t="n">
        <v>7</v>
      </c>
      <c r="R37" s="61" t="n">
        <v>42900</v>
      </c>
      <c r="S37" s="59">
        <f t="array" ref="S37">_xlfn.LET(_xlpm.d,'페이백 미포함'!$A$2:$K$2061,_xlpm.p,_xlfn.XLOOKUP($B37,참조!$K$2:$K$30,IF(참조!$L$2:$L$30&lt;&gt;"",참조!$L$2:$L$30,참조!$M$2:$M$30),""),_xlpm.n,IF(OR($C37="SK",$C37="SKT"),"SKT",$C37)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7" s="60" t="n"/>
      <c r="U37" s="61" t="n"/>
      <c r="V37" s="59">
        <f t="array" ref="V37">_xlfn.LET(_xlpm.d,'페이백 미포함'!$A$2:$K$2061,_xlpm.p,_xlfn.XLOOKUP($B37,참조!$K$2:$K$30,IF(참조!$L$2:$L$30&lt;&gt;"",참조!$L$2:$L$30,참조!$M$2:$M$30),""),_xlpm.n,IF(OR($C37="SK",$C37="SKT"),"SKT",$C37)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7" s="60" t="n"/>
      <c r="X37" s="61" t="n"/>
      <c r="Y37" s="59">
        <f t="array" ref="Y37">_xlfn.LET(_xlpm.d,'페이백 미포함'!$A$2:$K$2061,_xlpm.p,_xlfn.XLOOKUP($B37,참조!$K$2:$K$30,IF(참조!$L$2:$L$30&lt;&gt;"",참조!$L$2:$L$30,참조!$M$2:$M$30),""),_xlpm.n,IF(OR($C37="SK",$C37="SKT"),"SKT",$C37)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7" s="60" t="n"/>
      <c r="AA37" s="61" t="n"/>
    </row>
    <row r="38">
      <c r="B38" s="26">
        <f>B37</f>
        <v/>
      </c>
      <c r="C38" s="38" t="inlineStr">
        <is>
          <t>KT</t>
        </is>
      </c>
      <c r="D38" s="62">
        <f t="array" ref="D38:F38">_xlfn.LET(_xlpm.d,'페이백 미포함'!$A$2:$K$2061,_xlpm.p,_xlfn.XLOOKUP($B38,참조!$K$2:$K$30,IF(참조!$L$2:$L$30&lt;&gt;"",참조!$L$2:$L$30,참조!$M$2:$M$30),""),_xlpm.n,IF(OR($C38="SK",$C38="SKT"),"SKT",$C38)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8" s="54" t="n">
        <v>7</v>
      </c>
      <c r="F38" s="63" t="n">
        <v>22000</v>
      </c>
      <c r="G38" s="62">
        <f t="array" ref="G38:I38">_xlfn.LET(_xlpm.d,'페이백 미포함'!$A$2:$K$2061,_xlpm.p,_xlfn.XLOOKUP($B38,참조!$K$2:$K$30,IF(참조!$L$2:$L$30&lt;&gt;"",참조!$L$2:$L$30,참조!$M$2:$M$30),""),_xlpm.n,IF(OR($C38="SK",$C38="SKT"),"SKT",$C38)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8" s="54" t="n">
        <v>7</v>
      </c>
      <c r="I38" s="63" t="n">
        <v>28600</v>
      </c>
      <c r="J38" s="62">
        <f t="array" ref="J38">_xlfn.LET(_xlpm.d,'페이백 미포함'!$A$2:$K$2061,_xlpm.p,_xlfn.XLOOKUP($B38,참조!$K$2:$K$30,IF(참조!$L$2:$L$30&lt;&gt;"",참조!$L$2:$L$30,참조!$M$2:$M$30),""),_xlpm.n,IF(OR($C38="SK",$C38="SKT"),"SKT",$C38)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8" s="54" t="n"/>
      <c r="L38" s="63" t="n"/>
      <c r="M38" s="62">
        <f t="array" ref="M38:O38">_xlfn.LET(_xlpm.d,'페이백 미포함'!$A$2:$K$2061,_xlpm.p,_xlfn.XLOOKUP($B38,참조!$K$2:$K$30,IF(참조!$L$2:$L$30&lt;&gt;"",참조!$L$2:$L$30,참조!$M$2:$M$30),""),_xlpm.n,IF(OR($C38="SK",$C38="SKT"),"SKT",$C38)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8" s="54" t="n">
        <v>7</v>
      </c>
      <c r="O38" s="63" t="n">
        <v>39600</v>
      </c>
      <c r="P38" s="62">
        <f t="array" ref="P38:R38">_xlfn.LET(_xlpm.d,'페이백 미포함'!$A$2:$K$2061,_xlpm.p,_xlfn.XLOOKUP($B38,참조!$K$2:$K$30,IF(참조!$L$2:$L$30&lt;&gt;"",참조!$L$2:$L$30,참조!$M$2:$M$30),""),_xlpm.n,IF(OR($C38="SK",$C38="SKT"),"SKT",$C38)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8" s="54" t="n">
        <v>7</v>
      </c>
      <c r="R38" s="63" t="n">
        <v>42900</v>
      </c>
      <c r="S38" s="62">
        <f t="array" ref="S38">_xlfn.LET(_xlpm.d,'페이백 미포함'!$A$2:$K$2061,_xlpm.p,_xlfn.XLOOKUP($B38,참조!$K$2:$K$30,IF(참조!$L$2:$L$30&lt;&gt;"",참조!$L$2:$L$30,참조!$M$2:$M$30),""),_xlpm.n,IF(OR($C38="SK",$C38="SKT"),"SKT",$C38)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8" s="54" t="n"/>
      <c r="U38" s="63" t="n"/>
      <c r="V38" s="62">
        <f t="array" ref="V38">_xlfn.LET(_xlpm.d,'페이백 미포함'!$A$2:$K$2061,_xlpm.p,_xlfn.XLOOKUP($B38,참조!$K$2:$K$30,IF(참조!$L$2:$L$30&lt;&gt;"",참조!$L$2:$L$30,참조!$M$2:$M$30),""),_xlpm.n,IF(OR($C38="SK",$C38="SKT"),"SKT",$C38)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8" s="54" t="n"/>
      <c r="X38" s="63" t="n"/>
      <c r="Y38" s="62">
        <f t="array" ref="Y38">_xlfn.LET(_xlpm.d,'페이백 미포함'!$A$2:$K$2061,_xlpm.p,_xlfn.XLOOKUP($B38,참조!$K$2:$K$30,IF(참조!$L$2:$L$30&lt;&gt;"",참조!$L$2:$L$30,참조!$M$2:$M$30),""),_xlpm.n,IF(OR($C38="SK",$C38="SKT"),"SKT",$C38)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8" s="54" t="n"/>
      <c r="AA38" s="63" t="n"/>
    </row>
    <row r="39">
      <c r="B39" s="30">
        <f>B38</f>
        <v/>
      </c>
      <c r="C39" s="39" t="inlineStr">
        <is>
          <t>LG U+</t>
        </is>
      </c>
      <c r="D39" s="64">
        <f t="array" ref="D39:F39">_xlfn.LET(_xlpm.d,'페이백 미포함'!$A$2:$K$2061,_xlpm.p,_xlfn.XLOOKUP($B39,참조!$K$2:$K$30,IF(참조!$L$2:$L$30&lt;&gt;"",참조!$L$2:$L$30,참조!$M$2:$M$30),""),_xlpm.n,IF(OR($C39="SK",$C39="SKT"),"SKT",$C39)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39" s="65" t="n">
        <v>7</v>
      </c>
      <c r="F39" s="66" t="n">
        <v>22000</v>
      </c>
      <c r="G39" s="64">
        <f t="array" ref="G39:I39">_xlfn.LET(_xlpm.d,'페이백 미포함'!$A$2:$K$2061,_xlpm.p,_xlfn.XLOOKUP($B39,참조!$K$2:$K$30,IF(참조!$L$2:$L$30&lt;&gt;"",참조!$L$2:$L$30,참조!$M$2:$M$30),""),_xlpm.n,IF(OR($C39="SK",$C39="SKT"),"SKT",$C39)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39" s="65" t="n">
        <v>7</v>
      </c>
      <c r="I39" s="66" t="n">
        <v>31900</v>
      </c>
      <c r="J39" s="64">
        <f t="array" ref="J39">_xlfn.LET(_xlpm.d,'페이백 미포함'!$A$2:$K$2061,_xlpm.p,_xlfn.XLOOKUP($B39,참조!$K$2:$K$30,IF(참조!$L$2:$L$30&lt;&gt;"",참조!$L$2:$L$30,참조!$M$2:$M$30),""),_xlpm.n,IF(OR($C39="SK",$C39="SKT"),"SKT",$C39)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39" s="65" t="n"/>
      <c r="L39" s="66" t="n"/>
      <c r="M39" s="64">
        <f t="array" ref="M39:O39">_xlfn.LET(_xlpm.d,'페이백 미포함'!$A$2:$K$2061,_xlpm.p,_xlfn.XLOOKUP($B39,참조!$K$2:$K$30,IF(참조!$L$2:$L$30&lt;&gt;"",참조!$L$2:$L$30,참조!$M$2:$M$30),""),_xlpm.n,IF(OR($C39="SK",$C39="SKT"),"SKT",$C39)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39" s="65" t="n">
        <v>7</v>
      </c>
      <c r="O39" s="66" t="n">
        <v>39600</v>
      </c>
      <c r="P39" s="64">
        <f t="array" ref="P39:R39">_xlfn.LET(_xlpm.d,'페이백 미포함'!$A$2:$K$2061,_xlpm.p,_xlfn.XLOOKUP($B39,참조!$K$2:$K$30,IF(참조!$L$2:$L$30&lt;&gt;"",참조!$L$2:$L$30,참조!$M$2:$M$30),""),_xlpm.n,IF(OR($C39="SK",$C39="SKT"),"SKT",$C39)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39" s="65" t="n">
        <v>7</v>
      </c>
      <c r="R39" s="66" t="n">
        <v>44000</v>
      </c>
      <c r="S39" s="64">
        <f t="array" ref="S39:U39">_xlfn.LET(_xlpm.d,'페이백 미포함'!$A$2:$K$2061,_xlpm.p,_xlfn.XLOOKUP($B39,참조!$K$2:$K$30,IF(참조!$L$2:$L$30&lt;&gt;"",참조!$L$2:$L$30,참조!$M$2:$M$30),""),_xlpm.n,IF(OR($C39="SK",$C39="SKT"),"SKT",$C39)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39" s="65" t="n">
        <v>7</v>
      </c>
      <c r="U39" s="66" t="n">
        <v>45100</v>
      </c>
      <c r="V39" s="64">
        <f t="array" ref="V39:X39">_xlfn.LET(_xlpm.d,'페이백 미포함'!$A$2:$K$2061,_xlpm.p,_xlfn.XLOOKUP($B39,참조!$K$2:$K$30,IF(참조!$L$2:$L$30&lt;&gt;"",참조!$L$2:$L$30,참조!$M$2:$M$30),""),_xlpm.n,IF(OR($C39="SK",$C39="SKT"),"SKT",$C39)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39" s="65" t="n">
        <v>7</v>
      </c>
      <c r="X39" s="66" t="n">
        <v>46200</v>
      </c>
      <c r="Y39" s="64">
        <f t="array" ref="Y39:AA39">_xlfn.LET(_xlpm.d,'페이백 미포함'!$A$2:$K$2061,_xlpm.p,_xlfn.XLOOKUP($B39,참조!$K$2:$K$30,IF(참조!$L$2:$L$30&lt;&gt;"",참조!$L$2:$L$30,참조!$M$2:$M$30),""),_xlpm.n,IF(OR($C39="SK",$C39="SKT"),"SKT",$C39)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39" s="65" t="n">
        <v>7</v>
      </c>
      <c r="AA39" s="66" t="n">
        <v>51700</v>
      </c>
    </row>
    <row r="40">
      <c r="B40" s="22" t="inlineStr">
        <is>
          <t>토스모바일</t>
        </is>
      </c>
      <c r="C40" s="37" t="inlineStr">
        <is>
          <t>SKT</t>
        </is>
      </c>
      <c r="D40" s="59">
        <f t="array" ref="D40:F40">_xlfn.LET(_xlpm.d,'페이백 미포함'!$A$2:$K$2061,_xlpm.p,_xlfn.XLOOKUP($B40,참조!$K$2:$K$30,IF(참조!$L$2:$L$30&lt;&gt;"",참조!$L$2:$L$30,참조!$M$2:$M$30),""),_xlpm.n,IF(OR($C40="SK",$C40="SKT"),"SKT",$C40)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0" s="60" t="n">
        <v>7</v>
      </c>
      <c r="F40" s="61" t="n">
        <v>24800</v>
      </c>
      <c r="G40" s="59">
        <f t="array" ref="G40:I40">_xlfn.LET(_xlpm.d,'페이백 미포함'!$A$2:$K$2061,_xlpm.p,_xlfn.XLOOKUP($B40,참조!$K$2:$K$30,IF(참조!$L$2:$L$30&lt;&gt;"",참조!$L$2:$L$30,참조!$M$2:$M$30),""),_xlpm.n,IF(OR($C40="SK",$C40="SKT"),"SKT",$C40)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0" s="60" t="n">
        <v>7</v>
      </c>
      <c r="I40" s="61" t="n">
        <v>35800</v>
      </c>
      <c r="J40" s="59">
        <f t="array" ref="J40">_xlfn.LET(_xlpm.d,'페이백 미포함'!$A$2:$K$2061,_xlpm.p,_xlfn.XLOOKUP($B40,참조!$K$2:$K$30,IF(참조!$L$2:$L$30&lt;&gt;"",참조!$L$2:$L$30,참조!$M$2:$M$30),""),_xlpm.n,IF(OR($C40="SK",$C40="SKT"),"SKT",$C40)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0" s="60" t="n"/>
      <c r="L40" s="61" t="n"/>
      <c r="M40" s="59">
        <f t="array" ref="M40">_xlfn.LET(_xlpm.d,'페이백 미포함'!$A$2:$K$2061,_xlpm.p,_xlfn.XLOOKUP($B40,참조!$K$2:$K$30,IF(참조!$L$2:$L$30&lt;&gt;"",참조!$L$2:$L$30,참조!$M$2:$M$30),""),_xlpm.n,IF(OR($C40="SK",$C40="SKT"),"SKT",$C40)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0" s="60" t="n"/>
      <c r="O40" s="61" t="n"/>
      <c r="P40" s="59">
        <f t="array" ref="P40">_xlfn.LET(_xlpm.d,'페이백 미포함'!$A$2:$K$2061,_xlpm.p,_xlfn.XLOOKUP($B40,참조!$K$2:$K$30,IF(참조!$L$2:$L$30&lt;&gt;"",참조!$L$2:$L$30,참조!$M$2:$M$30),""),_xlpm.n,IF(OR($C40="SK",$C40="SKT"),"SKT",$C40)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0" s="60" t="n"/>
      <c r="R40" s="61" t="n"/>
      <c r="S40" s="59">
        <f t="array" ref="S40">_xlfn.LET(_xlpm.d,'페이백 미포함'!$A$2:$K$2061,_xlpm.p,_xlfn.XLOOKUP($B40,참조!$K$2:$K$30,IF(참조!$L$2:$L$30&lt;&gt;"",참조!$L$2:$L$30,참조!$M$2:$M$30),""),_xlpm.n,IF(OR($C40="SK",$C40="SKT"),"SKT",$C40)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0" s="60" t="n"/>
      <c r="U40" s="61" t="n"/>
      <c r="V40" s="59">
        <f t="array" ref="V40">_xlfn.LET(_xlpm.d,'페이백 미포함'!$A$2:$K$2061,_xlpm.p,_xlfn.XLOOKUP($B40,참조!$K$2:$K$30,IF(참조!$L$2:$L$30&lt;&gt;"",참조!$L$2:$L$30,참조!$M$2:$M$30),""),_xlpm.n,IF(OR($C40="SK",$C40="SKT"),"SKT",$C40)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0" s="60" t="n"/>
      <c r="X40" s="61" t="n"/>
      <c r="Y40" s="59">
        <f t="array" ref="Y40">_xlfn.LET(_xlpm.d,'페이백 미포함'!$A$2:$K$2061,_xlpm.p,_xlfn.XLOOKUP($B40,참조!$K$2:$K$30,IF(참조!$L$2:$L$30&lt;&gt;"",참조!$L$2:$L$30,참조!$M$2:$M$30),""),_xlpm.n,IF(OR($C40="SK",$C40="SKT"),"SKT",$C40)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0" s="60" t="n"/>
      <c r="AA40" s="61" t="n"/>
    </row>
    <row r="41">
      <c r="B41" s="26" t="inlineStr">
        <is>
          <t>토스모바일</t>
        </is>
      </c>
      <c r="C41" s="38" t="inlineStr">
        <is>
          <t>KT</t>
        </is>
      </c>
      <c r="D41" s="62">
        <f t="array" ref="D41">_xlfn.LET(_xlpm.d,'페이백 미포함'!$A$2:$K$2061,_xlpm.p,_xlfn.XLOOKUP($B41,참조!$K$2:$K$30,IF(참조!$L$2:$L$30&lt;&gt;"",참조!$L$2:$L$30,참조!$M$2:$M$30),""),_xlpm.n,IF(OR($C41="SK",$C41="SKT"),"SKT",$C41)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1" s="54" t="n"/>
      <c r="F41" s="63" t="n"/>
      <c r="G41" s="62">
        <f t="array" ref="G41">_xlfn.LET(_xlpm.d,'페이백 미포함'!$A$2:$K$2061,_xlpm.p,_xlfn.XLOOKUP($B41,참조!$K$2:$K$30,IF(참조!$L$2:$L$30&lt;&gt;"",참조!$L$2:$L$30,참조!$M$2:$M$30),""),_xlpm.n,IF(OR($C41="SK",$C41="SKT"),"SKT",$C41)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1" s="54" t="n"/>
      <c r="I41" s="63" t="n"/>
      <c r="J41" s="62">
        <f t="array" ref="J41">_xlfn.LET(_xlpm.d,'페이백 미포함'!$A$2:$K$2061,_xlpm.p,_xlfn.XLOOKUP($B41,참조!$K$2:$K$30,IF(참조!$L$2:$L$30&lt;&gt;"",참조!$L$2:$L$30,참조!$M$2:$M$30),""),_xlpm.n,IF(OR($C41="SK",$C41="SKT"),"SKT",$C41)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1" s="54" t="n"/>
      <c r="L41" s="63" t="n"/>
      <c r="M41" s="62">
        <f t="array" ref="M41:O41">_xlfn.LET(_xlpm.d,'페이백 미포함'!$A$2:$K$2061,_xlpm.p,_xlfn.XLOOKUP($B41,참조!$K$2:$K$30,IF(참조!$L$2:$L$30&lt;&gt;"",참조!$L$2:$L$30,참조!$M$2:$M$30),""),_xlpm.n,IF(OR($C41="SK",$C41="SKT"),"SKT",$C41)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1" s="54" t="n">
        <v>12</v>
      </c>
      <c r="O41" s="63" t="n">
        <v>46200</v>
      </c>
      <c r="P41" s="62">
        <f t="array" ref="P41">_xlfn.LET(_xlpm.d,'페이백 미포함'!$A$2:$K$2061,_xlpm.p,_xlfn.XLOOKUP($B41,참조!$K$2:$K$30,IF(참조!$L$2:$L$30&lt;&gt;"",참조!$L$2:$L$30,참조!$M$2:$M$30),""),_xlpm.n,IF(OR($C41="SK",$C41="SKT"),"SKT",$C41)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1" s="54" t="n"/>
      <c r="R41" s="63" t="n"/>
      <c r="S41" s="62">
        <f t="array" ref="S41">_xlfn.LET(_xlpm.d,'페이백 미포함'!$A$2:$K$2061,_xlpm.p,_xlfn.XLOOKUP($B41,참조!$K$2:$K$30,IF(참조!$L$2:$L$30&lt;&gt;"",참조!$L$2:$L$30,참조!$M$2:$M$30),""),_xlpm.n,IF(OR($C41="SK",$C41="SKT"),"SKT",$C41)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1" s="54" t="n"/>
      <c r="U41" s="63" t="n"/>
      <c r="V41" s="62">
        <f t="array" ref="V41">_xlfn.LET(_xlpm.d,'페이백 미포함'!$A$2:$K$2061,_xlpm.p,_xlfn.XLOOKUP($B41,참조!$K$2:$K$30,IF(참조!$L$2:$L$30&lt;&gt;"",참조!$L$2:$L$30,참조!$M$2:$M$30),""),_xlpm.n,IF(OR($C41="SK",$C41="SKT"),"SKT",$C41)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1" s="54" t="n"/>
      <c r="X41" s="63" t="n"/>
      <c r="Y41" s="62">
        <f t="array" ref="Y41">_xlfn.LET(_xlpm.d,'페이백 미포함'!$A$2:$K$2061,_xlpm.p,_xlfn.XLOOKUP($B41,참조!$K$2:$K$30,IF(참조!$L$2:$L$30&lt;&gt;"",참조!$L$2:$L$30,참조!$M$2:$M$30),""),_xlpm.n,IF(OR($C41="SK",$C41="SKT"),"SKT",$C41)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1" s="54" t="n"/>
      <c r="AA41" s="63" t="n"/>
    </row>
    <row r="42">
      <c r="B42" s="30" t="inlineStr">
        <is>
          <t>토스모바일</t>
        </is>
      </c>
      <c r="C42" s="39" t="inlineStr">
        <is>
          <t>LG U+</t>
        </is>
      </c>
      <c r="D42" s="64">
        <f t="array" ref="D42:F42">_xlfn.LET(_xlpm.d,'페이백 미포함'!$A$2:$K$2061,_xlpm.p,_xlfn.XLOOKUP($B42,참조!$K$2:$K$30,IF(참조!$L$2:$L$30&lt;&gt;"",참조!$L$2:$L$30,참조!$M$2:$M$30),""),_xlpm.n,IF(OR($C42="SK",$C42="SKT"),"SKT",$C42)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2" s="65" t="n">
        <v>7</v>
      </c>
      <c r="F42" s="66" t="n">
        <v>20800</v>
      </c>
      <c r="G42" s="64">
        <f t="array" ref="G42:I42">_xlfn.LET(_xlpm.d,'페이백 미포함'!$A$2:$K$2061,_xlpm.p,_xlfn.XLOOKUP($B42,참조!$K$2:$K$30,IF(참조!$L$2:$L$30&lt;&gt;"",참조!$L$2:$L$30,참조!$M$2:$M$30),""),_xlpm.n,IF(OR($C42="SK",$C42="SKT"),"SKT",$C42)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2" s="65" t="n">
        <v>7</v>
      </c>
      <c r="I42" s="66" t="n">
        <v>30800</v>
      </c>
      <c r="J42" s="64">
        <f t="array" ref="J42">_xlfn.LET(_xlpm.d,'페이백 미포함'!$A$2:$K$2061,_xlpm.p,_xlfn.XLOOKUP($B42,참조!$K$2:$K$30,IF(참조!$L$2:$L$30&lt;&gt;"",참조!$L$2:$L$30,참조!$M$2:$M$30),""),_xlpm.n,IF(OR($C42="SK",$C42="SKT"),"SKT",$C42)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2" s="65" t="n"/>
      <c r="L42" s="66" t="n"/>
      <c r="M42" s="64">
        <f t="array" ref="M42:O42">_xlfn.LET(_xlpm.d,'페이백 미포함'!$A$2:$K$2061,_xlpm.p,_xlfn.XLOOKUP($B42,참조!$K$2:$K$30,IF(참조!$L$2:$L$30&lt;&gt;"",참조!$L$2:$L$30,참조!$M$2:$M$30),""),_xlpm.n,IF(OR($C42="SK",$C42="SKT"),"SKT",$C42)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2" s="65" t="n">
        <v>7</v>
      </c>
      <c r="O42" s="66" t="n">
        <v>38800</v>
      </c>
      <c r="P42" s="64">
        <f t="array" ref="P42:R42">_xlfn.LET(_xlpm.d,'페이백 미포함'!$A$2:$K$2061,_xlpm.p,_xlfn.XLOOKUP($B42,참조!$K$2:$K$30,IF(참조!$L$2:$L$30&lt;&gt;"",참조!$L$2:$L$30,참조!$M$2:$M$30),""),_xlpm.n,IF(OR($C42="SK",$C42="SKT"),"SKT",$C42)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2" s="65" t="n">
        <v>7</v>
      </c>
      <c r="R42" s="66" t="n">
        <v>43800</v>
      </c>
      <c r="S42" s="64">
        <f t="array" ref="S42">_xlfn.LET(_xlpm.d,'페이백 미포함'!$A$2:$K$2061,_xlpm.p,_xlfn.XLOOKUP($B42,참조!$K$2:$K$30,IF(참조!$L$2:$L$30&lt;&gt;"",참조!$L$2:$L$30,참조!$M$2:$M$30),""),_xlpm.n,IF(OR($C42="SK",$C42="SKT"),"SKT",$C42)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2" s="65" t="n"/>
      <c r="U42" s="66" t="n"/>
      <c r="V42" s="64">
        <f t="array" ref="V42">_xlfn.LET(_xlpm.d,'페이백 미포함'!$A$2:$K$2061,_xlpm.p,_xlfn.XLOOKUP($B42,참조!$K$2:$K$30,IF(참조!$L$2:$L$30&lt;&gt;"",참조!$L$2:$L$30,참조!$M$2:$M$30),""),_xlpm.n,IF(OR($C42="SK",$C42="SKT"),"SKT",$C42)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2" s="65" t="n"/>
      <c r="X42" s="66" t="n"/>
      <c r="Y42" s="64">
        <f t="array" ref="Y42">_xlfn.LET(_xlpm.d,'페이백 미포함'!$A$2:$K$2061,_xlpm.p,_xlfn.XLOOKUP($B42,참조!$K$2:$K$30,IF(참조!$L$2:$L$30&lt;&gt;"",참조!$L$2:$L$30,참조!$M$2:$M$30),""),_xlpm.n,IF(OR($C42="SK",$C42="SKT"),"SKT",$C42)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2" s="65" t="n"/>
      <c r="AA42" s="66" t="n"/>
    </row>
    <row r="43">
      <c r="B43" s="40" t="inlineStr">
        <is>
          <t>쉐이크모바일</t>
        </is>
      </c>
      <c r="C43" s="41" t="inlineStr">
        <is>
          <t>KT</t>
        </is>
      </c>
      <c r="D43" s="67">
        <f t="array" ref="D43:F43">_xlfn.LET(_xlpm.d,'페이백 미포함'!$A$2:$K$2061,_xlpm.p,_xlfn.XLOOKUP($B43,참조!$K$2:$K$30,IF(참조!$L$2:$L$30&lt;&gt;"",참조!$L$2:$L$30,참조!$M$2:$M$30),""),_xlpm.n,IF(OR($C43="SK",$C43="SKT"),"SKT",$C43)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3" s="68" t="n">
        <v>7</v>
      </c>
      <c r="F43" s="69" t="n">
        <v>18700</v>
      </c>
      <c r="G43" s="67">
        <f t="array" ref="G43:I43">_xlfn.LET(_xlpm.d,'페이백 미포함'!$A$2:$K$2061,_xlpm.p,_xlfn.XLOOKUP($B43,참조!$K$2:$K$30,IF(참조!$L$2:$L$30&lt;&gt;"",참조!$L$2:$L$30,참조!$M$2:$M$30),""),_xlpm.n,IF(OR($C43="SK",$C43="SKT"),"SKT",$C43)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3" s="68" t="n">
        <v>7</v>
      </c>
      <c r="I43" s="69" t="n">
        <v>33000</v>
      </c>
      <c r="J43" s="67">
        <f t="array" ref="J43:L43">_xlfn.LET(_xlpm.d,'페이백 미포함'!$A$2:$K$2061,_xlpm.p,_xlfn.XLOOKUP($B43,참조!$K$2:$K$30,IF(참조!$L$2:$L$30&lt;&gt;"",참조!$L$2:$L$30,참조!$M$2:$M$30),""),_xlpm.n,IF(OR($C43="SK",$C43="SKT"),"SKT",$C43)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3" s="68" t="n">
        <v>7</v>
      </c>
      <c r="L43" s="69" t="n">
        <v>34100</v>
      </c>
      <c r="M43" s="67">
        <f t="array" ref="M43:O43">_xlfn.LET(_xlpm.d,'페이백 미포함'!$A$2:$K$2061,_xlpm.p,_xlfn.XLOOKUP($B43,참조!$K$2:$K$30,IF(참조!$L$2:$L$30&lt;&gt;"",참조!$L$2:$L$30,참조!$M$2:$M$30),""),_xlpm.n,IF(OR($C43="SK",$C43="SKT"),"SKT",$C43)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3" s="68" t="n">
        <v>7</v>
      </c>
      <c r="O43" s="69" t="n">
        <v>40700</v>
      </c>
      <c r="P43" s="67">
        <f t="array" ref="P43:R43">_xlfn.LET(_xlpm.d,'페이백 미포함'!$A$2:$K$2061,_xlpm.p,_xlfn.XLOOKUP($B43,참조!$K$2:$K$30,IF(참조!$L$2:$L$30&lt;&gt;"",참조!$L$2:$L$30,참조!$M$2:$M$30),""),_xlpm.n,IF(OR($C43="SK",$C43="SKT"),"SKT",$C43)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3" s="68" t="n">
        <v>7</v>
      </c>
      <c r="R43" s="69" t="n">
        <v>45100</v>
      </c>
      <c r="S43" s="67">
        <f t="array" ref="S43">_xlfn.LET(_xlpm.d,'페이백 미포함'!$A$2:$K$2061,_xlpm.p,_xlfn.XLOOKUP($B43,참조!$K$2:$K$30,IF(참조!$L$2:$L$30&lt;&gt;"",참조!$L$2:$L$30,참조!$M$2:$M$30),""),_xlpm.n,IF(OR($C43="SK",$C43="SKT"),"SKT",$C43)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3" s="68" t="n"/>
      <c r="U43" s="69" t="n"/>
      <c r="V43" s="67">
        <f t="array" ref="V43">_xlfn.LET(_xlpm.d,'페이백 미포함'!$A$2:$K$2061,_xlpm.p,_xlfn.XLOOKUP($B43,참조!$K$2:$K$30,IF(참조!$L$2:$L$30&lt;&gt;"",참조!$L$2:$L$30,참조!$M$2:$M$30),""),_xlpm.n,IF(OR($C43="SK",$C43="SKT"),"SKT",$C43)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3" s="68" t="n"/>
      <c r="X43" s="69" t="n"/>
      <c r="Y43" s="67">
        <f t="array" ref="Y43">_xlfn.LET(_xlpm.d,'페이백 미포함'!$A$2:$K$2061,_xlpm.p,_xlfn.XLOOKUP($B43,참조!$K$2:$K$30,IF(참조!$L$2:$L$30&lt;&gt;"",참조!$L$2:$L$30,참조!$M$2:$M$30),""),_xlpm.n,IF(OR($C43="SK",$C43="SKT"),"SKT",$C43)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3" s="68" t="n"/>
      <c r="AA43" s="69" t="n"/>
    </row>
    <row r="44">
      <c r="B44" s="22" t="inlineStr">
        <is>
          <t>고고모바일</t>
        </is>
      </c>
      <c r="C44" s="37" t="inlineStr">
        <is>
          <t>SK</t>
        </is>
      </c>
      <c r="D44" s="59">
        <f t="array" ref="D44:F44">_xlfn.LET(_xlpm.d,'페이백 미포함'!$A$2:$K$2061,_xlpm.p,_xlfn.XLOOKUP($B44,참조!$K$2:$K$30,IF(참조!$L$2:$L$30&lt;&gt;"",참조!$L$2:$L$30,참조!$M$2:$M$30),""),_xlpm.n,IF(OR($C44="SK",$C44="SKT"),"SKT",$C44)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4" s="60" t="n">
        <v>7</v>
      </c>
      <c r="F44" s="61" t="n">
        <v>23100</v>
      </c>
      <c r="G44" s="59">
        <f t="array" ref="G44:I44">_xlfn.LET(_xlpm.d,'페이백 미포함'!$A$2:$K$2061,_xlpm.p,_xlfn.XLOOKUP($B44,참조!$K$2:$K$30,IF(참조!$L$2:$L$30&lt;&gt;"",참조!$L$2:$L$30,참조!$M$2:$M$30),""),_xlpm.n,IF(OR($C44="SK",$C44="SKT"),"SKT",$C44)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4" s="60" t="n">
        <v>7</v>
      </c>
      <c r="I44" s="61" t="n">
        <v>30800</v>
      </c>
      <c r="J44" s="59">
        <f t="array" ref="J44:L44">_xlfn.LET(_xlpm.d,'페이백 미포함'!$A$2:$K$2061,_xlpm.p,_xlfn.XLOOKUP($B44,참조!$K$2:$K$30,IF(참조!$L$2:$L$30&lt;&gt;"",참조!$L$2:$L$30,참조!$M$2:$M$30),""),_xlpm.n,IF(OR($C44="SK",$C44="SKT"),"SKT",$C44)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4" s="60" t="n">
        <v>7</v>
      </c>
      <c r="L44" s="61" t="n">
        <v>35200</v>
      </c>
      <c r="M44" s="59">
        <f t="array" ref="M44:O44">_xlfn.LET(_xlpm.d,'페이백 미포함'!$A$2:$K$2061,_xlpm.p,_xlfn.XLOOKUP($B44,참조!$K$2:$K$30,IF(참조!$L$2:$L$30&lt;&gt;"",참조!$L$2:$L$30,참조!$M$2:$M$30),""),_xlpm.n,IF(OR($C44="SK",$C44="SKT"),"SKT",$C44)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4" s="60" t="n">
        <v>7</v>
      </c>
      <c r="O44" s="61" t="n">
        <v>38500</v>
      </c>
      <c r="P44" s="59">
        <f t="array" ref="P44:R44">_xlfn.LET(_xlpm.d,'페이백 미포함'!$A$2:$K$2061,_xlpm.p,_xlfn.XLOOKUP($B44,참조!$K$2:$K$30,IF(참조!$L$2:$L$30&lt;&gt;"",참조!$L$2:$L$30,참조!$M$2:$M$30),""),_xlpm.n,IF(OR($C44="SK",$C44="SKT"),"SKT",$C44)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4" s="60" t="n">
        <v>7</v>
      </c>
      <c r="R44" s="61" t="n">
        <v>47300</v>
      </c>
      <c r="S44" s="59">
        <f t="array" ref="S44">_xlfn.LET(_xlpm.d,'페이백 미포함'!$A$2:$K$2061,_xlpm.p,_xlfn.XLOOKUP($B44,참조!$K$2:$K$30,IF(참조!$L$2:$L$30&lt;&gt;"",참조!$L$2:$L$30,참조!$M$2:$M$30),""),_xlpm.n,IF(OR($C44="SK",$C44="SKT"),"SKT",$C44)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4" s="60" t="n"/>
      <c r="U44" s="61" t="n"/>
      <c r="V44" s="59">
        <f t="array" ref="V44">_xlfn.LET(_xlpm.d,'페이백 미포함'!$A$2:$K$2061,_xlpm.p,_xlfn.XLOOKUP($B44,참조!$K$2:$K$30,IF(참조!$L$2:$L$30&lt;&gt;"",참조!$L$2:$L$30,참조!$M$2:$M$30),""),_xlpm.n,IF(OR($C44="SK",$C44="SKT"),"SKT",$C44)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4" s="60" t="n"/>
      <c r="X44" s="61" t="n"/>
      <c r="Y44" s="59">
        <f t="array" ref="Y44">_xlfn.LET(_xlpm.d,'페이백 미포함'!$A$2:$K$2061,_xlpm.p,_xlfn.XLOOKUP($B44,참조!$K$2:$K$30,IF(참조!$L$2:$L$30&lt;&gt;"",참조!$L$2:$L$30,참조!$M$2:$M$30),""),_xlpm.n,IF(OR($C44="SK",$C44="SKT"),"SKT",$C44)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4" s="60" t="n"/>
      <c r="AA44" s="61" t="n"/>
    </row>
    <row r="45">
      <c r="B45" s="30">
        <f>B44</f>
        <v/>
      </c>
      <c r="C45" s="39" t="inlineStr">
        <is>
          <t>KT</t>
        </is>
      </c>
      <c r="D45" s="64">
        <f t="array" ref="D45:F45">_xlfn.LET(_xlpm.d,'페이백 미포함'!$A$2:$K$2061,_xlpm.p,_xlfn.XLOOKUP($B45,참조!$K$2:$K$30,IF(참조!$L$2:$L$30&lt;&gt;"",참조!$L$2:$L$30,참조!$M$2:$M$30),""),_xlpm.n,IF(OR($C45="SK",$C45="SKT"),"SKT",$C45)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5" s="65" t="n">
        <v>7</v>
      </c>
      <c r="F45" s="66" t="n">
        <v>20900</v>
      </c>
      <c r="G45" s="64">
        <f t="array" ref="G45:I45">_xlfn.LET(_xlpm.d,'페이백 미포함'!$A$2:$K$2061,_xlpm.p,_xlfn.XLOOKUP($B45,참조!$K$2:$K$30,IF(참조!$L$2:$L$30&lt;&gt;"",참조!$L$2:$L$30,참조!$M$2:$M$30),""),_xlpm.n,IF(OR($C45="SK",$C45="SKT"),"SKT",$C45)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5" s="65" t="n">
        <v>7</v>
      </c>
      <c r="I45" s="66" t="n">
        <v>29700</v>
      </c>
      <c r="J45" s="64">
        <f t="array" ref="J45:L45">_xlfn.LET(_xlpm.d,'페이백 미포함'!$A$2:$K$2061,_xlpm.p,_xlfn.XLOOKUP($B45,참조!$K$2:$K$30,IF(참조!$L$2:$L$30&lt;&gt;"",참조!$L$2:$L$30,참조!$M$2:$M$30),""),_xlpm.n,IF(OR($C45="SK",$C45="SKT"),"SKT",$C45)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5" s="65" t="n">
        <v>7</v>
      </c>
      <c r="L45" s="66" t="n">
        <v>33000</v>
      </c>
      <c r="M45" s="64">
        <f t="array" ref="M45:O45">_xlfn.LET(_xlpm.d,'페이백 미포함'!$A$2:$K$2061,_xlpm.p,_xlfn.XLOOKUP($B45,참조!$K$2:$K$30,IF(참조!$L$2:$L$30&lt;&gt;"",참조!$L$2:$L$30,참조!$M$2:$M$30),""),_xlpm.n,IF(OR($C45="SK",$C45="SKT"),"SKT",$C45)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5" s="65" t="n">
        <v>7</v>
      </c>
      <c r="O45" s="66" t="n">
        <v>38500</v>
      </c>
      <c r="P45" s="64">
        <f t="array" ref="P45:R45">_xlfn.LET(_xlpm.d,'페이백 미포함'!$A$2:$K$2061,_xlpm.p,_xlfn.XLOOKUP($B45,참조!$K$2:$K$30,IF(참조!$L$2:$L$30&lt;&gt;"",참조!$L$2:$L$30,참조!$M$2:$M$30),""),_xlpm.n,IF(OR($C45="SK",$C45="SKT"),"SKT",$C45)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5" s="65" t="n">
        <v>7</v>
      </c>
      <c r="R45" s="66" t="n">
        <v>43450</v>
      </c>
      <c r="S45" s="64">
        <f t="array" ref="S45">_xlfn.LET(_xlpm.d,'페이백 미포함'!$A$2:$K$2061,_xlpm.p,_xlfn.XLOOKUP($B45,참조!$K$2:$K$30,IF(참조!$L$2:$L$30&lt;&gt;"",참조!$L$2:$L$30,참조!$M$2:$M$30),""),_xlpm.n,IF(OR($C45="SK",$C45="SKT"),"SKT",$C45)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5" s="65" t="n"/>
      <c r="U45" s="66" t="n"/>
      <c r="V45" s="64">
        <f t="array" ref="V45">_xlfn.LET(_xlpm.d,'페이백 미포함'!$A$2:$K$2061,_xlpm.p,_xlfn.XLOOKUP($B45,참조!$K$2:$K$30,IF(참조!$L$2:$L$30&lt;&gt;"",참조!$L$2:$L$30,참조!$M$2:$M$30),""),_xlpm.n,IF(OR($C45="SK",$C45="SKT"),"SKT",$C45)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5" s="65" t="n"/>
      <c r="X45" s="66" t="n"/>
      <c r="Y45" s="64">
        <f t="array" ref="Y45">_xlfn.LET(_xlpm.d,'페이백 미포함'!$A$2:$K$2061,_xlpm.p,_xlfn.XLOOKUP($B45,참조!$K$2:$K$30,IF(참조!$L$2:$L$30&lt;&gt;"",참조!$L$2:$L$30,참조!$M$2:$M$30),""),_xlpm.n,IF(OR($C45="SK",$C45="SKT"),"SKT",$C45)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5" s="65" t="n"/>
      <c r="AA45" s="66" t="n"/>
    </row>
    <row r="46">
      <c r="B46" s="40" t="inlineStr">
        <is>
          <t>더원모바일</t>
        </is>
      </c>
      <c r="C46" s="41" t="inlineStr">
        <is>
          <t>KT</t>
        </is>
      </c>
      <c r="D46" s="67">
        <f t="array" ref="D46:F46">_xlfn.LET(_xlpm.d,'페이백 미포함'!$A$2:$K$2061,_xlpm.p,_xlfn.XLOOKUP($B46,참조!$K$2:$K$30,IF(참조!$L$2:$L$30&lt;&gt;"",참조!$L$2:$L$30,참조!$M$2:$M$30),""),_xlpm.n,IF(OR($C46="SK",$C46="SKT"),"SKT",$C46)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6" s="68" t="n">
        <v>7</v>
      </c>
      <c r="F46" s="69" t="n">
        <v>22000</v>
      </c>
      <c r="G46" s="67">
        <f t="array" ref="G46:I46">_xlfn.LET(_xlpm.d,'페이백 미포함'!$A$2:$K$2061,_xlpm.p,_xlfn.XLOOKUP($B46,참조!$K$2:$K$30,IF(참조!$L$2:$L$30&lt;&gt;"",참조!$L$2:$L$30,참조!$M$2:$M$30),""),_xlpm.n,IF(OR($C46="SK",$C46="SKT"),"SKT",$C46)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6" s="68" t="n">
        <v>7</v>
      </c>
      <c r="I46" s="69" t="n">
        <v>33000</v>
      </c>
      <c r="J46" s="67">
        <f t="array" ref="J46:L46">_xlfn.LET(_xlpm.d,'페이백 미포함'!$A$2:$K$2061,_xlpm.p,_xlfn.XLOOKUP($B46,참조!$K$2:$K$30,IF(참조!$L$2:$L$30&lt;&gt;"",참조!$L$2:$L$30,참조!$M$2:$M$30),""),_xlpm.n,IF(OR($C46="SK",$C46="SKT"),"SKT",$C46)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6" s="68" t="n">
        <v>7</v>
      </c>
      <c r="L46" s="69" t="n">
        <v>37400</v>
      </c>
      <c r="M46" s="67">
        <f t="array" ref="M46:O46">_xlfn.LET(_xlpm.d,'페이백 미포함'!$A$2:$K$2061,_xlpm.p,_xlfn.XLOOKUP($B46,참조!$K$2:$K$30,IF(참조!$L$2:$L$30&lt;&gt;"",참조!$L$2:$L$30,참조!$M$2:$M$30),""),_xlpm.n,IF(OR($C46="SK",$C46="SKT"),"SKT",$C46)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6" s="68" t="n">
        <v>7</v>
      </c>
      <c r="O46" s="69" t="n">
        <v>38500</v>
      </c>
      <c r="P46" s="67">
        <f t="array" ref="P46:R46">_xlfn.LET(_xlpm.d,'페이백 미포함'!$A$2:$K$2061,_xlpm.p,_xlfn.XLOOKUP($B46,참조!$K$2:$K$30,IF(참조!$L$2:$L$30&lt;&gt;"",참조!$L$2:$L$30,참조!$M$2:$M$30),""),_xlpm.n,IF(OR($C46="SK",$C46="SKT"),"SKT",$C46)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6" s="68" t="n">
        <v>7</v>
      </c>
      <c r="R46" s="69" t="n">
        <v>46200</v>
      </c>
      <c r="S46" s="67">
        <f t="array" ref="S46">_xlfn.LET(_xlpm.d,'페이백 미포함'!$A$2:$K$2061,_xlpm.p,_xlfn.XLOOKUP($B46,참조!$K$2:$K$30,IF(참조!$L$2:$L$30&lt;&gt;"",참조!$L$2:$L$30,참조!$M$2:$M$30),""),_xlpm.n,IF(OR($C46="SK",$C46="SKT"),"SKT",$C46)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6" s="68" t="n"/>
      <c r="U46" s="69" t="n"/>
      <c r="V46" s="67">
        <f t="array" ref="V46">_xlfn.LET(_xlpm.d,'페이백 미포함'!$A$2:$K$2061,_xlpm.p,_xlfn.XLOOKUP($B46,참조!$K$2:$K$30,IF(참조!$L$2:$L$30&lt;&gt;"",참조!$L$2:$L$30,참조!$M$2:$M$30),""),_xlpm.n,IF(OR($C46="SK",$C46="SKT"),"SKT",$C46)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6" s="68" t="n"/>
      <c r="X46" s="69" t="n"/>
      <c r="Y46" s="67">
        <f t="array" ref="Y46">_xlfn.LET(_xlpm.d,'페이백 미포함'!$A$2:$K$2061,_xlpm.p,_xlfn.XLOOKUP($B46,참조!$K$2:$K$30,IF(참조!$L$2:$L$30&lt;&gt;"",참조!$L$2:$L$30,참조!$M$2:$M$30),""),_xlpm.n,IF(OR($C46="SK",$C46="SKT"),"SKT",$C46)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6" s="68" t="n"/>
      <c r="AA46" s="69" t="n"/>
    </row>
    <row r="47">
      <c r="B47" s="22" t="inlineStr">
        <is>
          <t>국민은행</t>
        </is>
      </c>
      <c r="C47" s="37" t="inlineStr">
        <is>
          <t>SKT</t>
        </is>
      </c>
      <c r="D47" s="59">
        <f t="array" ref="D47:F47">_xlfn.LET(_xlpm.d,'페이백 미포함'!$A$2:$K$2061,_xlpm.p,_xlfn.XLOOKUP($B47,참조!$K$2:$K$30,IF(참조!$L$2:$L$30&lt;&gt;"",참조!$L$2:$L$30,참조!$M$2:$M$30),""),_xlpm.n,IF(OR($C47="SK",$C47="SKT"),"SKT",$C47)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7" s="60" t="n">
        <v>0</v>
      </c>
      <c r="F47" s="61" t="n">
        <v>0</v>
      </c>
      <c r="G47" s="59">
        <f t="array" ref="G47:I47">_xlfn.LET(_xlpm.d,'페이백 미포함'!$A$2:$K$2061,_xlpm.p,_xlfn.XLOOKUP($B47,참조!$K$2:$K$30,IF(참조!$L$2:$L$30&lt;&gt;"",참조!$L$2:$L$30,참조!$M$2:$M$30),""),_xlpm.n,IF(OR($C47="SK",$C47="SKT"),"SKT",$C47)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7" s="60" t="n">
        <v>0</v>
      </c>
      <c r="I47" s="61" t="n">
        <v>0</v>
      </c>
      <c r="J47" s="59">
        <f t="array" ref="J47">_xlfn.LET(_xlpm.d,'페이백 미포함'!$A$2:$K$2061,_xlpm.p,_xlfn.XLOOKUP($B47,참조!$K$2:$K$30,IF(참조!$L$2:$L$30&lt;&gt;"",참조!$L$2:$L$30,참조!$M$2:$M$30),""),_xlpm.n,IF(OR($C47="SK",$C47="SKT"),"SKT",$C47)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7" s="60" t="n"/>
      <c r="L47" s="61" t="n"/>
      <c r="M47" s="59">
        <f t="array" ref="M47:O47">_xlfn.LET(_xlpm.d,'페이백 미포함'!$A$2:$K$2061,_xlpm.p,_xlfn.XLOOKUP($B47,참조!$K$2:$K$30,IF(참조!$L$2:$L$30&lt;&gt;"",참조!$L$2:$L$30,참조!$M$2:$M$30),""),_xlpm.n,IF(OR($C47="SK",$C47="SKT"),"SKT",$C47)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7" s="60" t="n">
        <v>0</v>
      </c>
      <c r="O47" s="61" t="n">
        <v>0</v>
      </c>
      <c r="P47" s="59">
        <f t="array" ref="P47:R47">_xlfn.LET(_xlpm.d,'페이백 미포함'!$A$2:$K$2061,_xlpm.p,_xlfn.XLOOKUP($B47,참조!$K$2:$K$30,IF(참조!$L$2:$L$30&lt;&gt;"",참조!$L$2:$L$30,참조!$M$2:$M$30),""),_xlpm.n,IF(OR($C47="SK",$C47="SKT"),"SKT",$C47)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7" s="60" t="n">
        <v>0</v>
      </c>
      <c r="R47" s="61" t="n">
        <v>0</v>
      </c>
      <c r="S47" s="59">
        <f t="array" ref="S47">_xlfn.LET(_xlpm.d,'페이백 미포함'!$A$2:$K$2061,_xlpm.p,_xlfn.XLOOKUP($B47,참조!$K$2:$K$30,IF(참조!$L$2:$L$30&lt;&gt;"",참조!$L$2:$L$30,참조!$M$2:$M$30),""),_xlpm.n,IF(OR($C47="SK",$C47="SKT"),"SKT",$C47)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7" s="60" t="n"/>
      <c r="U47" s="61" t="n"/>
      <c r="V47" s="59">
        <f t="array" ref="V47">_xlfn.LET(_xlpm.d,'페이백 미포함'!$A$2:$K$2061,_xlpm.p,_xlfn.XLOOKUP($B47,참조!$K$2:$K$30,IF(참조!$L$2:$L$30&lt;&gt;"",참조!$L$2:$L$30,참조!$M$2:$M$30),""),_xlpm.n,IF(OR($C47="SK",$C47="SKT"),"SKT",$C47)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7" s="60" t="n"/>
      <c r="X47" s="61" t="n"/>
      <c r="Y47" s="59">
        <f t="array" ref="Y47">_xlfn.LET(_xlpm.d,'페이백 미포함'!$A$2:$K$2061,_xlpm.p,_xlfn.XLOOKUP($B47,참조!$K$2:$K$30,IF(참조!$L$2:$L$30&lt;&gt;"",참조!$L$2:$L$30,참조!$M$2:$M$30),""),_xlpm.n,IF(OR($C47="SK",$C47="SKT"),"SKT",$C47)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7" s="60" t="n"/>
      <c r="AA47" s="61" t="n"/>
    </row>
    <row r="48">
      <c r="B48" s="26" t="inlineStr">
        <is>
          <t>국민은행</t>
        </is>
      </c>
      <c r="C48" s="38" t="inlineStr">
        <is>
          <t>KT</t>
        </is>
      </c>
      <c r="D48" s="62">
        <f t="array" ref="D48:F48">_xlfn.LET(_xlpm.d,'페이백 미포함'!$A$2:$K$2061,_xlpm.p,_xlfn.XLOOKUP($B48,참조!$K$2:$K$30,IF(참조!$L$2:$L$30&lt;&gt;"",참조!$L$2:$L$30,참조!$M$2:$M$30),""),_xlpm.n,IF(OR($C48="SK",$C48="SKT"),"SKT",$C48)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8" s="54" t="n">
        <v>12</v>
      </c>
      <c r="F48" s="63" t="n">
        <v>19500</v>
      </c>
      <c r="G48" s="62">
        <f t="array" ref="G48:I48">_xlfn.LET(_xlpm.d,'페이백 미포함'!$A$2:$K$2061,_xlpm.p,_xlfn.XLOOKUP($B48,참조!$K$2:$K$30,IF(참조!$L$2:$L$30&lt;&gt;"",참조!$L$2:$L$30,참조!$M$2:$M$30),""),_xlpm.n,IF(OR($C48="SK",$C48="SKT"),"SKT",$C48)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8" s="54" t="n">
        <v>12</v>
      </c>
      <c r="I48" s="63" t="n">
        <v>28500</v>
      </c>
      <c r="J48" s="62">
        <f t="array" ref="J48:L48">_xlfn.LET(_xlpm.d,'페이백 미포함'!$A$2:$K$2061,_xlpm.p,_xlfn.XLOOKUP($B48,참조!$K$2:$K$30,IF(참조!$L$2:$L$30&lt;&gt;"",참조!$L$2:$L$30,참조!$M$2:$M$30),""),_xlpm.n,IF(OR($C48="SK",$C48="SKT"),"SKT",$C48)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8" s="54" t="n">
        <v>12</v>
      </c>
      <c r="L48" s="63" t="n">
        <v>30500</v>
      </c>
      <c r="M48" s="62">
        <f t="array" ref="M48:O48">_xlfn.LET(_xlpm.d,'페이백 미포함'!$A$2:$K$2061,_xlpm.p,_xlfn.XLOOKUP($B48,참조!$K$2:$K$30,IF(참조!$L$2:$L$30&lt;&gt;"",참조!$L$2:$L$30,참조!$M$2:$M$30),""),_xlpm.n,IF(OR($C48="SK",$C48="SKT"),"SKT",$C48)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8" s="54" t="n">
        <v>12</v>
      </c>
      <c r="O48" s="63" t="n">
        <v>35500</v>
      </c>
      <c r="P48" s="62">
        <f t="array" ref="P48">_xlfn.LET(_xlpm.d,'페이백 미포함'!$A$2:$K$2061,_xlpm.p,_xlfn.XLOOKUP($B48,참조!$K$2:$K$30,IF(참조!$L$2:$L$30&lt;&gt;"",참조!$L$2:$L$30,참조!$M$2:$M$30),""),_xlpm.n,IF(OR($C48="SK",$C48="SKT"),"SKT",$C48)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8" s="54" t="n"/>
      <c r="R48" s="63" t="n"/>
      <c r="S48" s="62">
        <f t="array" ref="S48">_xlfn.LET(_xlpm.d,'페이백 미포함'!$A$2:$K$2061,_xlpm.p,_xlfn.XLOOKUP($B48,참조!$K$2:$K$30,IF(참조!$L$2:$L$30&lt;&gt;"",참조!$L$2:$L$30,참조!$M$2:$M$30),""),_xlpm.n,IF(OR($C48="SK",$C48="SKT"),"SKT",$C48)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8" s="54" t="n"/>
      <c r="U48" s="63" t="n"/>
      <c r="V48" s="62">
        <f t="array" ref="V48">_xlfn.LET(_xlpm.d,'페이백 미포함'!$A$2:$K$2061,_xlpm.p,_xlfn.XLOOKUP($B48,참조!$K$2:$K$30,IF(참조!$L$2:$L$30&lt;&gt;"",참조!$L$2:$L$30,참조!$M$2:$M$30),""),_xlpm.n,IF(OR($C48="SK",$C48="SKT"),"SKT",$C48)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8" s="54" t="n"/>
      <c r="X48" s="63" t="n"/>
      <c r="Y48" s="62">
        <f t="array" ref="Y48">_xlfn.LET(_xlpm.d,'페이백 미포함'!$A$2:$K$2061,_xlpm.p,_xlfn.XLOOKUP($B48,참조!$K$2:$K$30,IF(참조!$L$2:$L$30&lt;&gt;"",참조!$L$2:$L$30,참조!$M$2:$M$30),""),_xlpm.n,IF(OR($C48="SK",$C48="SKT"),"SKT",$C48)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8" s="54" t="n"/>
      <c r="AA48" s="63" t="n"/>
    </row>
    <row r="49">
      <c r="B49" s="30" t="inlineStr">
        <is>
          <t>국민은행</t>
        </is>
      </c>
      <c r="C49" s="39" t="inlineStr">
        <is>
          <t>LG U+</t>
        </is>
      </c>
      <c r="D49" s="64">
        <f t="array" ref="D49:F49">_xlfn.LET(_xlpm.d,'페이백 미포함'!$A$2:$K$2061,_xlpm.p,_xlfn.XLOOKUP($B49,참조!$K$2:$K$30,IF(참조!$L$2:$L$30&lt;&gt;"",참조!$L$2:$L$30,참조!$M$2:$M$30),""),_xlpm.n,IF(OR($C49="SK",$C49="SKT"),"SKT",$C49),_xlpm.k,SUBSTITUTE(D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E49" s="65" t="n">
        <v>0</v>
      </c>
      <c r="F49" s="66" t="n">
        <v>0</v>
      </c>
      <c r="G49" s="64">
        <f t="array" ref="G49:I49">_xlfn.LET(_xlpm.d,'페이백 미포함'!$A$2:$K$2061,_xlpm.p,_xlfn.XLOOKUP($B49,참조!$K$2:$K$30,IF(참조!$L$2:$L$30&lt;&gt;"",참조!$L$2:$L$30,참조!$M$2:$M$30),""),_xlpm.n,IF(OR($C49="SK",$C49="SKT"),"SKT",$C49),_xlpm.k,SUBSTITUTE(G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H49" s="65" t="n">
        <v>12</v>
      </c>
      <c r="I49" s="66" t="n">
        <v>26900</v>
      </c>
      <c r="J49" s="64">
        <f t="array" ref="J49:L49">_xlfn.LET(_xlpm.d,'페이백 미포함'!$A$2:$K$2061,_xlpm.p,_xlfn.XLOOKUP($B49,참조!$K$2:$K$30,IF(참조!$L$2:$L$30&lt;&gt;"",참조!$L$2:$L$30,참조!$M$2:$M$30),""),_xlpm.n,IF(OR($C49="SK",$C49="SKT"),"SKT",$C49),_xlpm.k,SUBSTITUTE(J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K49" s="65" t="n">
        <v>12</v>
      </c>
      <c r="L49" s="66" t="n">
        <v>28900</v>
      </c>
      <c r="M49" s="64">
        <f t="array" ref="M49:O49">_xlfn.LET(_xlpm.d,'페이백 미포함'!$A$2:$K$2061,_xlpm.p,_xlfn.XLOOKUP($B49,참조!$K$2:$K$30,IF(참조!$L$2:$L$30&lt;&gt;"",참조!$L$2:$L$30,참조!$M$2:$M$30),""),_xlpm.n,IF(OR($C49="SK",$C49="SKT"),"SKT",$C49),_xlpm.k,SUBSTITUTE(M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N49" s="65" t="n">
        <v>36</v>
      </c>
      <c r="O49" s="66" t="n">
        <v>34300</v>
      </c>
      <c r="P49" s="64">
        <f t="array" ref="P49:R49">_xlfn.LET(_xlpm.d,'페이백 미포함'!$A$2:$K$2061,_xlpm.p,_xlfn.XLOOKUP($B49,참조!$K$2:$K$30,IF(참조!$L$2:$L$30&lt;&gt;"",참조!$L$2:$L$30,참조!$M$2:$M$30),""),_xlpm.n,IF(OR($C49="SK",$C49="SKT"),"SKT",$C49),_xlpm.k,SUBSTITUTE(P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Q49" s="65" t="n">
        <v>12</v>
      </c>
      <c r="R49" s="66" t="n">
        <v>41400</v>
      </c>
      <c r="S49" s="64">
        <f t="array" ref="S49:U49">_xlfn.LET(_xlpm.d,'페이백 미포함'!$A$2:$K$2061,_xlpm.p,_xlfn.XLOOKUP($B49,참조!$K$2:$K$30,IF(참조!$L$2:$L$30&lt;&gt;"",참조!$L$2:$L$30,참조!$M$2:$M$30),""),_xlpm.n,IF(OR($C49="SK",$C49="SKT"),"SKT",$C49),_xlpm.k,SUBSTITUTE(S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T49" s="65" t="n">
        <v>0</v>
      </c>
      <c r="U49" s="66" t="n">
        <v>0</v>
      </c>
      <c r="V49" s="64">
        <f t="array" ref="V49">_xlfn.LET(_xlpm.d,'페이백 미포함'!$A$2:$K$2061,_xlpm.p,_xlfn.XLOOKUP($B49,참조!$K$2:$K$30,IF(참조!$L$2:$L$30&lt;&gt;"",참조!$L$2:$L$30,참조!$M$2:$M$30),""),_xlpm.n,IF(OR($C49="SK",$C49="SKT"),"SKT",$C49),_xlpm.k,SUBSTITUTE(V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W49" s="65" t="n"/>
      <c r="X49" s="66" t="n"/>
      <c r="Y49" s="64">
        <f t="array" ref="Y49:AA49">_xlfn.LET(_xlpm.d,'페이백 미포함'!$A$2:$K$2061,_xlpm.p,_xlfn.XLOOKUP($B49,참조!$K$2:$K$30,IF(참조!$L$2:$L$30&lt;&gt;"",참조!$L$2:$L$30,참조!$M$2:$M$30),""),_xlpm.n,IF(OR($C49="SK",$C49="SKT"),"SKT",$C49),_xlpm.k,SUBSTITUTE(Y$3,"GB","G"),_xlpm.s,_xlfn.XLOOKUP(_xlpm.k,참조!$F$2:$F$15,참조!$B$2:$B$15,""),_xlpm.v,_xlfn.XLOOKUP(_xlpm.k,참조!$F$2:$F$15,참조!$D$2:$D$15,""),_xlpm.t,_xlfn.XLOOKUP(_xlpm.k,참조!$F$2:$F$15,참조!$E$2:$E$15,""),_xlpm.x,_xlfn._xlws.FILTER(_xlpm.d,(INDEX(_xlpm.d,,1)=_xlpm.p)*(INDEX(_xlpm.d,,3)=_xlpm.v)*(INDEX(_xlpm.d,,4)=_xlpm.t)*(INDEX(_xlpm.d,,5)=_xlpm.s)*(INDEX(_xlpm.d,,6)=_xlpm.n)*(INDEX(_xlpm.d,,11)="RS")),_xlpm.y,_xlfn.SORTBY(_xlpm.x,INDEX(_xlpm.x,,8),1,IF(INDEX(_xlpm.x,,9)="",1E+99,INDEX(_xlpm.x,,9)),-1,IF(INDEX(_xlpm.x,,10)="",0,INDEX(_xlpm.x,,10)),1),IFERROR(_xlfn.CHOOSECOLS(_xlfn.TAKE(_xlpm.y,1),8,9,10),""))</f>
        <v/>
      </c>
      <c r="Z49" s="65" t="n">
        <v>0</v>
      </c>
      <c r="AA49" s="66" t="n">
        <v>0</v>
      </c>
    </row>
  </sheetData>
  <mergeCells count="10">
    <mergeCell ref="Y3:AA3"/>
    <mergeCell ref="C3:C4"/>
    <mergeCell ref="B3:B4"/>
    <mergeCell ref="M3:O3"/>
    <mergeCell ref="D3:F3"/>
    <mergeCell ref="S3:U3"/>
    <mergeCell ref="G3:I3"/>
    <mergeCell ref="V3:X3"/>
    <mergeCell ref="J3:L3"/>
    <mergeCell ref="P3:R3"/>
  </mergeCells>
  <conditionalFormatting sqref="D5:D49">
    <cfRule type="expression" priority="1" dxfId="1" stopIfTrue="1">
      <formula>AND(ISNUMBER(D5),D5=MIN(D$5:D$49))</formula>
    </cfRule>
    <cfRule type="expression" priority="9" dxfId="0">
      <formula>AND(ISNUMBER(D5),COUNTIFS($B$5:$B$49,$B5,$C$5:$C$49,"KT")&gt;0,COUNTIFS($B$5:$B$49,$B5,$C$5:$C$49,"LG U+")&gt;0,(COUNTIFS($B$5:$B$49,$B5,$C$5:$C$49,"SK")+COUNTIFS($B$5:$B$49,$B5,$C$5:$C$49,"SKT"))&gt;0,D5=_xlfn.MINIFS(D$5:D$49,$B$5:$B$49,$B5))</formula>
    </cfRule>
  </conditionalFormatting>
  <conditionalFormatting sqref="G5:G49">
    <cfRule type="expression" priority="2" dxfId="1" stopIfTrue="1">
      <formula>AND(ISNUMBER(G5),G5=MIN(G$5:G$49))</formula>
    </cfRule>
    <cfRule type="expression" priority="10" dxfId="0">
      <formula>AND(ISNUMBER(G5),COUNTIFS($B$5:$B$49,$B5,$C$5:$C$49,"KT")&gt;0,COUNTIFS($B$5:$B$49,$B5,$C$5:$C$49,"LG U+")&gt;0,(COUNTIFS($B$5:$B$49,$B5,$C$5:$C$49,"SK")+COUNTIFS($B$5:$B$49,$B5,$C$5:$C$49,"SKT"))&gt;0,G5=_xlfn.MINIFS(G$5:G$49,$B$5:$B$49,$B5))</formula>
    </cfRule>
  </conditionalFormatting>
  <conditionalFormatting sqref="J5:J49">
    <cfRule type="expression" priority="3" dxfId="1" stopIfTrue="1">
      <formula>AND(ISNUMBER(J5),J5=MIN(J$5:J$49))</formula>
    </cfRule>
    <cfRule type="expression" priority="11" dxfId="0">
      <formula>AND(ISNUMBER(J5),COUNTIFS($B$5:$B$49,$B5,$C$5:$C$49,"KT")&gt;0,COUNTIFS($B$5:$B$49,$B5,$C$5:$C$49,"LG U+")&gt;0,(COUNTIFS($B$5:$B$49,$B5,$C$5:$C$49,"SK")+COUNTIFS($B$5:$B$49,$B5,$C$5:$C$49,"SKT"))&gt;0,J5=_xlfn.MINIFS(J$5:J$49,$B$5:$B$49,$B5))</formula>
    </cfRule>
  </conditionalFormatting>
  <conditionalFormatting sqref="M5:M49">
    <cfRule type="expression" priority="4" dxfId="1" stopIfTrue="1">
      <formula>AND(ISNUMBER(M5),M5=MIN(M$5:M$49))</formula>
    </cfRule>
    <cfRule type="expression" priority="12" dxfId="0">
      <formula>AND(ISNUMBER(M5),COUNTIFS($B$5:$B$49,$B5,$C$5:$C$49,"KT")&gt;0,COUNTIFS($B$5:$B$49,$B5,$C$5:$C$49,"LG U+")&gt;0,(COUNTIFS($B$5:$B$49,$B5,$C$5:$C$49,"SK")+COUNTIFS($B$5:$B$49,$B5,$C$5:$C$49,"SKT"))&gt;0,M5=_xlfn.MINIFS(M$5:M$49,$B$5:$B$49,$B5))</formula>
    </cfRule>
  </conditionalFormatting>
  <conditionalFormatting sqref="P5:P49">
    <cfRule type="expression" priority="5" dxfId="1" stopIfTrue="1">
      <formula>AND(ISNUMBER(P5),P5=MIN(P$5:P$49))</formula>
    </cfRule>
    <cfRule type="expression" priority="13" dxfId="0">
      <formula>AND(ISNUMBER(P5),COUNTIFS($B$5:$B$49,$B5,$C$5:$C$49,"KT")&gt;0,COUNTIFS($B$5:$B$49,$B5,$C$5:$C$49,"LG U+")&gt;0,(COUNTIFS($B$5:$B$49,$B5,$C$5:$C$49,"SK")+COUNTIFS($B$5:$B$49,$B5,$C$5:$C$49,"SKT"))&gt;0,P5=_xlfn.MINIFS(P$5:P$49,$B$5:$B$49,$B5))</formula>
    </cfRule>
  </conditionalFormatting>
  <conditionalFormatting sqref="S5:S49">
    <cfRule type="expression" priority="6" dxfId="1" stopIfTrue="1">
      <formula>AND(ISNUMBER(S5),S5=MIN(S$5:S$49))</formula>
    </cfRule>
    <cfRule type="expression" priority="14" dxfId="0">
      <formula>AND(ISNUMBER(S5),COUNTIFS($B$5:$B$49,$B5,$C$5:$C$49,"KT")&gt;0,COUNTIFS($B$5:$B$49,$B5,$C$5:$C$49,"LG U+")&gt;0,(COUNTIFS($B$5:$B$49,$B5,$C$5:$C$49,"SK")+COUNTIFS($B$5:$B$49,$B5,$C$5:$C$49,"SKT"))&gt;0,S5=_xlfn.MINIFS(S$5:S$49,$B$5:$B$49,$B5))</formula>
    </cfRule>
  </conditionalFormatting>
  <conditionalFormatting sqref="V5:V49">
    <cfRule type="expression" priority="7" dxfId="1" stopIfTrue="1">
      <formula>AND(ISNUMBER(V5),V5=MIN(V$5:V$49))</formula>
    </cfRule>
    <cfRule type="expression" priority="15" dxfId="0">
      <formula>AND(ISNUMBER(V5),COUNTIFS($B$5:$B$49,$B5,$C$5:$C$49,"KT")&gt;0,COUNTIFS($B$5:$B$49,$B5,$C$5:$C$49,"LG U+")&gt;0,(COUNTIFS($B$5:$B$49,$B5,$C$5:$C$49,"SK")+COUNTIFS($B$5:$B$49,$B5,$C$5:$C$49,"SKT"))&gt;0,V5=_xlfn.MINIFS(V$5:V$49,$B$5:$B$49,$B5))</formula>
    </cfRule>
  </conditionalFormatting>
  <conditionalFormatting sqref="Y5:Y49">
    <cfRule type="expression" priority="8" dxfId="1" stopIfTrue="1">
      <formula>AND(ISNUMBER(Y5),Y5=MIN(Y$5:Y$49))</formula>
    </cfRule>
    <cfRule type="expression" priority="16" dxfId="0">
      <formula>AND(ISNUMBER(Y5),COUNTIFS($B$5:$B$49,$B5,$C$5:$C$49,"KT")&gt;0,COUNTIFS($B$5:$B$49,$B5,$C$5:$C$49,"LG U+")&gt;0,(COUNTIFS($B$5:$B$49,$B5,$C$5:$C$49,"SK")+COUNTIFS($B$5:$B$49,$B5,$C$5:$C$49,"SKT"))&gt;0,Y5=_xlfn.MINIFS(Y$5:Y$49,$B$5:$B$49,$B5))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30"/>
  <sheetViews>
    <sheetView workbookViewId="0">
      <selection activeCell="F14" sqref="F14"/>
    </sheetView>
  </sheetViews>
  <sheetFormatPr baseColWidth="8" defaultRowHeight="16.5"/>
  <sheetData>
    <row r="1">
      <c r="B1" t="inlineStr">
        <is>
          <t>모태</t>
        </is>
      </c>
      <c r="C1" t="inlineStr">
        <is>
          <t>구분</t>
        </is>
      </c>
      <c r="D1" t="inlineStr">
        <is>
          <t>음성</t>
        </is>
      </c>
      <c r="E1" t="inlineStr">
        <is>
          <t>문자</t>
        </is>
      </c>
      <c r="K1" s="2" t="inlineStr">
        <is>
          <t>사업자</t>
        </is>
      </c>
      <c r="L1" s="2" t="inlineStr">
        <is>
          <t>모요</t>
        </is>
      </c>
      <c r="M1" s="2" t="inlineStr">
        <is>
          <t>알닷</t>
        </is>
      </c>
    </row>
    <row r="2">
      <c r="B2" t="inlineStr">
        <is>
          <t>월 125GB + 5Mbps</t>
        </is>
      </c>
      <c r="C2" t="inlineStr">
        <is>
          <t>RS</t>
        </is>
      </c>
      <c r="D2" t="inlineStr">
        <is>
          <t>무제한</t>
        </is>
      </c>
      <c r="E2" t="inlineStr">
        <is>
          <t>무제한</t>
        </is>
      </c>
      <c r="F2" t="inlineStr">
        <is>
          <t>125G</t>
        </is>
      </c>
      <c r="K2" s="2" t="inlineStr">
        <is>
          <t>유모바일</t>
        </is>
      </c>
      <c r="L2" s="2" t="inlineStr">
        <is>
          <t>U+유모바일</t>
        </is>
      </c>
      <c r="M2" s="2" t="inlineStr">
        <is>
          <t>U+유모바일</t>
        </is>
      </c>
    </row>
    <row r="3">
      <c r="B3" t="inlineStr">
        <is>
          <t>월 95GB + 3Mbps</t>
        </is>
      </c>
      <c r="C3" t="inlineStr">
        <is>
          <t>RS</t>
        </is>
      </c>
      <c r="D3" t="inlineStr">
        <is>
          <t>무제한</t>
        </is>
      </c>
      <c r="E3" t="inlineStr">
        <is>
          <t>무제한</t>
        </is>
      </c>
      <c r="F3" t="inlineStr">
        <is>
          <t>95G</t>
        </is>
      </c>
      <c r="K3" s="2" t="inlineStr">
        <is>
          <t>헬로모바일</t>
        </is>
      </c>
      <c r="L3" s="2" t="inlineStr">
        <is>
          <t>LG헬로모바일</t>
        </is>
      </c>
      <c r="M3" s="2" t="inlineStr">
        <is>
          <t>LG헬로모바일</t>
        </is>
      </c>
    </row>
    <row r="4">
      <c r="B4" t="inlineStr">
        <is>
          <t>월 150GB + 5Mbps</t>
        </is>
      </c>
      <c r="C4" t="inlineStr">
        <is>
          <t>RS</t>
        </is>
      </c>
      <c r="D4" t="inlineStr">
        <is>
          <t>무제한</t>
        </is>
      </c>
      <c r="E4" t="inlineStr">
        <is>
          <t>무제한</t>
        </is>
      </c>
      <c r="F4" t="inlineStr">
        <is>
          <t>150G</t>
        </is>
      </c>
      <c r="K4" s="2" t="inlineStr">
        <is>
          <t>핀플레이</t>
        </is>
      </c>
      <c r="L4" s="2" t="inlineStr">
        <is>
          <t>핀다이렉트</t>
        </is>
      </c>
      <c r="M4" s="2" t="n"/>
    </row>
    <row r="5">
      <c r="B5" t="inlineStr">
        <is>
          <t>월 100GB + 5Mbps</t>
        </is>
      </c>
      <c r="C5" t="inlineStr">
        <is>
          <t>RS</t>
        </is>
      </c>
      <c r="D5" t="inlineStr">
        <is>
          <t>무제한</t>
        </is>
      </c>
      <c r="E5" t="inlineStr">
        <is>
          <t>무제한</t>
        </is>
      </c>
      <c r="F5" t="inlineStr">
        <is>
          <t>100G</t>
        </is>
      </c>
      <c r="K5" s="2" t="inlineStr">
        <is>
          <t>KTM모바일</t>
        </is>
      </c>
      <c r="L5" s="2" t="inlineStr">
        <is>
          <t>KT엠모바일</t>
        </is>
      </c>
      <c r="M5" s="2" t="n"/>
    </row>
    <row r="6">
      <c r="B6" t="inlineStr">
        <is>
          <t>월 11GB + 매일 2GB + 3Mbps</t>
        </is>
      </c>
      <c r="C6" t="inlineStr">
        <is>
          <t>RS</t>
        </is>
      </c>
      <c r="D6" t="inlineStr">
        <is>
          <t>무제한</t>
        </is>
      </c>
      <c r="E6" t="inlineStr">
        <is>
          <t>무제한</t>
        </is>
      </c>
      <c r="F6" t="inlineStr">
        <is>
          <t>11G</t>
        </is>
      </c>
      <c r="K6" s="2" t="inlineStr">
        <is>
          <t>스카이라이프</t>
        </is>
      </c>
      <c r="L6" s="2" t="inlineStr">
        <is>
          <t>KT스카이라이프</t>
        </is>
      </c>
      <c r="M6" s="2" t="n"/>
    </row>
    <row r="7">
      <c r="B7" t="inlineStr">
        <is>
          <t>매일 5GB + 5Mbps</t>
        </is>
      </c>
      <c r="C7" t="inlineStr">
        <is>
          <t>RS</t>
        </is>
      </c>
      <c r="D7" t="inlineStr">
        <is>
          <t>무제한</t>
        </is>
      </c>
      <c r="E7" t="inlineStr">
        <is>
          <t>무제한</t>
        </is>
      </c>
      <c r="F7" t="inlineStr">
        <is>
          <t>5G</t>
        </is>
      </c>
      <c r="K7" s="2" t="inlineStr">
        <is>
          <t>마블</t>
        </is>
      </c>
      <c r="L7" s="2" t="inlineStr">
        <is>
          <t>마블링</t>
        </is>
      </c>
      <c r="M7" s="2" t="inlineStr">
        <is>
          <t>마블링</t>
        </is>
      </c>
    </row>
    <row r="8">
      <c r="B8" t="inlineStr">
        <is>
          <t>월 15GB + 3Mbps</t>
        </is>
      </c>
      <c r="C8" t="inlineStr">
        <is>
          <t>RS</t>
        </is>
      </c>
      <c r="D8" t="inlineStr">
        <is>
          <t>100분</t>
        </is>
      </c>
      <c r="E8" t="inlineStr">
        <is>
          <t>100건</t>
        </is>
      </c>
      <c r="F8" t="inlineStr">
        <is>
          <t>15G + 100분</t>
        </is>
      </c>
      <c r="K8" s="2" t="inlineStr">
        <is>
          <t>KCT</t>
        </is>
      </c>
      <c r="L8" s="2" t="inlineStr">
        <is>
          <t>티플러스</t>
        </is>
      </c>
      <c r="M8" s="2" t="inlineStr">
        <is>
          <t>티플러스</t>
        </is>
      </c>
    </row>
    <row r="9">
      <c r="B9" t="inlineStr">
        <is>
          <t>월 180GB + 10Mbps</t>
        </is>
      </c>
      <c r="C9" t="inlineStr">
        <is>
          <t>RS</t>
        </is>
      </c>
      <c r="D9" t="inlineStr">
        <is>
          <t>무제한</t>
        </is>
      </c>
      <c r="E9" t="inlineStr">
        <is>
          <t>무제한</t>
        </is>
      </c>
      <c r="F9" t="inlineStr">
        <is>
          <t>180GB</t>
        </is>
      </c>
      <c r="K9" s="2" t="inlineStr">
        <is>
          <t>이지모바일</t>
        </is>
      </c>
      <c r="L9" s="2" t="inlineStr">
        <is>
          <t>이지모바일</t>
        </is>
      </c>
      <c r="M9" s="2" t="inlineStr">
        <is>
          <t>이지모바일</t>
        </is>
      </c>
    </row>
    <row r="10">
      <c r="B10" t="inlineStr">
        <is>
          <t>월 31GB + 1Mbps</t>
        </is>
      </c>
      <c r="C10" t="inlineStr">
        <is>
          <t>RS</t>
        </is>
      </c>
      <c r="D10" t="inlineStr">
        <is>
          <t>무제한</t>
        </is>
      </c>
      <c r="E10" t="inlineStr">
        <is>
          <t>무제한</t>
        </is>
      </c>
      <c r="F10" t="inlineStr">
        <is>
          <t>31G</t>
        </is>
      </c>
      <c r="K10" s="2" t="inlineStr">
        <is>
          <t>쉐이크모바일</t>
        </is>
      </c>
      <c r="L10" s="2" t="inlineStr">
        <is>
          <t>쉐이크모바일</t>
        </is>
      </c>
      <c r="M10" s="2" t="n"/>
    </row>
    <row r="11">
      <c r="B11" t="inlineStr">
        <is>
          <t>월 50GB + 1Mbps</t>
        </is>
      </c>
      <c r="C11" t="inlineStr">
        <is>
          <t>RS</t>
        </is>
      </c>
      <c r="D11" t="inlineStr">
        <is>
          <t>무제한</t>
        </is>
      </c>
      <c r="E11" t="inlineStr">
        <is>
          <t>무제한</t>
        </is>
      </c>
      <c r="F11" t="inlineStr">
        <is>
          <t>50G</t>
        </is>
      </c>
      <c r="K11" s="2" t="inlineStr">
        <is>
          <t>CK커뮤스트리</t>
        </is>
      </c>
      <c r="L11" s="2" t="inlineStr">
        <is>
          <t>슈가모바일</t>
        </is>
      </c>
      <c r="M11" s="2" t="inlineStr">
        <is>
          <t>슈가모바일</t>
        </is>
      </c>
    </row>
    <row r="12">
      <c r="B12" t="inlineStr">
        <is>
          <t>월 80GB + 1Mbps</t>
        </is>
      </c>
      <c r="C12" t="inlineStr">
        <is>
          <t>RS</t>
        </is>
      </c>
      <c r="D12" t="inlineStr">
        <is>
          <t>무제한</t>
        </is>
      </c>
      <c r="E12" t="inlineStr">
        <is>
          <t>무제한</t>
        </is>
      </c>
      <c r="F12" t="inlineStr">
        <is>
          <t>80G</t>
        </is>
      </c>
      <c r="K12" s="2" t="inlineStr">
        <is>
          <t>고고모바일</t>
        </is>
      </c>
      <c r="L12" s="2" t="inlineStr">
        <is>
          <t>고고모바일</t>
        </is>
      </c>
      <c r="M12" s="2" t="n"/>
    </row>
    <row r="13">
      <c r="B13" t="inlineStr">
        <is>
          <t>월 7GB + 1Mbps</t>
        </is>
      </c>
      <c r="C13" t="inlineStr">
        <is>
          <t>RS</t>
        </is>
      </c>
      <c r="D13" t="inlineStr">
        <is>
          <t>무제한</t>
        </is>
      </c>
      <c r="E13" t="inlineStr">
        <is>
          <t>무제한</t>
        </is>
      </c>
      <c r="F13" t="inlineStr">
        <is>
          <t>7G</t>
        </is>
      </c>
      <c r="K13" s="2" t="inlineStr">
        <is>
          <t>찬스모바일</t>
        </is>
      </c>
      <c r="L13" s="2" t="inlineStr">
        <is>
          <t>찬스모바일</t>
        </is>
      </c>
      <c r="M13" s="2" t="inlineStr">
        <is>
          <t>찬스모바일</t>
        </is>
      </c>
    </row>
    <row r="14">
      <c r="B14" t="inlineStr">
        <is>
          <t>월 7GB + 3Mbps</t>
        </is>
      </c>
      <c r="C14" t="inlineStr">
        <is>
          <t>RS</t>
        </is>
      </c>
      <c r="D14" t="inlineStr">
        <is>
          <t>500분</t>
        </is>
      </c>
      <c r="E14" t="inlineStr">
        <is>
          <t>500건</t>
        </is>
      </c>
      <c r="F14" t="inlineStr">
        <is>
          <t>7G + 3M</t>
        </is>
      </c>
      <c r="K14" s="2" t="inlineStr">
        <is>
          <t>코나아이</t>
        </is>
      </c>
      <c r="L14" s="2" t="inlineStr">
        <is>
          <t>모나</t>
        </is>
      </c>
      <c r="M14" s="2" t="inlineStr">
        <is>
          <t>모나</t>
        </is>
      </c>
    </row>
    <row r="15">
      <c r="B15" t="inlineStr">
        <is>
          <t>월 15GB + 3Mbps</t>
        </is>
      </c>
      <c r="C15" t="inlineStr">
        <is>
          <t>RS</t>
        </is>
      </c>
      <c r="D15" t="inlineStr">
        <is>
          <t>300분</t>
        </is>
      </c>
      <c r="E15" t="inlineStr">
        <is>
          <t>300건</t>
        </is>
      </c>
      <c r="F15" t="inlineStr">
        <is>
          <t>15G + 300분</t>
        </is>
      </c>
      <c r="K15" s="2" t="inlineStr">
        <is>
          <t>KG모바일</t>
        </is>
      </c>
      <c r="L15" s="2" t="inlineStr">
        <is>
          <t>KG모바일</t>
        </is>
      </c>
      <c r="M15" s="2" t="inlineStr">
        <is>
          <t>KG모바일</t>
        </is>
      </c>
    </row>
    <row r="16">
      <c r="K16" s="2" t="inlineStr">
        <is>
          <t>인스코리아</t>
        </is>
      </c>
      <c r="L16" s="2" t="inlineStr">
        <is>
          <t>인스모바일</t>
        </is>
      </c>
      <c r="M16" s="2" t="inlineStr">
        <is>
          <t>인스모바일</t>
        </is>
      </c>
    </row>
    <row r="17">
      <c r="K17" s="2" t="inlineStr">
        <is>
          <t>시월</t>
        </is>
      </c>
      <c r="L17" s="2" t="inlineStr">
        <is>
          <t>시월모바일</t>
        </is>
      </c>
      <c r="M17" s="2" t="inlineStr">
        <is>
          <t>시월모바일</t>
        </is>
      </c>
    </row>
    <row r="18">
      <c r="K18" s="2" t="inlineStr">
        <is>
          <t>큰사람</t>
        </is>
      </c>
      <c r="L18" s="2" t="inlineStr">
        <is>
          <t>이야기모바일</t>
        </is>
      </c>
      <c r="M18" s="2" t="inlineStr">
        <is>
          <t>이야기모바일</t>
        </is>
      </c>
    </row>
    <row r="19">
      <c r="K19" s="2" t="inlineStr">
        <is>
          <t>더원모바일</t>
        </is>
      </c>
      <c r="L19" s="2" t="inlineStr">
        <is>
          <t>더원모바일</t>
        </is>
      </c>
      <c r="M19" s="2" t="n"/>
    </row>
    <row r="20">
      <c r="K20" s="2" t="inlineStr">
        <is>
          <t>스마텔</t>
        </is>
      </c>
      <c r="L20" s="2" t="inlineStr">
        <is>
          <t>스마텔</t>
        </is>
      </c>
      <c r="M20" s="2" t="inlineStr">
        <is>
          <t>스마텔</t>
        </is>
      </c>
    </row>
    <row r="21">
      <c r="K21" s="2" t="inlineStr">
        <is>
          <t>에넥스</t>
        </is>
      </c>
      <c r="L21" s="2" t="inlineStr">
        <is>
          <t>에이모바일</t>
        </is>
      </c>
      <c r="M21" s="2" t="inlineStr">
        <is>
          <t>A모바일</t>
        </is>
      </c>
    </row>
    <row r="22">
      <c r="K22" s="2" t="inlineStr">
        <is>
          <t>아이즈비전</t>
        </is>
      </c>
      <c r="L22" s="2" t="inlineStr">
        <is>
          <t>아이즈모바일</t>
        </is>
      </c>
      <c r="M22" s="2" t="inlineStr">
        <is>
          <t>아이즈모바일</t>
        </is>
      </c>
    </row>
    <row r="23">
      <c r="K23" s="2" t="inlineStr">
        <is>
          <t>유니컴즈</t>
        </is>
      </c>
      <c r="L23" s="2" t="inlineStr">
        <is>
          <t>모빙</t>
        </is>
      </c>
      <c r="M23" s="2" t="inlineStr">
        <is>
          <t>모빙(mobing)</t>
        </is>
      </c>
    </row>
    <row r="24">
      <c r="K24" s="2" t="inlineStr">
        <is>
          <t>국민은행</t>
        </is>
      </c>
      <c r="L24" s="2" t="inlineStr">
        <is>
          <t>리브모바일</t>
        </is>
      </c>
      <c r="M24" s="2" t="n"/>
    </row>
    <row r="25">
      <c r="K25" s="2" t="inlineStr">
        <is>
          <t>프리티</t>
        </is>
      </c>
      <c r="L25" s="2" t="inlineStr">
        <is>
          <t>프리티</t>
        </is>
      </c>
      <c r="M25" s="2" t="inlineStr">
        <is>
          <t>프리티</t>
        </is>
      </c>
    </row>
    <row r="26">
      <c r="K26" s="2" t="inlineStr">
        <is>
          <t>토스모바일</t>
        </is>
      </c>
      <c r="L26" s="2" t="n"/>
      <c r="M26" s="2" t="inlineStr">
        <is>
          <t>토스모바일</t>
        </is>
      </c>
    </row>
    <row r="27">
      <c r="K27" s="2" t="inlineStr">
        <is>
          <t>에스원</t>
        </is>
      </c>
      <c r="L27" s="2" t="n"/>
      <c r="M27" s="2" t="inlineStr">
        <is>
          <t>에스원안심모바일</t>
        </is>
      </c>
    </row>
    <row r="28">
      <c r="K28" s="2" t="inlineStr">
        <is>
          <t>아시아모바일</t>
        </is>
      </c>
      <c r="L28" s="2" t="n"/>
      <c r="M28" s="2" t="inlineStr">
        <is>
          <t>아시아모바일</t>
        </is>
      </c>
    </row>
    <row r="29">
      <c r="K29" s="2" t="inlineStr">
        <is>
          <t>위너스텔</t>
        </is>
      </c>
      <c r="L29" s="2" t="n"/>
      <c r="M29" s="2" t="inlineStr">
        <is>
          <t>WELL</t>
        </is>
      </c>
    </row>
    <row r="30">
      <c r="K30" s="2" t="inlineStr">
        <is>
          <t>GME</t>
        </is>
      </c>
      <c r="L30" s="2" t="n"/>
      <c r="M30" s="2" t="inlineStr">
        <is>
          <t>GME모바일</t>
        </is>
      </c>
    </row>
  </sheetData>
  <pageMargins left="0.75" right="0.75" top="1" bottom="1" header="0.5" footer="0.5"/>
  <headerFooter>
    <oddHeader>&amp;L&amp;"Aptos"&amp;1 &amp;KFF0000 LGUplus-InternalUseOnly(사내한)/2026-09-17T08:35:21/kjch444@lguplus.co.kr#_x000d_</oddHeader>
    <oddFooter>&amp;R&amp;"Aptos"&amp;11 &amp;KFF0000_x000d_# LGUplus-InternalUseOnly(사내한)/2026-09-17T08:35:21/kjch444@lguplus.co.kr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2026-09-15T22:50:49Z</dcterms:created>
  <dcterms:modified xsi:type="dcterms:W3CDTF">2026-10-24T21:43:16Z</dcterms:modified>
  <cp:lastModifiedBy>김재창 MVNO영업1팀</cp:lastModifiedBy>
</cp:coreProperties>
</file>